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ogramowanie\inf_matura\Czerwiec2020\"/>
    </mc:Choice>
  </mc:AlternateContent>
  <xr:revisionPtr revIDLastSave="0" documentId="13_ncr:1_{B088FDB3-C2F4-4A9A-9516-130D2DCFC6A6}" xr6:coauthVersionLast="47" xr6:coauthVersionMax="47" xr10:uidLastSave="{00000000-0000-0000-0000-000000000000}"/>
  <bookViews>
    <workbookView xWindow="-120" yWindow="-120" windowWidth="38640" windowHeight="21120" activeTab="5" xr2:uid="{7B0C30AC-792C-4053-A40A-2E2D59BB64E2}"/>
  </bookViews>
  <sheets>
    <sheet name="Arkusz1" sheetId="1" r:id="rId1"/>
    <sheet name="6.1" sheetId="2" r:id="rId2"/>
    <sheet name="6.2" sheetId="3" r:id="rId3"/>
    <sheet name="6.3" sheetId="4" r:id="rId4"/>
    <sheet name="6.4" sheetId="6" r:id="rId5"/>
    <sheet name="6.5" sheetId="7" r:id="rId6"/>
  </sheets>
  <definedNames>
    <definedName name="_xlnm._FilterDatabase" localSheetId="4" hidden="1">'6.4'!$A$1:$F$203</definedName>
    <definedName name="_xlnm._FilterDatabase" localSheetId="5" hidden="1">'6.5'!$A$1:$I$205</definedName>
    <definedName name="statek" localSheetId="1">'6.1'!$A$1:$F$203</definedName>
    <definedName name="statek" localSheetId="2">'6.2'!$A$1:$F$203</definedName>
    <definedName name="statek" localSheetId="3">'6.3'!$A$1:$F$203</definedName>
    <definedName name="statek" localSheetId="4">'6.4'!$A$1:$F$203</definedName>
    <definedName name="statek" localSheetId="5">'6.5'!$A$1:$F$203</definedName>
    <definedName name="statek" localSheetId="0">Arkusz1!$A$1:$F$203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7" l="1"/>
  <c r="H2" i="7" s="1"/>
  <c r="I3" i="7"/>
  <c r="I4" i="7"/>
  <c r="I5" i="7"/>
  <c r="I7" i="7"/>
  <c r="I9" i="7"/>
  <c r="I10" i="7"/>
  <c r="I12" i="7"/>
  <c r="I13" i="7"/>
  <c r="I14" i="7"/>
  <c r="I16" i="7"/>
  <c r="I17" i="7"/>
  <c r="I18" i="7"/>
  <c r="I20" i="7"/>
  <c r="I21" i="7"/>
  <c r="I23" i="7"/>
  <c r="I24" i="7"/>
  <c r="I26" i="7"/>
  <c r="I28" i="7"/>
  <c r="I29" i="7"/>
  <c r="I30" i="7"/>
  <c r="I32" i="7"/>
  <c r="I33" i="7"/>
  <c r="I34" i="7"/>
  <c r="I35" i="7"/>
  <c r="I37" i="7"/>
  <c r="I38" i="7"/>
  <c r="I39" i="7"/>
  <c r="I41" i="7"/>
  <c r="I43" i="7"/>
  <c r="I44" i="7"/>
  <c r="I46" i="7"/>
  <c r="I47" i="7"/>
  <c r="I48" i="7"/>
  <c r="I49" i="7"/>
  <c r="I51" i="7"/>
  <c r="I52" i="7"/>
  <c r="I53" i="7"/>
  <c r="I54" i="7"/>
  <c r="I56" i="7"/>
  <c r="I57" i="7"/>
  <c r="I59" i="7"/>
  <c r="I60" i="7"/>
  <c r="I62" i="7"/>
  <c r="I63" i="7"/>
  <c r="I64" i="7"/>
  <c r="I66" i="7"/>
  <c r="I67" i="7"/>
  <c r="I69" i="7"/>
  <c r="I70" i="7"/>
  <c r="I71" i="7"/>
  <c r="I72" i="7"/>
  <c r="I74" i="7"/>
  <c r="I75" i="7"/>
  <c r="I77" i="7"/>
  <c r="I79" i="7"/>
  <c r="I80" i="7"/>
  <c r="I81" i="7"/>
  <c r="I83" i="7"/>
  <c r="I84" i="7"/>
  <c r="I86" i="7"/>
  <c r="I87" i="7"/>
  <c r="I88" i="7"/>
  <c r="I89" i="7"/>
  <c r="I91" i="7"/>
  <c r="I92" i="7"/>
  <c r="I93" i="7"/>
  <c r="I94" i="7"/>
  <c r="I96" i="7"/>
  <c r="I97" i="7"/>
  <c r="I98" i="7"/>
  <c r="I99" i="7"/>
  <c r="I101" i="7"/>
  <c r="I102" i="7"/>
  <c r="I103" i="7"/>
  <c r="I104" i="7"/>
  <c r="I106" i="7"/>
  <c r="I108" i="7"/>
  <c r="I109" i="7"/>
  <c r="I110" i="7"/>
  <c r="I111" i="7"/>
  <c r="I113" i="7"/>
  <c r="I114" i="7"/>
  <c r="I115" i="7"/>
  <c r="I117" i="7"/>
  <c r="I118" i="7"/>
  <c r="I119" i="7"/>
  <c r="I121" i="7"/>
  <c r="I123" i="7"/>
  <c r="I125" i="7"/>
  <c r="I126" i="7"/>
  <c r="I127" i="7"/>
  <c r="I128" i="7"/>
  <c r="I130" i="7"/>
  <c r="I132" i="7"/>
  <c r="I133" i="7"/>
  <c r="I135" i="7"/>
  <c r="I136" i="7"/>
  <c r="I137" i="7"/>
  <c r="I139" i="7"/>
  <c r="I140" i="7"/>
  <c r="I141" i="7"/>
  <c r="I142" i="7"/>
  <c r="I144" i="7"/>
  <c r="I146" i="7"/>
  <c r="I147" i="7"/>
  <c r="I148" i="7"/>
  <c r="I149" i="7"/>
  <c r="I151" i="7"/>
  <c r="I153" i="7"/>
  <c r="I154" i="7"/>
  <c r="I156" i="7"/>
  <c r="I157" i="7"/>
  <c r="I158" i="7"/>
  <c r="I160" i="7"/>
  <c r="I161" i="7"/>
  <c r="I163" i="7"/>
  <c r="I164" i="7"/>
  <c r="I166" i="7"/>
  <c r="I167" i="7"/>
  <c r="I169" i="7"/>
  <c r="I170" i="7"/>
  <c r="I171" i="7"/>
  <c r="I172" i="7"/>
  <c r="I174" i="7"/>
  <c r="I175" i="7"/>
  <c r="I176" i="7"/>
  <c r="I178" i="7"/>
  <c r="I179" i="7"/>
  <c r="I180" i="7"/>
  <c r="I182" i="7"/>
  <c r="I183" i="7"/>
  <c r="I184" i="7"/>
  <c r="I186" i="7"/>
  <c r="I187" i="7"/>
  <c r="I188" i="7"/>
  <c r="I189" i="7"/>
  <c r="I191" i="7"/>
  <c r="I192" i="7"/>
  <c r="I194" i="7"/>
  <c r="I196" i="7"/>
  <c r="I197" i="7"/>
  <c r="I199" i="7"/>
  <c r="I200" i="7"/>
  <c r="I201" i="7"/>
  <c r="I202" i="7"/>
  <c r="I2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" i="6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3" i="3"/>
  <c r="M45" i="4"/>
  <c r="M44" i="4"/>
  <c r="M43" i="4"/>
  <c r="M42" i="4"/>
  <c r="M41" i="4"/>
  <c r="M33" i="4"/>
  <c r="M32" i="4"/>
  <c r="M31" i="4"/>
  <c r="M30" i="4"/>
  <c r="M29" i="4"/>
  <c r="G3" i="7" l="1"/>
  <c r="H3" i="7" s="1"/>
  <c r="G4" i="7" l="1"/>
  <c r="H4" i="7" s="1"/>
  <c r="G5" i="7" l="1"/>
  <c r="H5" i="7" s="1"/>
  <c r="G6" i="7" s="1"/>
  <c r="H6" i="7" s="1"/>
  <c r="I6" i="7" l="1"/>
  <c r="G7" i="7"/>
  <c r="H7" i="7" s="1"/>
  <c r="G8" i="7" s="1"/>
  <c r="H8" i="7" s="1"/>
  <c r="I8" i="7" l="1"/>
  <c r="G9" i="7"/>
  <c r="H9" i="7" s="1"/>
  <c r="G10" i="7" l="1"/>
  <c r="H10" i="7" s="1"/>
  <c r="G11" i="7" s="1"/>
  <c r="H11" i="7" s="1"/>
  <c r="G12" i="7" l="1"/>
  <c r="H12" i="7" s="1"/>
  <c r="G13" i="7" s="1"/>
  <c r="H13" i="7" s="1"/>
  <c r="G14" i="7" s="1"/>
  <c r="H14" i="7" s="1"/>
  <c r="G15" i="7" s="1"/>
  <c r="H15" i="7" s="1"/>
  <c r="I11" i="7"/>
  <c r="I15" i="7" l="1"/>
  <c r="G16" i="7"/>
  <c r="H16" i="7" s="1"/>
  <c r="G17" i="7" l="1"/>
  <c r="H17" i="7" s="1"/>
  <c r="G18" i="7" s="1"/>
  <c r="H18" i="7" s="1"/>
  <c r="G19" i="7" s="1"/>
  <c r="H19" i="7" s="1"/>
  <c r="G20" i="7" l="1"/>
  <c r="H20" i="7" s="1"/>
  <c r="G21" i="7" s="1"/>
  <c r="H21" i="7" s="1"/>
  <c r="G22" i="7" s="1"/>
  <c r="H22" i="7" s="1"/>
  <c r="I19" i="7"/>
  <c r="I22" i="7" l="1"/>
  <c r="G23" i="7"/>
  <c r="H23" i="7" s="1"/>
  <c r="G24" i="7" s="1"/>
  <c r="H24" i="7" s="1"/>
  <c r="G25" i="7" l="1"/>
  <c r="H25" i="7" s="1"/>
  <c r="I25" i="7" l="1"/>
  <c r="G26" i="7"/>
  <c r="H26" i="7" s="1"/>
  <c r="G27" i="7" s="1"/>
  <c r="H27" i="7" s="1"/>
  <c r="I27" i="7" l="1"/>
  <c r="G28" i="7"/>
  <c r="H28" i="7" s="1"/>
  <c r="G29" i="7" s="1"/>
  <c r="H29" i="7" s="1"/>
  <c r="G30" i="7" s="1"/>
  <c r="H30" i="7" s="1"/>
  <c r="G31" i="7" s="1"/>
  <c r="H31" i="7" s="1"/>
  <c r="I31" i="7" l="1"/>
  <c r="G32" i="7"/>
  <c r="H32" i="7" s="1"/>
  <c r="G33" i="7" s="1"/>
  <c r="H33" i="7" s="1"/>
  <c r="G34" i="7" s="1"/>
  <c r="H34" i="7" s="1"/>
  <c r="G35" i="7" s="1"/>
  <c r="H35" i="7" s="1"/>
  <c r="G36" i="7" s="1"/>
  <c r="H36" i="7" s="1"/>
  <c r="I36" i="7" l="1"/>
  <c r="G37" i="7"/>
  <c r="H37" i="7" s="1"/>
  <c r="G38" i="7" s="1"/>
  <c r="H38" i="7" s="1"/>
  <c r="G39" i="7" s="1"/>
  <c r="H39" i="7" s="1"/>
  <c r="G40" i="7" s="1"/>
  <c r="H40" i="7" s="1"/>
  <c r="I40" i="7" l="1"/>
  <c r="G41" i="7"/>
  <c r="H41" i="7" s="1"/>
  <c r="G42" i="7" l="1"/>
  <c r="H42" i="7" s="1"/>
  <c r="G43" i="7" l="1"/>
  <c r="H43" i="7" s="1"/>
  <c r="G44" i="7" s="1"/>
  <c r="H44" i="7" s="1"/>
  <c r="G45" i="7" s="1"/>
  <c r="H45" i="7" s="1"/>
  <c r="I42" i="7"/>
  <c r="G46" i="7" l="1"/>
  <c r="H46" i="7" s="1"/>
  <c r="G47" i="7" s="1"/>
  <c r="H47" i="7" s="1"/>
  <c r="G48" i="7" s="1"/>
  <c r="H48" i="7" s="1"/>
  <c r="G49" i="7" s="1"/>
  <c r="H49" i="7" s="1"/>
  <c r="G50" i="7" s="1"/>
  <c r="H50" i="7" s="1"/>
  <c r="I45" i="7"/>
  <c r="I50" i="7" l="1"/>
  <c r="G51" i="7"/>
  <c r="H51" i="7" s="1"/>
  <c r="G52" i="7" s="1"/>
  <c r="H52" i="7" s="1"/>
  <c r="G53" i="7" s="1"/>
  <c r="H53" i="7" s="1"/>
  <c r="G54" i="7" s="1"/>
  <c r="H54" i="7" s="1"/>
  <c r="G55" i="7" s="1"/>
  <c r="H55" i="7" s="1"/>
  <c r="G56" i="7" l="1"/>
  <c r="H56" i="7" s="1"/>
  <c r="G57" i="7" s="1"/>
  <c r="H57" i="7" s="1"/>
  <c r="G58" i="7" s="1"/>
  <c r="H58" i="7" s="1"/>
  <c r="I55" i="7"/>
  <c r="I58" i="7" l="1"/>
  <c r="G59" i="7"/>
  <c r="H59" i="7" s="1"/>
  <c r="G60" i="7" l="1"/>
  <c r="H60" i="7" s="1"/>
  <c r="G61" i="7" s="1"/>
  <c r="H61" i="7" s="1"/>
  <c r="I61" i="7" l="1"/>
  <c r="G62" i="7"/>
  <c r="H62" i="7" s="1"/>
  <c r="G63" i="7" s="1"/>
  <c r="H63" i="7" s="1"/>
  <c r="G64" i="7" s="1"/>
  <c r="H64" i="7" s="1"/>
  <c r="G65" i="7" s="1"/>
  <c r="H65" i="7" s="1"/>
  <c r="I65" i="7" l="1"/>
  <c r="G66" i="7"/>
  <c r="H66" i="7" s="1"/>
  <c r="G67" i="7" s="1"/>
  <c r="H67" i="7" s="1"/>
  <c r="G68" i="7" s="1"/>
  <c r="H68" i="7" s="1"/>
  <c r="G69" i="7" l="1"/>
  <c r="H69" i="7" s="1"/>
  <c r="G70" i="7" s="1"/>
  <c r="H70" i="7" s="1"/>
  <c r="G71" i="7" s="1"/>
  <c r="H71" i="7" s="1"/>
  <c r="G72" i="7" s="1"/>
  <c r="H72" i="7" s="1"/>
  <c r="G73" i="7" s="1"/>
  <c r="H73" i="7" s="1"/>
  <c r="I68" i="7"/>
  <c r="I73" i="7" l="1"/>
  <c r="G74" i="7"/>
  <c r="H74" i="7" s="1"/>
  <c r="G75" i="7" s="1"/>
  <c r="H75" i="7" s="1"/>
  <c r="G76" i="7" s="1"/>
  <c r="H76" i="7" s="1"/>
  <c r="I76" i="7" l="1"/>
  <c r="G77" i="7"/>
  <c r="H77" i="7" s="1"/>
  <c r="G78" i="7" s="1"/>
  <c r="H78" i="7" s="1"/>
  <c r="I78" i="7" l="1"/>
  <c r="G79" i="7"/>
  <c r="H79" i="7" s="1"/>
  <c r="G80" i="7" s="1"/>
  <c r="H80" i="7" s="1"/>
  <c r="G81" i="7" s="1"/>
  <c r="H81" i="7" s="1"/>
  <c r="G82" i="7" s="1"/>
  <c r="H82" i="7" s="1"/>
  <c r="I82" i="7" l="1"/>
  <c r="G83" i="7"/>
  <c r="H83" i="7" s="1"/>
  <c r="G84" i="7" s="1"/>
  <c r="H84" i="7" s="1"/>
  <c r="G85" i="7" s="1"/>
  <c r="H85" i="7" s="1"/>
  <c r="I85" i="7" l="1"/>
  <c r="G86" i="7"/>
  <c r="H86" i="7" s="1"/>
  <c r="G87" i="7" s="1"/>
  <c r="H87" i="7" s="1"/>
  <c r="G88" i="7" s="1"/>
  <c r="H88" i="7" s="1"/>
  <c r="G89" i="7" s="1"/>
  <c r="H89" i="7" s="1"/>
  <c r="G90" i="7" s="1"/>
  <c r="H90" i="7" s="1"/>
  <c r="I90" i="7" l="1"/>
  <c r="G91" i="7"/>
  <c r="H91" i="7" s="1"/>
  <c r="G92" i="7" s="1"/>
  <c r="H92" i="7" s="1"/>
  <c r="G93" i="7" s="1"/>
  <c r="H93" i="7" s="1"/>
  <c r="G94" i="7" s="1"/>
  <c r="H94" i="7" s="1"/>
  <c r="G95" i="7" s="1"/>
  <c r="H95" i="7" s="1"/>
  <c r="I95" i="7" l="1"/>
  <c r="G96" i="7"/>
  <c r="H96" i="7" s="1"/>
  <c r="G97" i="7" s="1"/>
  <c r="H97" i="7" s="1"/>
  <c r="G98" i="7" s="1"/>
  <c r="H98" i="7" s="1"/>
  <c r="G99" i="7" s="1"/>
  <c r="H99" i="7" s="1"/>
  <c r="G100" i="7" s="1"/>
  <c r="H100" i="7" s="1"/>
  <c r="G101" i="7" l="1"/>
  <c r="H101" i="7" s="1"/>
  <c r="G102" i="7" s="1"/>
  <c r="H102" i="7" s="1"/>
  <c r="G103" i="7" s="1"/>
  <c r="H103" i="7" s="1"/>
  <c r="G104" i="7" s="1"/>
  <c r="H104" i="7" s="1"/>
  <c r="G105" i="7" s="1"/>
  <c r="H105" i="7" s="1"/>
  <c r="I100" i="7"/>
  <c r="G106" i="7" l="1"/>
  <c r="H106" i="7" s="1"/>
  <c r="G107" i="7" s="1"/>
  <c r="H107" i="7" s="1"/>
  <c r="I105" i="7"/>
  <c r="G108" i="7" l="1"/>
  <c r="H108" i="7" s="1"/>
  <c r="G109" i="7" s="1"/>
  <c r="H109" i="7" s="1"/>
  <c r="G110" i="7" s="1"/>
  <c r="H110" i="7" s="1"/>
  <c r="G111" i="7" s="1"/>
  <c r="H111" i="7" s="1"/>
  <c r="G112" i="7" s="1"/>
  <c r="H112" i="7" s="1"/>
  <c r="I107" i="7"/>
  <c r="I112" i="7" l="1"/>
  <c r="G113" i="7"/>
  <c r="H113" i="7" s="1"/>
  <c r="G114" i="7" s="1"/>
  <c r="H114" i="7" s="1"/>
  <c r="G115" i="7" s="1"/>
  <c r="H115" i="7" s="1"/>
  <c r="G116" i="7" s="1"/>
  <c r="H116" i="7" s="1"/>
  <c r="G117" i="7" l="1"/>
  <c r="H117" i="7" s="1"/>
  <c r="G118" i="7" s="1"/>
  <c r="H118" i="7" s="1"/>
  <c r="G119" i="7" s="1"/>
  <c r="H119" i="7" s="1"/>
  <c r="G120" i="7" s="1"/>
  <c r="H120" i="7" s="1"/>
  <c r="I116" i="7"/>
  <c r="I120" i="7" l="1"/>
  <c r="G121" i="7"/>
  <c r="H121" i="7" s="1"/>
  <c r="G122" i="7" s="1"/>
  <c r="H122" i="7" s="1"/>
  <c r="I122" i="7" l="1"/>
  <c r="G123" i="7"/>
  <c r="H123" i="7" s="1"/>
  <c r="G124" i="7" s="1"/>
  <c r="H124" i="7" s="1"/>
  <c r="I124" i="7" l="1"/>
  <c r="G125" i="7"/>
  <c r="H125" i="7" s="1"/>
  <c r="G126" i="7" s="1"/>
  <c r="H126" i="7" s="1"/>
  <c r="G127" i="7" s="1"/>
  <c r="H127" i="7" s="1"/>
  <c r="G128" i="7" s="1"/>
  <c r="H128" i="7" s="1"/>
  <c r="G129" i="7" s="1"/>
  <c r="H129" i="7" s="1"/>
  <c r="I129" i="7" l="1"/>
  <c r="G130" i="7"/>
  <c r="H130" i="7" s="1"/>
  <c r="G131" i="7" s="1"/>
  <c r="H131" i="7" s="1"/>
  <c r="G132" i="7" l="1"/>
  <c r="H132" i="7" s="1"/>
  <c r="G133" i="7" s="1"/>
  <c r="H133" i="7" s="1"/>
  <c r="G134" i="7" s="1"/>
  <c r="H134" i="7" s="1"/>
  <c r="I131" i="7"/>
  <c r="I134" i="7" l="1"/>
  <c r="G135" i="7"/>
  <c r="H135" i="7" s="1"/>
  <c r="G136" i="7" s="1"/>
  <c r="H136" i="7" s="1"/>
  <c r="G137" i="7" s="1"/>
  <c r="H137" i="7" s="1"/>
  <c r="G138" i="7" s="1"/>
  <c r="H138" i="7" s="1"/>
  <c r="I138" i="7" l="1"/>
  <c r="G139" i="7"/>
  <c r="H139" i="7" s="1"/>
  <c r="G140" i="7" s="1"/>
  <c r="H140" i="7" s="1"/>
  <c r="G141" i="7" s="1"/>
  <c r="H141" i="7" s="1"/>
  <c r="G142" i="7" s="1"/>
  <c r="H142" i="7" s="1"/>
  <c r="G143" i="7" s="1"/>
  <c r="H143" i="7" s="1"/>
  <c r="I143" i="7" l="1"/>
  <c r="G144" i="7"/>
  <c r="H144" i="7" s="1"/>
  <c r="G145" i="7" s="1"/>
  <c r="H145" i="7" s="1"/>
  <c r="I145" i="7" l="1"/>
  <c r="G146" i="7"/>
  <c r="H146" i="7" s="1"/>
  <c r="G147" i="7" s="1"/>
  <c r="H147" i="7" s="1"/>
  <c r="G148" i="7" s="1"/>
  <c r="H148" i="7" s="1"/>
  <c r="G149" i="7" s="1"/>
  <c r="H149" i="7" s="1"/>
  <c r="G150" i="7" s="1"/>
  <c r="H150" i="7" s="1"/>
  <c r="I150" i="7" l="1"/>
  <c r="G151" i="7"/>
  <c r="H151" i="7" s="1"/>
  <c r="G152" i="7" s="1"/>
  <c r="H152" i="7" s="1"/>
  <c r="I152" i="7" l="1"/>
  <c r="G153" i="7"/>
  <c r="H153" i="7" s="1"/>
  <c r="G154" i="7" s="1"/>
  <c r="H154" i="7" s="1"/>
  <c r="G155" i="7" s="1"/>
  <c r="H155" i="7" s="1"/>
  <c r="I155" i="7" l="1"/>
  <c r="G156" i="7"/>
  <c r="H156" i="7" s="1"/>
  <c r="G157" i="7" s="1"/>
  <c r="H157" i="7" s="1"/>
  <c r="G158" i="7" s="1"/>
  <c r="H158" i="7" s="1"/>
  <c r="G159" i="7" s="1"/>
  <c r="H159" i="7" s="1"/>
  <c r="G160" i="7" l="1"/>
  <c r="H160" i="7" s="1"/>
  <c r="G161" i="7" s="1"/>
  <c r="H161" i="7" s="1"/>
  <c r="G162" i="7" s="1"/>
  <c r="H162" i="7" s="1"/>
  <c r="I159" i="7"/>
  <c r="G163" i="7" l="1"/>
  <c r="H163" i="7" s="1"/>
  <c r="G164" i="7" s="1"/>
  <c r="H164" i="7" s="1"/>
  <c r="G165" i="7" s="1"/>
  <c r="H165" i="7" s="1"/>
  <c r="G166" i="7" s="1"/>
  <c r="H166" i="7" s="1"/>
  <c r="G167" i="7" s="1"/>
  <c r="H167" i="7" s="1"/>
  <c r="G168" i="7" s="1"/>
  <c r="H168" i="7" s="1"/>
  <c r="I162" i="7"/>
  <c r="I165" i="7"/>
  <c r="I168" i="7" l="1"/>
  <c r="G169" i="7"/>
  <c r="H169" i="7" s="1"/>
  <c r="G170" i="7" s="1"/>
  <c r="H170" i="7" s="1"/>
  <c r="G171" i="7" s="1"/>
  <c r="H171" i="7" s="1"/>
  <c r="G172" i="7" s="1"/>
  <c r="H172" i="7" s="1"/>
  <c r="G173" i="7" s="1"/>
  <c r="H173" i="7" s="1"/>
  <c r="I173" i="7" l="1"/>
  <c r="G174" i="7"/>
  <c r="H174" i="7" s="1"/>
  <c r="G175" i="7" s="1"/>
  <c r="H175" i="7" s="1"/>
  <c r="G176" i="7" s="1"/>
  <c r="H176" i="7" s="1"/>
  <c r="G177" i="7" s="1"/>
  <c r="H177" i="7" s="1"/>
  <c r="I177" i="7" l="1"/>
  <c r="G178" i="7"/>
  <c r="H178" i="7" s="1"/>
  <c r="G179" i="7" s="1"/>
  <c r="H179" i="7" s="1"/>
  <c r="G180" i="7" s="1"/>
  <c r="H180" i="7" s="1"/>
  <c r="G181" i="7" s="1"/>
  <c r="H181" i="7" s="1"/>
  <c r="G182" i="7" l="1"/>
  <c r="H182" i="7" s="1"/>
  <c r="G183" i="7" s="1"/>
  <c r="H183" i="7" s="1"/>
  <c r="G184" i="7" s="1"/>
  <c r="H184" i="7" s="1"/>
  <c r="G185" i="7" s="1"/>
  <c r="H185" i="7" s="1"/>
  <c r="I181" i="7"/>
  <c r="I185" i="7" l="1"/>
  <c r="G186" i="7"/>
  <c r="H186" i="7" s="1"/>
  <c r="G187" i="7" s="1"/>
  <c r="H187" i="7" s="1"/>
  <c r="G188" i="7" s="1"/>
  <c r="H188" i="7" s="1"/>
  <c r="G189" i="7" s="1"/>
  <c r="H189" i="7" s="1"/>
  <c r="G190" i="7" s="1"/>
  <c r="H190" i="7" s="1"/>
  <c r="I190" i="7" l="1"/>
  <c r="G191" i="7"/>
  <c r="H191" i="7" s="1"/>
  <c r="G192" i="7" s="1"/>
  <c r="H192" i="7" s="1"/>
  <c r="G193" i="7" s="1"/>
  <c r="H193" i="7" s="1"/>
  <c r="I193" i="7" l="1"/>
  <c r="G194" i="7"/>
  <c r="H194" i="7" s="1"/>
  <c r="G195" i="7" s="1"/>
  <c r="H195" i="7" s="1"/>
  <c r="I195" i="7" l="1"/>
  <c r="G196" i="7"/>
  <c r="H196" i="7" s="1"/>
  <c r="G197" i="7" s="1"/>
  <c r="H197" i="7" s="1"/>
  <c r="G198" i="7" s="1"/>
  <c r="H198" i="7" s="1"/>
  <c r="I198" i="7" l="1"/>
  <c r="G199" i="7"/>
  <c r="H199" i="7" s="1"/>
  <c r="G200" i="7" s="1"/>
  <c r="H200" i="7" s="1"/>
  <c r="G201" i="7" s="1"/>
  <c r="H201" i="7" s="1"/>
  <c r="G202" i="7" s="1"/>
  <c r="H202" i="7" s="1"/>
  <c r="G203" i="7" s="1"/>
  <c r="H203" i="7" s="1"/>
  <c r="I203" i="7" l="1"/>
  <c r="M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6F758A-37C0-429F-95BE-9FDEDD658F35}" name="statek" type="6" refreshedVersion="8" background="1" saveData="1">
    <textPr codePage="437" sourceFile="D:\Programowanie\inf_matura\Czerwiec2020\materialy\statek.txt">
      <textFields count="6">
        <textField/>
        <textField/>
        <textField/>
        <textField/>
        <textField/>
        <textField/>
      </textFields>
    </textPr>
  </connection>
  <connection id="2" xr16:uid="{C50DB8FB-E3C2-47F2-93D6-DC50C1751681}" name="statek1" type="6" refreshedVersion="8" background="1" saveData="1">
    <textPr codePage="437" sourceFile="D:\Programowanie\inf_matura\Czerwiec2020\materialy\statek.txt">
      <textFields count="6">
        <textField/>
        <textField/>
        <textField/>
        <textField/>
        <textField/>
        <textField/>
      </textFields>
    </textPr>
  </connection>
  <connection id="3" xr16:uid="{DA504DAE-4837-479D-9372-8BD2621ECBF2}" name="statek11" type="6" refreshedVersion="8" background="1" saveData="1">
    <textPr codePage="437" sourceFile="D:\Programowanie\inf_matura\Czerwiec2020\materialy\statek.txt">
      <textFields count="6">
        <textField/>
        <textField/>
        <textField/>
        <textField/>
        <textField/>
        <textField/>
      </textFields>
    </textPr>
  </connection>
  <connection id="4" xr16:uid="{1F6F32B9-4C90-49E3-97A3-0292F9FC50A3}" name="statek111" type="6" refreshedVersion="8" background="1" saveData="1">
    <textPr codePage="437" sourceFile="D:\Programowanie\inf_matura\Czerwiec2020\materialy\statek.txt">
      <textFields count="6">
        <textField/>
        <textField/>
        <textField/>
        <textField/>
        <textField/>
        <textField/>
      </textFields>
    </textPr>
  </connection>
  <connection id="5" xr16:uid="{48D4AF6B-B972-41C6-9A34-F10EF064CA46}" name="statek2" type="6" refreshedVersion="8" background="1" saveData="1">
    <textPr sourceFile="D:\Programowanie\inf_matura\Czerwiec2020\materialy\statek.txt">
      <textFields count="6">
        <textField type="YMD"/>
        <textField/>
        <textField/>
        <textField/>
        <textField/>
        <textField/>
      </textFields>
    </textPr>
  </connection>
  <connection id="6" xr16:uid="{BD43747F-9D53-4E23-B2B6-7D0E3BE83C77}" name="statek3" type="6" refreshedVersion="8" background="1" saveData="1">
    <textPr codePage="437" sourceFile="D:\Programowanie\inf_matura\Czerwiec2020\materialy\statek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<sst xmlns="http://schemas.openxmlformats.org/spreadsheetml/2006/main" count="3782" uniqueCount="91">
  <si>
    <t>data</t>
  </si>
  <si>
    <t>port</t>
  </si>
  <si>
    <t>towar</t>
  </si>
  <si>
    <t>Z/W</t>
  </si>
  <si>
    <t>ile ton</t>
  </si>
  <si>
    <t>cena za tone w talarach</t>
  </si>
  <si>
    <t>Algier</t>
  </si>
  <si>
    <t>T4</t>
  </si>
  <si>
    <t>Z</t>
  </si>
  <si>
    <t>T5</t>
  </si>
  <si>
    <t>T1</t>
  </si>
  <si>
    <t>T2</t>
  </si>
  <si>
    <t>T3</t>
  </si>
  <si>
    <t>Tunis</t>
  </si>
  <si>
    <t>W</t>
  </si>
  <si>
    <t>Benghazi</t>
  </si>
  <si>
    <t>Aleksandria</t>
  </si>
  <si>
    <t>Bejrut</t>
  </si>
  <si>
    <t>Palermo</t>
  </si>
  <si>
    <t>Neapol</t>
  </si>
  <si>
    <t>Monako</t>
  </si>
  <si>
    <t>Barcelona</t>
  </si>
  <si>
    <t>Walencja</t>
  </si>
  <si>
    <t>Etykiety wierszy</t>
  </si>
  <si>
    <t>Suma końcowa</t>
  </si>
  <si>
    <t>Suma z ile ton</t>
  </si>
  <si>
    <t>Liczba z towar</t>
  </si>
  <si>
    <t>T4 905</t>
  </si>
  <si>
    <t>data (MDR)</t>
  </si>
  <si>
    <t>Etykiety kolumn</t>
  </si>
  <si>
    <t>ile ton bylo na statku</t>
  </si>
  <si>
    <t>ile dni był na statku (-1 dla każdego)</t>
  </si>
  <si>
    <t>licz jeżeli większa niż 21 (ponieważ -1 dzień dla każdego więc wystarczy zrobić od 21)</t>
  </si>
  <si>
    <t>rok_m</t>
  </si>
  <si>
    <t>Z_T5</t>
  </si>
  <si>
    <t>W_T5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</si>
  <si>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</si>
  <si>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</si>
  <si>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</si>
  <si>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</si>
  <si>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</si>
  <si>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</si>
  <si>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</si>
  <si>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</si>
  <si>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</si>
  <si>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</si>
  <si>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</si>
  <si>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</si>
  <si>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</si>
  <si>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</si>
  <si>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</si>
  <si>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</si>
  <si>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</si>
  <si>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</si>
  <si>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</si>
  <si>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</si>
  <si>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</si>
  <si>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</si>
  <si>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</si>
  <si>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</si>
  <si>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</si>
  <si>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</si>
  <si>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</si>
  <si>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</si>
  <si>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</si>
  <si>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</si>
  <si>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</si>
  <si>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</si>
  <si>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</si>
  <si>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</si>
  <si>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</si>
  <si>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</si>
  <si>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Suma z Z_T5</t>
  </si>
  <si>
    <t>Suma z W_T5</t>
  </si>
  <si>
    <t>przed rejsem</t>
  </si>
  <si>
    <t>po rejsie</t>
  </si>
  <si>
    <t>kasa</t>
  </si>
  <si>
    <t>ile talarów miał 18 grudnia 2018 roku</t>
  </si>
  <si>
    <t>stan kapitana był największy po wypłynięciu z portu</t>
  </si>
  <si>
    <t>10/8/2018 a stan kasy: 550079</t>
  </si>
  <si>
    <t>lewy</t>
  </si>
  <si>
    <t>srodek</t>
  </si>
  <si>
    <t>prawy</t>
  </si>
  <si>
    <t>czy wystarcza?</t>
  </si>
  <si>
    <t>minimalna wartosc ktora wystarczy</t>
  </si>
  <si>
    <t>1.02.2016</t>
  </si>
  <si>
    <t>min:T4 24</t>
  </si>
  <si>
    <t>max:T2 48</t>
  </si>
  <si>
    <t>1.08.2018</t>
  </si>
  <si>
    <t>min:T1 3</t>
  </si>
  <si>
    <t>max:T5 125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</si>
</sst>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1" fillId="0" borderId="0" xfId="0" applyNumberFormat="1" applyFont="1"/>
    <xf numFmtId="14" fontId="2" fillId="0" borderId="0" xfId="0" applyNumberFormat="1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[zad6.xlsx]6.4!Tabela przestawna1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Ilość</a:t>
            </a:r>
            <a:r>
              <a:rPr lang="en-US" baseline="0"/>
              <a:t> ton towaru T5 załadunku/wyładunku w każdym miesiącu od 1 stycznia 2016r. do 18 grudnia 2018r.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'6.4'!$M$3</c:f>
              <c:strCache>
                <c:ptCount val="1"/>
                <c:pt idx="0">
                  <c:v>Suma z Z_T5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'6.4'!$L$4:$L$40</c:f>
              <c:strCache>
                <c:ptCount val="36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2017-01</c:v>
                </c:pt>
                <c:pt idx="13">
                  <c:v>2017-02</c:v>
                </c:pt>
                <c:pt idx="14">
                  <c:v>2017-03</c:v>
                </c:pt>
                <c:pt idx="15">
                  <c:v>2017-04</c:v>
                </c:pt>
                <c:pt idx="16">
                  <c:v>2017-05</c:v>
                </c:pt>
                <c:pt idx="17">
                  <c:v>2017-06</c:v>
                </c:pt>
                <c:pt idx="18">
                  <c:v>2017-07</c:v>
                </c:pt>
                <c:pt idx="19">
                  <c:v>2017-08</c:v>
                </c:pt>
                <c:pt idx="20">
                  <c:v>2017-09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2018-01</c:v>
                </c:pt>
                <c:pt idx="25">
                  <c:v>2018-02</c:v>
                </c:pt>
                <c:pt idx="26">
                  <c:v>2018-03</c:v>
                </c:pt>
                <c:pt idx="27">
                  <c:v>2018-04</c:v>
                </c:pt>
                <c:pt idx="28">
                  <c:v>2018-05</c:v>
                </c:pt>
                <c:pt idx="29">
                  <c:v>2018-06</c:v>
                </c:pt>
                <c:pt idx="30">
                  <c:v>2018-07</c:v>
                </c:pt>
                <c:pt idx="31">
                  <c:v>2018-08</c:v>
                </c:pt>
                <c:pt idx="32">
                  <c:v>2018-09</c:v>
                </c:pt>
                <c:pt idx="33">
                  <c:v>2018-10</c:v>
                </c:pt>
                <c:pt idx="34">
                  <c:v>2018-11</c:v>
                </c:pt>
                <c:pt idx="35">
                  <c:v>2018-12</c:v>
                </c:pt>
              </c:strCache>
            </c:strRef>
          </c:cat>
          <c:val>
            <c:numRef>
              <c:f>'6.4'!$M$4:$M$40</c:f>
              <c:numCache>
                <c:formatCode>General</c:formatCode>
                <c:ptCount val="36"/>
                <c:pt idx="0">
                  <c:v>76</c:v>
                </c:pt>
                <c:pt idx="1">
                  <c:v>8</c:v>
                </c:pt>
                <c:pt idx="2">
                  <c:v>0</c:v>
                </c:pt>
                <c:pt idx="3">
                  <c:v>68</c:v>
                </c:pt>
                <c:pt idx="4">
                  <c:v>0</c:v>
                </c:pt>
                <c:pt idx="5">
                  <c:v>42</c:v>
                </c:pt>
                <c:pt idx="6">
                  <c:v>83</c:v>
                </c:pt>
                <c:pt idx="7">
                  <c:v>0</c:v>
                </c:pt>
                <c:pt idx="8">
                  <c:v>44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39</c:v>
                </c:pt>
                <c:pt idx="13">
                  <c:v>0</c:v>
                </c:pt>
                <c:pt idx="14">
                  <c:v>35</c:v>
                </c:pt>
                <c:pt idx="15">
                  <c:v>1</c:v>
                </c:pt>
                <c:pt idx="16">
                  <c:v>33</c:v>
                </c:pt>
                <c:pt idx="17">
                  <c:v>8</c:v>
                </c:pt>
                <c:pt idx="18">
                  <c:v>42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0</c:v>
                </c:pt>
                <c:pt idx="24">
                  <c:v>10</c:v>
                </c:pt>
                <c:pt idx="25">
                  <c:v>34</c:v>
                </c:pt>
                <c:pt idx="26">
                  <c:v>0</c:v>
                </c:pt>
                <c:pt idx="27">
                  <c:v>5</c:v>
                </c:pt>
                <c:pt idx="28">
                  <c:v>0</c:v>
                </c:pt>
                <c:pt idx="29">
                  <c:v>95</c:v>
                </c:pt>
                <c:pt idx="30">
                  <c:v>25</c:v>
                </c:pt>
                <c:pt idx="31">
                  <c:v>22</c:v>
                </c:pt>
                <c:pt idx="32">
                  <c:v>0</c:v>
                </c:pt>
                <c:pt idx="33">
                  <c:v>20</c:v>
                </c:pt>
                <c:pt idx="34">
                  <c:v>48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B-46B2-8ECC-89AE802BE49F}"/>
            </c:ext>
          </c:extLst>
        </c:ser>
        <c:ser>
          <c:idx val="1"/>
          <c:order val="1"/>
          <c:tx>
            <c:strRef>
              <c:f>'6.4'!$N$3</c:f>
              <c:strCache>
                <c:ptCount val="1"/>
                <c:pt idx="0">
                  <c:v>Suma z W_T5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'6.4'!$L$4:$L$40</c:f>
              <c:strCache>
                <c:ptCount val="36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2017-01</c:v>
                </c:pt>
                <c:pt idx="13">
                  <c:v>2017-02</c:v>
                </c:pt>
                <c:pt idx="14">
                  <c:v>2017-03</c:v>
                </c:pt>
                <c:pt idx="15">
                  <c:v>2017-04</c:v>
                </c:pt>
                <c:pt idx="16">
                  <c:v>2017-05</c:v>
                </c:pt>
                <c:pt idx="17">
                  <c:v>2017-06</c:v>
                </c:pt>
                <c:pt idx="18">
                  <c:v>2017-07</c:v>
                </c:pt>
                <c:pt idx="19">
                  <c:v>2017-08</c:v>
                </c:pt>
                <c:pt idx="20">
                  <c:v>2017-09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2018-01</c:v>
                </c:pt>
                <c:pt idx="25">
                  <c:v>2018-02</c:v>
                </c:pt>
                <c:pt idx="26">
                  <c:v>2018-03</c:v>
                </c:pt>
                <c:pt idx="27">
                  <c:v>2018-04</c:v>
                </c:pt>
                <c:pt idx="28">
                  <c:v>2018-05</c:v>
                </c:pt>
                <c:pt idx="29">
                  <c:v>2018-06</c:v>
                </c:pt>
                <c:pt idx="30">
                  <c:v>2018-07</c:v>
                </c:pt>
                <c:pt idx="31">
                  <c:v>2018-08</c:v>
                </c:pt>
                <c:pt idx="32">
                  <c:v>2018-09</c:v>
                </c:pt>
                <c:pt idx="33">
                  <c:v>2018-10</c:v>
                </c:pt>
                <c:pt idx="34">
                  <c:v>2018-11</c:v>
                </c:pt>
                <c:pt idx="35">
                  <c:v>2018-12</c:v>
                </c:pt>
              </c:strCache>
            </c:strRef>
          </c:cat>
          <c:val>
            <c:numRef>
              <c:f>'6.4'!$N$4:$N$40</c:f>
              <c:numCache>
                <c:formatCode>General</c:formatCode>
                <c:ptCount val="36"/>
                <c:pt idx="0">
                  <c:v>32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191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68</c:v>
                </c:pt>
                <c:pt idx="17">
                  <c:v>0</c:v>
                </c:pt>
                <c:pt idx="18">
                  <c:v>0</c:v>
                </c:pt>
                <c:pt idx="19">
                  <c:v>48</c:v>
                </c:pt>
                <c:pt idx="20">
                  <c:v>0</c:v>
                </c:pt>
                <c:pt idx="21">
                  <c:v>6</c:v>
                </c:pt>
                <c:pt idx="22">
                  <c:v>1</c:v>
                </c:pt>
                <c:pt idx="23">
                  <c:v>0</c:v>
                </c:pt>
                <c:pt idx="24">
                  <c:v>22</c:v>
                </c:pt>
                <c:pt idx="25">
                  <c:v>0</c:v>
                </c:pt>
                <c:pt idx="26">
                  <c:v>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121</c:v>
                </c:pt>
                <c:pt idx="32">
                  <c:v>26</c:v>
                </c:pt>
                <c:pt idx="33">
                  <c:v>0</c:v>
                </c:pt>
                <c:pt idx="34">
                  <c:v>64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B-46B2-8ECC-89AE802BE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45456"/>
        <c:axId val="1548298608"/>
      </c:barChart>
      <c:catAx>
        <c:axId val="5104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Miesiące</a:t>
                </a:r>
                <a:r>
                  <a:rPr lang="en-US" baseline="0"/>
                  <a:t> w formacie rrrr-mm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8298608"/>
        <c:crosses val="autoZero"/>
        <c:auto val="1"/>
        <c:lblAlgn val="ctr"/>
        <c:lblOffset val="100"/>
        <c:noMultiLvlLbl val="0"/>
      </c:catAx>
      <c:valAx>
        <c:axId val="154829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Ilość ton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104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41822</xdr:colOff>
      <xdr:row>4</xdr:row>
      <xdr:rowOff>37187</xdr:rowOff>
    </xdr:from>
    <xdr:to>
      <xdr:col>34</xdr:col>
      <xdr:colOff>221383</xdr:colOff>
      <xdr:row>21</xdr:row>
      <xdr:rowOff>41412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CF635F6-9D73-9297-0F5F-239DA0EF4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gumil" refreshedDate="46279.581116435184" createdVersion="8" refreshedVersion="8" minRefreshableVersion="3" recordCount="202" xr:uid="{264C0670-8FF3-42EA-B422-D29955086384}">
  <cacheSource type="worksheet">
    <worksheetSource name="statek" sheet="Arkusz1"/>
  </cacheSource>
  <cacheFields count="9">
    <cacheField name="data" numFmtId="14">
      <sharedItems containsSemiMixedTypes="0" containsNonDate="0" containsDate="1" containsString="0" minDate="2016-01-01T00:00:00" maxDate="2018-12-19T00:00:00" count="56">
        <d v="2016-01-01T00:00:00"/>
        <d v="2016-01-16T00:00:00"/>
        <d v="2016-01-24T00:00:00"/>
        <d v="2016-02-19T00:00:00"/>
        <d v="2016-03-11T00:00:00"/>
        <d v="2016-04-04T00:00:00"/>
        <d v="2016-04-22T00:00:00"/>
        <d v="2016-05-14T00:00:00"/>
        <d v="2016-06-08T00:00:00"/>
        <d v="2016-06-21T00:00:00"/>
        <d v="2016-07-08T00:00:00"/>
        <d v="2016-07-23T00:00:00"/>
        <d v="2016-08-11T00:00:00"/>
        <d v="2016-09-06T00:00:00"/>
        <d v="2016-09-27T00:00:00"/>
        <d v="2016-10-21T00:00:00"/>
        <d v="2016-11-08T00:00:00"/>
        <d v="2016-11-30T00:00:00"/>
        <d v="2016-12-25T00:00:00"/>
        <d v="2017-01-07T00:00:00"/>
        <d v="2017-01-24T00:00:00"/>
        <d v="2017-02-08T00:00:00"/>
        <d v="2017-02-27T00:00:00"/>
        <d v="2017-03-25T00:00:00"/>
        <d v="2017-04-15T00:00:00"/>
        <d v="2017-05-09T00:00:00"/>
        <d v="2017-05-27T00:00:00"/>
        <d v="2017-06-18T00:00:00"/>
        <d v="2017-07-13T00:00:00"/>
        <d v="2017-07-26T00:00:00"/>
        <d v="2017-08-12T00:00:00"/>
        <d v="2017-08-27T00:00:00"/>
        <d v="2017-09-15T00:00:00"/>
        <d v="2017-10-11T00:00:00"/>
        <d v="2017-11-01T00:00:00"/>
        <d v="2017-11-25T00:00:00"/>
        <d v="2017-12-13T00:00:00"/>
        <d v="2018-01-04T00:00:00"/>
        <d v="2018-01-29T00:00:00"/>
        <d v="2018-01-30T00:00:00"/>
        <d v="2018-02-16T00:00:00"/>
        <d v="2018-03-03T00:00:00"/>
        <d v="2018-03-22T00:00:00"/>
        <d v="2018-04-17T00:00:00"/>
        <d v="2018-05-08T00:00:00"/>
        <d v="2018-06-01T00:00:00"/>
        <d v="2018-06-19T00:00:00"/>
        <d v="2018-07-11T00:00:00"/>
        <d v="2018-08-05T00:00:00"/>
        <d v="2018-08-18T00:00:00"/>
        <d v="2018-09-04T00:00:00"/>
        <d v="2018-09-19T00:00:00"/>
        <d v="2018-10-08T00:00:00"/>
        <d v="2018-11-03T00:00:00"/>
        <d v="2018-11-24T00:00:00"/>
        <d v="2018-12-18T00:00:00"/>
      </sharedItems>
      <fieldGroup par="8"/>
    </cacheField>
    <cacheField name="port" numFmtId="0">
      <sharedItems count="10">
        <s v="Algier"/>
        <s v="Tunis"/>
        <s v="Benghazi"/>
        <s v="Aleksandria"/>
        <s v="Bejrut"/>
        <s v="Palermo"/>
        <s v="Neapol"/>
        <s v="Monako"/>
        <s v="Barcelona"/>
        <s v="Walencja"/>
      </sharedItems>
    </cacheField>
    <cacheField name="towar" numFmtId="0">
      <sharedItems count="5">
        <s v="T4"/>
        <s v="T5"/>
        <s v="T1"/>
        <s v="T2"/>
        <s v="T3"/>
      </sharedItems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192"/>
    </cacheField>
    <cacheField name="cena za tone w talarach" numFmtId="0">
      <sharedItems containsSemiMixedTypes="0" containsString="0" containsNumber="1" containsInteger="1" minValue="7" maxValue="100"/>
    </cacheField>
    <cacheField name="Miesiące (data)" numFmtId="0" databaseField="0">
      <fieldGroup base="0">
        <rangePr groupBy="months" startDate="2016-01-01T00:00:00" endDate="2018-12-19T00:00:00"/>
        <groupItems count="14">
          <s v="&lt;1/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9/2018"/>
        </groupItems>
      </fieldGroup>
    </cacheField>
    <cacheField name="Kwartały (data)" numFmtId="0" databaseField="0">
      <fieldGroup base="0">
        <rangePr groupBy="quarters" startDate="2016-01-01T00:00:00" endDate="2018-12-19T00:00:00"/>
        <groupItems count="6">
          <s v="&lt;1/1/2016"/>
          <s v="Kwartał1"/>
          <s v="Kwartał2"/>
          <s v="Kwartał3"/>
          <s v="Kwartał4"/>
          <s v="&gt;12/19/2018"/>
        </groupItems>
      </fieldGroup>
    </cacheField>
    <cacheField name="Lata (data)" numFmtId="0" databaseField="0">
      <fieldGroup base="0">
        <rangePr groupBy="years" startDate="2016-01-01T00:00:00" endDate="2018-12-19T00:00:00"/>
        <groupItems count="5">
          <s v="&lt;1/1/2016"/>
          <s v="2016"/>
          <s v="2017"/>
          <s v="2018"/>
          <s v="&gt;12/19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gumil" refreshedDate="46279.600871527779" createdVersion="8" refreshedVersion="8" minRefreshableVersion="3" recordCount="10" xr:uid="{4AA1EB82-B906-43AE-9AFD-2037562A6B73}">
  <cacheSource type="worksheet">
    <worksheetSource ref="A1:F11" sheet="Arkusz1"/>
  </cacheSource>
  <cacheFields count="6">
    <cacheField name="data (MDR)" numFmtId="14">
      <sharedItems containsSemiMixedTypes="0" containsNonDate="0" containsDate="1" containsString="0" minDate="2016-01-01T00:00:00" maxDate="2016-01-25T00:00:00" count="3">
        <d v="2016-01-01T00:00:00"/>
        <d v="2016-01-16T00:00:00"/>
        <d v="2016-01-24T00:00:00"/>
      </sharedItems>
    </cacheField>
    <cacheField name="port" numFmtId="0">
      <sharedItems count="3">
        <s v="Algier"/>
        <s v="Tunis"/>
        <s v="Benghazi"/>
      </sharedItems>
    </cacheField>
    <cacheField name="towar" numFmtId="0">
      <sharedItems count="5">
        <s v="T4"/>
        <s v="T5"/>
        <s v="T1"/>
        <s v="T2"/>
        <s v="T3"/>
      </sharedItems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44"/>
    </cacheField>
    <cacheField name="cena za tone w talarach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gumil" refreshedDate="46279.603957407409" createdVersion="8" refreshedVersion="8" minRefreshableVersion="3" recordCount="172" xr:uid="{40A733DD-1FF4-4EA0-B2B7-9CA95ACC88FC}">
  <cacheSource type="worksheet">
    <worksheetSource ref="A1:F173" sheet="Arkusz1"/>
  </cacheSource>
  <cacheFields count="6">
    <cacheField name="data (MDR)" numFmtId="14">
      <sharedItems containsSemiMixedTypes="0" containsNonDate="0" containsDate="1" containsString="0" minDate="2016-01-01T00:00:00" maxDate="2018-07-12T00:00:00"/>
    </cacheField>
    <cacheField name="port" numFmtId="0">
      <sharedItems/>
    </cacheField>
    <cacheField name="towar" numFmtId="0">
      <sharedItems count="5">
        <s v="T4"/>
        <s v="T5"/>
        <s v="T1"/>
        <s v="T2"/>
        <s v="T3"/>
      </sharedItems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192"/>
    </cacheField>
    <cacheField name="cena za tone w talarach" numFmtId="0">
      <sharedItems containsSemiMixedTypes="0" containsString="0" containsNumber="1" containsInteger="1" minValue="7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gumil" refreshedDate="46279.636820717591" createdVersion="8" refreshedVersion="8" minRefreshableVersion="3" recordCount="202" xr:uid="{7CE6CA11-86A0-42B1-942F-354DCC513692}">
  <cacheSource type="worksheet">
    <worksheetSource ref="A1:I203" sheet="6.4"/>
  </cacheSource>
  <cacheFields count="9">
    <cacheField name="data" numFmtId="14">
      <sharedItems containsSemiMixedTypes="0" containsNonDate="0" containsDate="1" containsString="0" minDate="2016-01-01T00:00:00" maxDate="2018-12-19T00:00:00"/>
    </cacheField>
    <cacheField name="port" numFmtId="0">
      <sharedItems/>
    </cacheField>
    <cacheField name="towar" numFmtId="0">
      <sharedItems/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192"/>
    </cacheField>
    <cacheField name="cena za tone w talarach" numFmtId="0">
      <sharedItems containsSemiMixedTypes="0" containsString="0" containsNumber="1" containsInteger="1" minValue="7" maxValue="100"/>
    </cacheField>
    <cacheField name="rok_m" numFmtId="0">
      <sharedItems count="36"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</sharedItems>
    </cacheField>
    <cacheField name="Z_T5" numFmtId="0">
      <sharedItems containsSemiMixedTypes="0" containsString="0" containsNumber="1" containsInteger="1" minValue="0" maxValue="48" count="20">
        <n v="0"/>
        <n v="32"/>
        <n v="44"/>
        <n v="8"/>
        <n v="33"/>
        <n v="35"/>
        <n v="42"/>
        <n v="48"/>
        <n v="30"/>
        <n v="39"/>
        <n v="1"/>
        <n v="4"/>
        <n v="12"/>
        <n v="10"/>
        <n v="34"/>
        <n v="5"/>
        <n v="47"/>
        <n v="25"/>
        <n v="22"/>
        <n v="20"/>
      </sharedItems>
    </cacheField>
    <cacheField name="W_T5" numFmtId="0">
      <sharedItems containsSemiMixedTypes="0" containsString="0" containsNumber="1" containsInteger="1" minValue="0" maxValue="191" count="15">
        <n v="0"/>
        <n v="32"/>
        <n v="50"/>
        <n v="191"/>
        <n v="4"/>
        <n v="112"/>
        <n v="1"/>
        <n v="68"/>
        <n v="48"/>
        <n v="6"/>
        <n v="22"/>
        <n v="34"/>
        <n v="121"/>
        <n v="26"/>
        <n v="6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n v="3"/>
    <n v="80"/>
  </r>
  <r>
    <x v="0"/>
    <x v="0"/>
    <x v="1"/>
    <x v="0"/>
    <n v="32"/>
    <n v="50"/>
  </r>
  <r>
    <x v="0"/>
    <x v="0"/>
    <x v="2"/>
    <x v="0"/>
    <n v="38"/>
    <n v="10"/>
  </r>
  <r>
    <x v="0"/>
    <x v="0"/>
    <x v="3"/>
    <x v="0"/>
    <n v="33"/>
    <n v="30"/>
  </r>
  <r>
    <x v="0"/>
    <x v="0"/>
    <x v="4"/>
    <x v="0"/>
    <n v="43"/>
    <n v="25"/>
  </r>
  <r>
    <x v="1"/>
    <x v="1"/>
    <x v="1"/>
    <x v="1"/>
    <n v="32"/>
    <n v="58"/>
  </r>
  <r>
    <x v="1"/>
    <x v="1"/>
    <x v="3"/>
    <x v="0"/>
    <n v="14"/>
    <n v="26"/>
  </r>
  <r>
    <x v="2"/>
    <x v="2"/>
    <x v="1"/>
    <x v="0"/>
    <n v="44"/>
    <n v="46"/>
  </r>
  <r>
    <x v="2"/>
    <x v="2"/>
    <x v="3"/>
    <x v="0"/>
    <n v="1"/>
    <n v="28"/>
  </r>
  <r>
    <x v="2"/>
    <x v="2"/>
    <x v="0"/>
    <x v="0"/>
    <n v="21"/>
    <n v="74"/>
  </r>
  <r>
    <x v="3"/>
    <x v="3"/>
    <x v="4"/>
    <x v="1"/>
    <n v="43"/>
    <n v="32"/>
  </r>
  <r>
    <x v="3"/>
    <x v="3"/>
    <x v="2"/>
    <x v="1"/>
    <n v="38"/>
    <n v="13"/>
  </r>
  <r>
    <x v="3"/>
    <x v="3"/>
    <x v="0"/>
    <x v="0"/>
    <n v="9"/>
    <n v="59"/>
  </r>
  <r>
    <x v="3"/>
    <x v="3"/>
    <x v="1"/>
    <x v="0"/>
    <n v="8"/>
    <n v="37"/>
  </r>
  <r>
    <x v="4"/>
    <x v="4"/>
    <x v="1"/>
    <x v="1"/>
    <n v="50"/>
    <n v="61"/>
  </r>
  <r>
    <x v="4"/>
    <x v="4"/>
    <x v="4"/>
    <x v="0"/>
    <n v="32"/>
    <n v="20"/>
  </r>
  <r>
    <x v="4"/>
    <x v="4"/>
    <x v="2"/>
    <x v="0"/>
    <n v="7"/>
    <n v="8"/>
  </r>
  <r>
    <x v="4"/>
    <x v="4"/>
    <x v="3"/>
    <x v="0"/>
    <n v="10"/>
    <n v="24"/>
  </r>
  <r>
    <x v="5"/>
    <x v="5"/>
    <x v="2"/>
    <x v="1"/>
    <n v="7"/>
    <n v="12"/>
  </r>
  <r>
    <x v="5"/>
    <x v="5"/>
    <x v="4"/>
    <x v="0"/>
    <n v="25"/>
    <n v="19"/>
  </r>
  <r>
    <x v="5"/>
    <x v="5"/>
    <x v="1"/>
    <x v="0"/>
    <n v="33"/>
    <n v="38"/>
  </r>
  <r>
    <x v="6"/>
    <x v="6"/>
    <x v="3"/>
    <x v="1"/>
    <n v="36"/>
    <n v="35"/>
  </r>
  <r>
    <x v="6"/>
    <x v="6"/>
    <x v="0"/>
    <x v="0"/>
    <n v="5"/>
    <n v="66"/>
  </r>
  <r>
    <x v="6"/>
    <x v="6"/>
    <x v="1"/>
    <x v="0"/>
    <n v="35"/>
    <n v="41"/>
  </r>
  <r>
    <x v="7"/>
    <x v="7"/>
    <x v="0"/>
    <x v="1"/>
    <n v="38"/>
    <n v="98"/>
  </r>
  <r>
    <x v="7"/>
    <x v="7"/>
    <x v="3"/>
    <x v="0"/>
    <n v="10"/>
    <n v="23"/>
  </r>
  <r>
    <x v="8"/>
    <x v="8"/>
    <x v="3"/>
    <x v="1"/>
    <n v="4"/>
    <n v="38"/>
  </r>
  <r>
    <x v="8"/>
    <x v="8"/>
    <x v="0"/>
    <x v="0"/>
    <n v="42"/>
    <n v="60"/>
  </r>
  <r>
    <x v="8"/>
    <x v="8"/>
    <x v="2"/>
    <x v="0"/>
    <n v="28"/>
    <n v="8"/>
  </r>
  <r>
    <x v="8"/>
    <x v="8"/>
    <x v="4"/>
    <x v="0"/>
    <n v="19"/>
    <n v="19"/>
  </r>
  <r>
    <x v="9"/>
    <x v="9"/>
    <x v="4"/>
    <x v="1"/>
    <n v="72"/>
    <n v="28"/>
  </r>
  <r>
    <x v="9"/>
    <x v="9"/>
    <x v="0"/>
    <x v="1"/>
    <n v="42"/>
    <n v="90"/>
  </r>
  <r>
    <x v="9"/>
    <x v="9"/>
    <x v="1"/>
    <x v="0"/>
    <n v="42"/>
    <n v="44"/>
  </r>
  <r>
    <x v="9"/>
    <x v="9"/>
    <x v="3"/>
    <x v="0"/>
    <n v="33"/>
    <n v="26"/>
  </r>
  <r>
    <x v="9"/>
    <x v="9"/>
    <x v="2"/>
    <x v="0"/>
    <n v="9"/>
    <n v="9"/>
  </r>
  <r>
    <x v="10"/>
    <x v="0"/>
    <x v="4"/>
    <x v="1"/>
    <n v="4"/>
    <n v="29"/>
  </r>
  <r>
    <x v="10"/>
    <x v="0"/>
    <x v="2"/>
    <x v="1"/>
    <n v="37"/>
    <n v="12"/>
  </r>
  <r>
    <x v="10"/>
    <x v="0"/>
    <x v="1"/>
    <x v="0"/>
    <n v="35"/>
    <n v="42"/>
  </r>
  <r>
    <x v="10"/>
    <x v="0"/>
    <x v="0"/>
    <x v="0"/>
    <n v="32"/>
    <n v="66"/>
  </r>
  <r>
    <x v="11"/>
    <x v="1"/>
    <x v="0"/>
    <x v="1"/>
    <n v="32"/>
    <n v="92"/>
  </r>
  <r>
    <x v="11"/>
    <x v="1"/>
    <x v="1"/>
    <x v="0"/>
    <n v="48"/>
    <n v="43"/>
  </r>
  <r>
    <x v="12"/>
    <x v="2"/>
    <x v="1"/>
    <x v="1"/>
    <n v="191"/>
    <n v="60"/>
  </r>
  <r>
    <x v="12"/>
    <x v="2"/>
    <x v="3"/>
    <x v="0"/>
    <n v="9"/>
    <n v="24"/>
  </r>
  <r>
    <x v="12"/>
    <x v="2"/>
    <x v="0"/>
    <x v="0"/>
    <n v="36"/>
    <n v="65"/>
  </r>
  <r>
    <x v="13"/>
    <x v="3"/>
    <x v="2"/>
    <x v="0"/>
    <n v="47"/>
    <n v="7"/>
  </r>
  <r>
    <x v="13"/>
    <x v="3"/>
    <x v="1"/>
    <x v="1"/>
    <n v="4"/>
    <n v="63"/>
  </r>
  <r>
    <x v="13"/>
    <x v="3"/>
    <x v="4"/>
    <x v="0"/>
    <n v="8"/>
    <n v="19"/>
  </r>
  <r>
    <x v="13"/>
    <x v="3"/>
    <x v="3"/>
    <x v="0"/>
    <n v="3"/>
    <n v="22"/>
  </r>
  <r>
    <x v="13"/>
    <x v="3"/>
    <x v="0"/>
    <x v="0"/>
    <n v="41"/>
    <n v="59"/>
  </r>
  <r>
    <x v="14"/>
    <x v="4"/>
    <x v="1"/>
    <x v="0"/>
    <n v="44"/>
    <n v="40"/>
  </r>
  <r>
    <x v="14"/>
    <x v="4"/>
    <x v="2"/>
    <x v="1"/>
    <n v="45"/>
    <n v="12"/>
  </r>
  <r>
    <x v="14"/>
    <x v="4"/>
    <x v="4"/>
    <x v="0"/>
    <n v="40"/>
    <n v="20"/>
  </r>
  <r>
    <x v="14"/>
    <x v="4"/>
    <x v="0"/>
    <x v="0"/>
    <n v="3"/>
    <n v="63"/>
  </r>
  <r>
    <x v="14"/>
    <x v="4"/>
    <x v="3"/>
    <x v="0"/>
    <n v="17"/>
    <n v="24"/>
  </r>
  <r>
    <x v="15"/>
    <x v="5"/>
    <x v="2"/>
    <x v="1"/>
    <n v="2"/>
    <n v="12"/>
  </r>
  <r>
    <x v="15"/>
    <x v="5"/>
    <x v="4"/>
    <x v="0"/>
    <n v="14"/>
    <n v="19"/>
  </r>
  <r>
    <x v="15"/>
    <x v="5"/>
    <x v="3"/>
    <x v="0"/>
    <n v="23"/>
    <n v="23"/>
  </r>
  <r>
    <x v="16"/>
    <x v="6"/>
    <x v="2"/>
    <x v="0"/>
    <n v="11"/>
    <n v="8"/>
  </r>
  <r>
    <x v="16"/>
    <x v="6"/>
    <x v="0"/>
    <x v="0"/>
    <n v="17"/>
    <n v="66"/>
  </r>
  <r>
    <x v="16"/>
    <x v="6"/>
    <x v="1"/>
    <x v="0"/>
    <n v="30"/>
    <n v="41"/>
  </r>
  <r>
    <x v="17"/>
    <x v="7"/>
    <x v="0"/>
    <x v="1"/>
    <n v="97"/>
    <n v="98"/>
  </r>
  <r>
    <x v="17"/>
    <x v="7"/>
    <x v="2"/>
    <x v="1"/>
    <n v="11"/>
    <n v="12"/>
  </r>
  <r>
    <x v="17"/>
    <x v="7"/>
    <x v="4"/>
    <x v="0"/>
    <n v="17"/>
    <n v="20"/>
  </r>
  <r>
    <x v="17"/>
    <x v="7"/>
    <x v="3"/>
    <x v="0"/>
    <n v="4"/>
    <n v="23"/>
  </r>
  <r>
    <x v="18"/>
    <x v="8"/>
    <x v="4"/>
    <x v="1"/>
    <n v="79"/>
    <n v="31"/>
  </r>
  <r>
    <x v="18"/>
    <x v="8"/>
    <x v="0"/>
    <x v="0"/>
    <n v="33"/>
    <n v="60"/>
  </r>
  <r>
    <x v="18"/>
    <x v="8"/>
    <x v="3"/>
    <x v="0"/>
    <n v="26"/>
    <n v="23"/>
  </r>
  <r>
    <x v="19"/>
    <x v="9"/>
    <x v="4"/>
    <x v="0"/>
    <n v="40"/>
    <n v="22"/>
  </r>
  <r>
    <x v="19"/>
    <x v="9"/>
    <x v="2"/>
    <x v="0"/>
    <n v="42"/>
    <n v="9"/>
  </r>
  <r>
    <x v="19"/>
    <x v="9"/>
    <x v="3"/>
    <x v="0"/>
    <n v="42"/>
    <n v="26"/>
  </r>
  <r>
    <x v="19"/>
    <x v="9"/>
    <x v="0"/>
    <x v="0"/>
    <n v="9"/>
    <n v="70"/>
  </r>
  <r>
    <x v="19"/>
    <x v="9"/>
    <x v="1"/>
    <x v="0"/>
    <n v="39"/>
    <n v="44"/>
  </r>
  <r>
    <x v="20"/>
    <x v="0"/>
    <x v="1"/>
    <x v="1"/>
    <n v="112"/>
    <n v="59"/>
  </r>
  <r>
    <x v="20"/>
    <x v="0"/>
    <x v="0"/>
    <x v="0"/>
    <n v="34"/>
    <n v="66"/>
  </r>
  <r>
    <x v="20"/>
    <x v="0"/>
    <x v="4"/>
    <x v="0"/>
    <n v="5"/>
    <n v="21"/>
  </r>
  <r>
    <x v="21"/>
    <x v="1"/>
    <x v="0"/>
    <x v="1"/>
    <n v="74"/>
    <n v="92"/>
  </r>
  <r>
    <x v="21"/>
    <x v="1"/>
    <x v="3"/>
    <x v="0"/>
    <n v="14"/>
    <n v="26"/>
  </r>
  <r>
    <x v="22"/>
    <x v="2"/>
    <x v="1"/>
    <x v="1"/>
    <n v="1"/>
    <n v="60"/>
  </r>
  <r>
    <x v="22"/>
    <x v="2"/>
    <x v="3"/>
    <x v="1"/>
    <n v="43"/>
    <n v="36"/>
  </r>
  <r>
    <x v="22"/>
    <x v="2"/>
    <x v="2"/>
    <x v="0"/>
    <n v="30"/>
    <n v="8"/>
  </r>
  <r>
    <x v="22"/>
    <x v="2"/>
    <x v="4"/>
    <x v="0"/>
    <n v="14"/>
    <n v="20"/>
  </r>
  <r>
    <x v="23"/>
    <x v="3"/>
    <x v="3"/>
    <x v="1"/>
    <n v="33"/>
    <n v="38"/>
  </r>
  <r>
    <x v="23"/>
    <x v="3"/>
    <x v="1"/>
    <x v="0"/>
    <n v="35"/>
    <n v="37"/>
  </r>
  <r>
    <x v="23"/>
    <x v="3"/>
    <x v="4"/>
    <x v="0"/>
    <n v="40"/>
    <n v="19"/>
  </r>
  <r>
    <x v="24"/>
    <x v="4"/>
    <x v="3"/>
    <x v="1"/>
    <n v="21"/>
    <n v="36"/>
  </r>
  <r>
    <x v="24"/>
    <x v="4"/>
    <x v="0"/>
    <x v="1"/>
    <n v="2"/>
    <n v="97"/>
  </r>
  <r>
    <x v="24"/>
    <x v="4"/>
    <x v="4"/>
    <x v="0"/>
    <n v="12"/>
    <n v="20"/>
  </r>
  <r>
    <x v="24"/>
    <x v="4"/>
    <x v="2"/>
    <x v="0"/>
    <n v="15"/>
    <n v="8"/>
  </r>
  <r>
    <x v="24"/>
    <x v="4"/>
    <x v="1"/>
    <x v="0"/>
    <n v="1"/>
    <n v="40"/>
  </r>
  <r>
    <x v="25"/>
    <x v="5"/>
    <x v="2"/>
    <x v="1"/>
    <n v="86"/>
    <n v="12"/>
  </r>
  <r>
    <x v="25"/>
    <x v="5"/>
    <x v="4"/>
    <x v="1"/>
    <n v="110"/>
    <n v="31"/>
  </r>
  <r>
    <x v="25"/>
    <x v="5"/>
    <x v="1"/>
    <x v="0"/>
    <n v="33"/>
    <n v="38"/>
  </r>
  <r>
    <x v="25"/>
    <x v="5"/>
    <x v="3"/>
    <x v="0"/>
    <n v="13"/>
    <n v="23"/>
  </r>
  <r>
    <x v="25"/>
    <x v="5"/>
    <x v="0"/>
    <x v="0"/>
    <n v="37"/>
    <n v="61"/>
  </r>
  <r>
    <x v="26"/>
    <x v="6"/>
    <x v="2"/>
    <x v="1"/>
    <n v="1"/>
    <n v="12"/>
  </r>
  <r>
    <x v="26"/>
    <x v="6"/>
    <x v="1"/>
    <x v="1"/>
    <n v="68"/>
    <n v="59"/>
  </r>
  <r>
    <x v="26"/>
    <x v="6"/>
    <x v="0"/>
    <x v="0"/>
    <n v="35"/>
    <n v="66"/>
  </r>
  <r>
    <x v="26"/>
    <x v="6"/>
    <x v="4"/>
    <x v="0"/>
    <n v="25"/>
    <n v="21"/>
  </r>
  <r>
    <x v="26"/>
    <x v="6"/>
    <x v="3"/>
    <x v="0"/>
    <n v="10"/>
    <n v="25"/>
  </r>
  <r>
    <x v="27"/>
    <x v="7"/>
    <x v="3"/>
    <x v="1"/>
    <n v="38"/>
    <n v="37"/>
  </r>
  <r>
    <x v="27"/>
    <x v="7"/>
    <x v="2"/>
    <x v="0"/>
    <n v="22"/>
    <n v="8"/>
  </r>
  <r>
    <x v="27"/>
    <x v="7"/>
    <x v="4"/>
    <x v="0"/>
    <n v="25"/>
    <n v="20"/>
  </r>
  <r>
    <x v="27"/>
    <x v="7"/>
    <x v="1"/>
    <x v="0"/>
    <n v="8"/>
    <n v="39"/>
  </r>
  <r>
    <x v="27"/>
    <x v="7"/>
    <x v="0"/>
    <x v="0"/>
    <n v="45"/>
    <n v="62"/>
  </r>
  <r>
    <x v="28"/>
    <x v="8"/>
    <x v="0"/>
    <x v="1"/>
    <n v="116"/>
    <n v="100"/>
  </r>
  <r>
    <x v="28"/>
    <x v="8"/>
    <x v="4"/>
    <x v="0"/>
    <n v="29"/>
    <n v="19"/>
  </r>
  <r>
    <x v="29"/>
    <x v="9"/>
    <x v="3"/>
    <x v="1"/>
    <n v="5"/>
    <n v="34"/>
  </r>
  <r>
    <x v="29"/>
    <x v="9"/>
    <x v="2"/>
    <x v="1"/>
    <n v="22"/>
    <n v="11"/>
  </r>
  <r>
    <x v="29"/>
    <x v="9"/>
    <x v="4"/>
    <x v="0"/>
    <n v="37"/>
    <n v="22"/>
  </r>
  <r>
    <x v="29"/>
    <x v="9"/>
    <x v="0"/>
    <x v="0"/>
    <n v="10"/>
    <n v="70"/>
  </r>
  <r>
    <x v="29"/>
    <x v="9"/>
    <x v="1"/>
    <x v="0"/>
    <n v="42"/>
    <n v="44"/>
  </r>
  <r>
    <x v="30"/>
    <x v="0"/>
    <x v="0"/>
    <x v="1"/>
    <n v="11"/>
    <n v="94"/>
  </r>
  <r>
    <x v="30"/>
    <x v="0"/>
    <x v="1"/>
    <x v="1"/>
    <n v="48"/>
    <n v="59"/>
  </r>
  <r>
    <x v="30"/>
    <x v="0"/>
    <x v="4"/>
    <x v="0"/>
    <n v="20"/>
    <n v="21"/>
  </r>
  <r>
    <x v="30"/>
    <x v="0"/>
    <x v="3"/>
    <x v="0"/>
    <n v="26"/>
    <n v="25"/>
  </r>
  <r>
    <x v="31"/>
    <x v="1"/>
    <x v="2"/>
    <x v="0"/>
    <n v="24"/>
    <n v="9"/>
  </r>
  <r>
    <x v="31"/>
    <x v="1"/>
    <x v="0"/>
    <x v="0"/>
    <n v="38"/>
    <n v="68"/>
  </r>
  <r>
    <x v="31"/>
    <x v="1"/>
    <x v="4"/>
    <x v="0"/>
    <n v="14"/>
    <n v="21"/>
  </r>
  <r>
    <x v="31"/>
    <x v="1"/>
    <x v="1"/>
    <x v="0"/>
    <n v="4"/>
    <n v="43"/>
  </r>
  <r>
    <x v="32"/>
    <x v="2"/>
    <x v="3"/>
    <x v="1"/>
    <n v="19"/>
    <n v="36"/>
  </r>
  <r>
    <x v="32"/>
    <x v="2"/>
    <x v="0"/>
    <x v="0"/>
    <n v="30"/>
    <n v="65"/>
  </r>
  <r>
    <x v="33"/>
    <x v="3"/>
    <x v="1"/>
    <x v="1"/>
    <n v="6"/>
    <n v="63"/>
  </r>
  <r>
    <x v="33"/>
    <x v="3"/>
    <x v="0"/>
    <x v="0"/>
    <n v="43"/>
    <n v="59"/>
  </r>
  <r>
    <x v="34"/>
    <x v="4"/>
    <x v="1"/>
    <x v="1"/>
    <n v="1"/>
    <n v="61"/>
  </r>
  <r>
    <x v="34"/>
    <x v="4"/>
    <x v="4"/>
    <x v="1"/>
    <n v="147"/>
    <n v="30"/>
  </r>
  <r>
    <x v="34"/>
    <x v="4"/>
    <x v="2"/>
    <x v="0"/>
    <n v="15"/>
    <n v="8"/>
  </r>
  <r>
    <x v="34"/>
    <x v="4"/>
    <x v="0"/>
    <x v="0"/>
    <n v="24"/>
    <n v="63"/>
  </r>
  <r>
    <x v="34"/>
    <x v="4"/>
    <x v="3"/>
    <x v="0"/>
    <n v="19"/>
    <n v="24"/>
  </r>
  <r>
    <x v="35"/>
    <x v="5"/>
    <x v="0"/>
    <x v="1"/>
    <n v="134"/>
    <n v="99"/>
  </r>
  <r>
    <x v="35"/>
    <x v="5"/>
    <x v="1"/>
    <x v="0"/>
    <n v="12"/>
    <n v="38"/>
  </r>
  <r>
    <x v="36"/>
    <x v="6"/>
    <x v="4"/>
    <x v="1"/>
    <n v="4"/>
    <n v="30"/>
  </r>
  <r>
    <x v="36"/>
    <x v="6"/>
    <x v="2"/>
    <x v="0"/>
    <n v="26"/>
    <n v="8"/>
  </r>
  <r>
    <x v="36"/>
    <x v="6"/>
    <x v="0"/>
    <x v="0"/>
    <n v="38"/>
    <n v="66"/>
  </r>
  <r>
    <x v="37"/>
    <x v="7"/>
    <x v="0"/>
    <x v="1"/>
    <n v="38"/>
    <n v="98"/>
  </r>
  <r>
    <x v="37"/>
    <x v="7"/>
    <x v="3"/>
    <x v="1"/>
    <n v="44"/>
    <n v="37"/>
  </r>
  <r>
    <x v="37"/>
    <x v="7"/>
    <x v="2"/>
    <x v="0"/>
    <n v="21"/>
    <n v="8"/>
  </r>
  <r>
    <x v="37"/>
    <x v="7"/>
    <x v="1"/>
    <x v="0"/>
    <n v="10"/>
    <n v="39"/>
  </r>
  <r>
    <x v="38"/>
    <x v="8"/>
    <x v="3"/>
    <x v="1"/>
    <n v="15"/>
    <n v="38"/>
  </r>
  <r>
    <x v="38"/>
    <x v="8"/>
    <x v="1"/>
    <x v="1"/>
    <n v="22"/>
    <n v="63"/>
  </r>
  <r>
    <x v="38"/>
    <x v="8"/>
    <x v="0"/>
    <x v="0"/>
    <n v="9"/>
    <n v="60"/>
  </r>
  <r>
    <x v="38"/>
    <x v="8"/>
    <x v="4"/>
    <x v="0"/>
    <n v="6"/>
    <n v="19"/>
  </r>
  <r>
    <x v="38"/>
    <x v="8"/>
    <x v="2"/>
    <x v="0"/>
    <n v="4"/>
    <n v="8"/>
  </r>
  <r>
    <x v="39"/>
    <x v="9"/>
    <x v="4"/>
    <x v="1"/>
    <n v="6"/>
    <n v="25"/>
  </r>
  <r>
    <x v="39"/>
    <x v="9"/>
    <x v="0"/>
    <x v="0"/>
    <n v="48"/>
    <n v="79"/>
  </r>
  <r>
    <x v="40"/>
    <x v="0"/>
    <x v="1"/>
    <x v="0"/>
    <n v="34"/>
    <n v="42"/>
  </r>
  <r>
    <x v="40"/>
    <x v="0"/>
    <x v="3"/>
    <x v="1"/>
    <n v="49"/>
    <n v="35"/>
  </r>
  <r>
    <x v="40"/>
    <x v="0"/>
    <x v="2"/>
    <x v="0"/>
    <n v="10"/>
    <n v="8"/>
  </r>
  <r>
    <x v="40"/>
    <x v="0"/>
    <x v="4"/>
    <x v="0"/>
    <n v="47"/>
    <n v="21"/>
  </r>
  <r>
    <x v="40"/>
    <x v="0"/>
    <x v="0"/>
    <x v="0"/>
    <n v="48"/>
    <n v="66"/>
  </r>
  <r>
    <x v="41"/>
    <x v="1"/>
    <x v="1"/>
    <x v="1"/>
    <n v="34"/>
    <n v="58"/>
  </r>
  <r>
    <x v="41"/>
    <x v="1"/>
    <x v="2"/>
    <x v="0"/>
    <n v="5"/>
    <n v="9"/>
  </r>
  <r>
    <x v="42"/>
    <x v="2"/>
    <x v="4"/>
    <x v="1"/>
    <n v="46"/>
    <n v="30"/>
  </r>
  <r>
    <x v="42"/>
    <x v="2"/>
    <x v="0"/>
    <x v="0"/>
    <n v="49"/>
    <n v="65"/>
  </r>
  <r>
    <x v="42"/>
    <x v="2"/>
    <x v="2"/>
    <x v="0"/>
    <n v="16"/>
    <n v="8"/>
  </r>
  <r>
    <x v="43"/>
    <x v="3"/>
    <x v="1"/>
    <x v="0"/>
    <n v="5"/>
    <n v="37"/>
  </r>
  <r>
    <x v="43"/>
    <x v="3"/>
    <x v="4"/>
    <x v="1"/>
    <n v="1"/>
    <n v="32"/>
  </r>
  <r>
    <x v="43"/>
    <x v="3"/>
    <x v="2"/>
    <x v="0"/>
    <n v="34"/>
    <n v="7"/>
  </r>
  <r>
    <x v="43"/>
    <x v="3"/>
    <x v="0"/>
    <x v="0"/>
    <n v="29"/>
    <n v="59"/>
  </r>
  <r>
    <x v="44"/>
    <x v="4"/>
    <x v="3"/>
    <x v="0"/>
    <n v="34"/>
    <n v="24"/>
  </r>
  <r>
    <x v="44"/>
    <x v="4"/>
    <x v="4"/>
    <x v="0"/>
    <n v="27"/>
    <n v="20"/>
  </r>
  <r>
    <x v="44"/>
    <x v="4"/>
    <x v="2"/>
    <x v="0"/>
    <n v="40"/>
    <n v="8"/>
  </r>
  <r>
    <x v="45"/>
    <x v="5"/>
    <x v="0"/>
    <x v="1"/>
    <n v="184"/>
    <n v="99"/>
  </r>
  <r>
    <x v="45"/>
    <x v="5"/>
    <x v="1"/>
    <x v="0"/>
    <n v="48"/>
    <n v="38"/>
  </r>
  <r>
    <x v="45"/>
    <x v="5"/>
    <x v="3"/>
    <x v="0"/>
    <n v="21"/>
    <n v="23"/>
  </r>
  <r>
    <x v="46"/>
    <x v="6"/>
    <x v="0"/>
    <x v="0"/>
    <n v="47"/>
    <n v="66"/>
  </r>
  <r>
    <x v="46"/>
    <x v="6"/>
    <x v="3"/>
    <x v="0"/>
    <n v="6"/>
    <n v="25"/>
  </r>
  <r>
    <x v="46"/>
    <x v="6"/>
    <x v="1"/>
    <x v="0"/>
    <n v="47"/>
    <n v="41"/>
  </r>
  <r>
    <x v="47"/>
    <x v="7"/>
    <x v="2"/>
    <x v="1"/>
    <n v="192"/>
    <n v="12"/>
  </r>
  <r>
    <x v="47"/>
    <x v="7"/>
    <x v="3"/>
    <x v="1"/>
    <n v="48"/>
    <n v="37"/>
  </r>
  <r>
    <x v="47"/>
    <x v="7"/>
    <x v="0"/>
    <x v="0"/>
    <n v="18"/>
    <n v="62"/>
  </r>
  <r>
    <x v="47"/>
    <x v="7"/>
    <x v="1"/>
    <x v="0"/>
    <n v="25"/>
    <n v="39"/>
  </r>
  <r>
    <x v="47"/>
    <x v="7"/>
    <x v="4"/>
    <x v="0"/>
    <n v="2"/>
    <n v="20"/>
  </r>
  <r>
    <x v="48"/>
    <x v="8"/>
    <x v="3"/>
    <x v="1"/>
    <n v="13"/>
    <n v="38"/>
  </r>
  <r>
    <x v="48"/>
    <x v="8"/>
    <x v="1"/>
    <x v="1"/>
    <n v="121"/>
    <n v="63"/>
  </r>
  <r>
    <x v="48"/>
    <x v="8"/>
    <x v="4"/>
    <x v="0"/>
    <n v="30"/>
    <n v="19"/>
  </r>
  <r>
    <x v="48"/>
    <x v="8"/>
    <x v="2"/>
    <x v="0"/>
    <n v="46"/>
    <n v="8"/>
  </r>
  <r>
    <x v="49"/>
    <x v="9"/>
    <x v="2"/>
    <x v="1"/>
    <n v="49"/>
    <n v="11"/>
  </r>
  <r>
    <x v="49"/>
    <x v="9"/>
    <x v="0"/>
    <x v="1"/>
    <n v="61"/>
    <n v="90"/>
  </r>
  <r>
    <x v="49"/>
    <x v="9"/>
    <x v="4"/>
    <x v="0"/>
    <n v="19"/>
    <n v="22"/>
  </r>
  <r>
    <x v="49"/>
    <x v="9"/>
    <x v="1"/>
    <x v="0"/>
    <n v="22"/>
    <n v="44"/>
  </r>
  <r>
    <x v="50"/>
    <x v="0"/>
    <x v="3"/>
    <x v="0"/>
    <n v="9"/>
    <n v="25"/>
  </r>
  <r>
    <x v="50"/>
    <x v="0"/>
    <x v="0"/>
    <x v="1"/>
    <n v="4"/>
    <n v="94"/>
  </r>
  <r>
    <x v="50"/>
    <x v="0"/>
    <x v="4"/>
    <x v="0"/>
    <n v="8"/>
    <n v="21"/>
  </r>
  <r>
    <x v="50"/>
    <x v="0"/>
    <x v="2"/>
    <x v="0"/>
    <n v="47"/>
    <n v="8"/>
  </r>
  <r>
    <x v="51"/>
    <x v="1"/>
    <x v="4"/>
    <x v="1"/>
    <n v="82"/>
    <n v="29"/>
  </r>
  <r>
    <x v="51"/>
    <x v="1"/>
    <x v="1"/>
    <x v="1"/>
    <n v="26"/>
    <n v="58"/>
  </r>
  <r>
    <x v="51"/>
    <x v="1"/>
    <x v="2"/>
    <x v="0"/>
    <n v="24"/>
    <n v="9"/>
  </r>
  <r>
    <x v="51"/>
    <x v="1"/>
    <x v="3"/>
    <x v="0"/>
    <n v="36"/>
    <n v="26"/>
  </r>
  <r>
    <x v="51"/>
    <x v="1"/>
    <x v="0"/>
    <x v="0"/>
    <n v="6"/>
    <n v="68"/>
  </r>
  <r>
    <x v="52"/>
    <x v="2"/>
    <x v="3"/>
    <x v="1"/>
    <n v="45"/>
    <n v="36"/>
  </r>
  <r>
    <x v="52"/>
    <x v="2"/>
    <x v="2"/>
    <x v="0"/>
    <n v="18"/>
    <n v="8"/>
  </r>
  <r>
    <x v="52"/>
    <x v="2"/>
    <x v="1"/>
    <x v="0"/>
    <n v="20"/>
    <n v="41"/>
  </r>
  <r>
    <x v="53"/>
    <x v="3"/>
    <x v="4"/>
    <x v="1"/>
    <n v="4"/>
    <n v="32"/>
  </r>
  <r>
    <x v="53"/>
    <x v="3"/>
    <x v="1"/>
    <x v="0"/>
    <n v="48"/>
    <n v="37"/>
  </r>
  <r>
    <x v="54"/>
    <x v="4"/>
    <x v="1"/>
    <x v="1"/>
    <n v="64"/>
    <n v="61"/>
  </r>
  <r>
    <x v="54"/>
    <x v="4"/>
    <x v="0"/>
    <x v="0"/>
    <n v="43"/>
    <n v="63"/>
  </r>
  <r>
    <x v="54"/>
    <x v="4"/>
    <x v="3"/>
    <x v="0"/>
    <n v="24"/>
    <n v="24"/>
  </r>
  <r>
    <x v="55"/>
    <x v="5"/>
    <x v="1"/>
    <x v="1"/>
    <n v="4"/>
    <n v="62"/>
  </r>
  <r>
    <x v="55"/>
    <x v="5"/>
    <x v="4"/>
    <x v="0"/>
    <n v="35"/>
    <n v="19"/>
  </r>
  <r>
    <x v="55"/>
    <x v="5"/>
    <x v="2"/>
    <x v="0"/>
    <n v="41"/>
    <n v="8"/>
  </r>
  <r>
    <x v="55"/>
    <x v="5"/>
    <x v="0"/>
    <x v="0"/>
    <n v="23"/>
    <n v="61"/>
  </r>
  <r>
    <x v="55"/>
    <x v="5"/>
    <x v="3"/>
    <x v="0"/>
    <n v="46"/>
    <n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3"/>
    <n v="80"/>
  </r>
  <r>
    <x v="0"/>
    <x v="0"/>
    <x v="1"/>
    <x v="0"/>
    <n v="32"/>
    <n v="50"/>
  </r>
  <r>
    <x v="0"/>
    <x v="0"/>
    <x v="2"/>
    <x v="0"/>
    <n v="38"/>
    <n v="10"/>
  </r>
  <r>
    <x v="0"/>
    <x v="0"/>
    <x v="3"/>
    <x v="0"/>
    <n v="33"/>
    <n v="30"/>
  </r>
  <r>
    <x v="0"/>
    <x v="0"/>
    <x v="4"/>
    <x v="0"/>
    <n v="43"/>
    <n v="25"/>
  </r>
  <r>
    <x v="1"/>
    <x v="1"/>
    <x v="1"/>
    <x v="1"/>
    <n v="32"/>
    <n v="58"/>
  </r>
  <r>
    <x v="1"/>
    <x v="1"/>
    <x v="3"/>
    <x v="0"/>
    <n v="14"/>
    <n v="26"/>
  </r>
  <r>
    <x v="2"/>
    <x v="2"/>
    <x v="1"/>
    <x v="0"/>
    <n v="44"/>
    <n v="46"/>
  </r>
  <r>
    <x v="2"/>
    <x v="2"/>
    <x v="3"/>
    <x v="0"/>
    <n v="1"/>
    <n v="28"/>
  </r>
  <r>
    <x v="2"/>
    <x v="2"/>
    <x v="0"/>
    <x v="0"/>
    <n v="21"/>
    <n v="7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d v="2016-01-01T00:00:00"/>
    <s v="Algier"/>
    <x v="0"/>
    <x v="0"/>
    <n v="3"/>
    <n v="80"/>
  </r>
  <r>
    <d v="2016-01-01T00:00:00"/>
    <s v="Algier"/>
    <x v="1"/>
    <x v="0"/>
    <n v="32"/>
    <n v="50"/>
  </r>
  <r>
    <d v="2016-01-01T00:00:00"/>
    <s v="Algier"/>
    <x v="2"/>
    <x v="0"/>
    <n v="38"/>
    <n v="10"/>
  </r>
  <r>
    <d v="2016-01-01T00:00:00"/>
    <s v="Algier"/>
    <x v="3"/>
    <x v="0"/>
    <n v="33"/>
    <n v="30"/>
  </r>
  <r>
    <d v="2016-01-01T00:00:00"/>
    <s v="Algier"/>
    <x v="4"/>
    <x v="0"/>
    <n v="43"/>
    <n v="25"/>
  </r>
  <r>
    <d v="2016-01-16T00:00:00"/>
    <s v="Tunis"/>
    <x v="1"/>
    <x v="1"/>
    <n v="32"/>
    <n v="58"/>
  </r>
  <r>
    <d v="2016-01-16T00:00:00"/>
    <s v="Tunis"/>
    <x v="3"/>
    <x v="0"/>
    <n v="14"/>
    <n v="26"/>
  </r>
  <r>
    <d v="2016-01-24T00:00:00"/>
    <s v="Benghazi"/>
    <x v="1"/>
    <x v="0"/>
    <n v="44"/>
    <n v="46"/>
  </r>
  <r>
    <d v="2016-01-24T00:00:00"/>
    <s v="Benghazi"/>
    <x v="3"/>
    <x v="0"/>
    <n v="1"/>
    <n v="28"/>
  </r>
  <r>
    <d v="2016-01-24T00:00:00"/>
    <s v="Benghazi"/>
    <x v="0"/>
    <x v="0"/>
    <n v="21"/>
    <n v="74"/>
  </r>
  <r>
    <d v="2016-02-19T00:00:00"/>
    <s v="Aleksandria"/>
    <x v="4"/>
    <x v="1"/>
    <n v="43"/>
    <n v="32"/>
  </r>
  <r>
    <d v="2016-02-19T00:00:00"/>
    <s v="Aleksandria"/>
    <x v="2"/>
    <x v="1"/>
    <n v="38"/>
    <n v="13"/>
  </r>
  <r>
    <d v="2016-02-19T00:00:00"/>
    <s v="Aleksandria"/>
    <x v="0"/>
    <x v="0"/>
    <n v="9"/>
    <n v="59"/>
  </r>
  <r>
    <d v="2016-02-19T00:00:00"/>
    <s v="Aleksandria"/>
    <x v="1"/>
    <x v="0"/>
    <n v="8"/>
    <n v="37"/>
  </r>
  <r>
    <d v="2016-03-11T00:00:00"/>
    <s v="Bejrut"/>
    <x v="1"/>
    <x v="1"/>
    <n v="50"/>
    <n v="61"/>
  </r>
  <r>
    <d v="2016-03-11T00:00:00"/>
    <s v="Bejrut"/>
    <x v="4"/>
    <x v="0"/>
    <n v="32"/>
    <n v="20"/>
  </r>
  <r>
    <d v="2016-03-11T00:00:00"/>
    <s v="Bejrut"/>
    <x v="2"/>
    <x v="0"/>
    <n v="7"/>
    <n v="8"/>
  </r>
  <r>
    <d v="2016-03-11T00:00:00"/>
    <s v="Bejrut"/>
    <x v="3"/>
    <x v="0"/>
    <n v="10"/>
    <n v="24"/>
  </r>
  <r>
    <d v="2016-04-04T00:00:00"/>
    <s v="Palermo"/>
    <x v="2"/>
    <x v="1"/>
    <n v="7"/>
    <n v="12"/>
  </r>
  <r>
    <d v="2016-04-04T00:00:00"/>
    <s v="Palermo"/>
    <x v="4"/>
    <x v="0"/>
    <n v="25"/>
    <n v="19"/>
  </r>
  <r>
    <d v="2016-04-04T00:00:00"/>
    <s v="Palermo"/>
    <x v="1"/>
    <x v="0"/>
    <n v="33"/>
    <n v="38"/>
  </r>
  <r>
    <d v="2016-04-22T00:00:00"/>
    <s v="Neapol"/>
    <x v="3"/>
    <x v="1"/>
    <n v="36"/>
    <n v="35"/>
  </r>
  <r>
    <d v="2016-04-22T00:00:00"/>
    <s v="Neapol"/>
    <x v="0"/>
    <x v="0"/>
    <n v="5"/>
    <n v="66"/>
  </r>
  <r>
    <d v="2016-04-22T00:00:00"/>
    <s v="Neapol"/>
    <x v="1"/>
    <x v="0"/>
    <n v="35"/>
    <n v="41"/>
  </r>
  <r>
    <d v="2016-05-14T00:00:00"/>
    <s v="Monako"/>
    <x v="0"/>
    <x v="1"/>
    <n v="38"/>
    <n v="98"/>
  </r>
  <r>
    <d v="2016-05-14T00:00:00"/>
    <s v="Monako"/>
    <x v="3"/>
    <x v="0"/>
    <n v="10"/>
    <n v="23"/>
  </r>
  <r>
    <d v="2016-06-08T00:00:00"/>
    <s v="Barcelona"/>
    <x v="3"/>
    <x v="1"/>
    <n v="4"/>
    <n v="38"/>
  </r>
  <r>
    <d v="2016-06-08T00:00:00"/>
    <s v="Barcelona"/>
    <x v="0"/>
    <x v="0"/>
    <n v="42"/>
    <n v="60"/>
  </r>
  <r>
    <d v="2016-06-08T00:00:00"/>
    <s v="Barcelona"/>
    <x v="2"/>
    <x v="0"/>
    <n v="28"/>
    <n v="8"/>
  </r>
  <r>
    <d v="2016-06-08T00:00:00"/>
    <s v="Barcelona"/>
    <x v="4"/>
    <x v="0"/>
    <n v="19"/>
    <n v="19"/>
  </r>
  <r>
    <d v="2016-06-21T00:00:00"/>
    <s v="Walencja"/>
    <x v="4"/>
    <x v="1"/>
    <n v="72"/>
    <n v="28"/>
  </r>
  <r>
    <d v="2016-06-21T00:00:00"/>
    <s v="Walencja"/>
    <x v="0"/>
    <x v="1"/>
    <n v="42"/>
    <n v="90"/>
  </r>
  <r>
    <d v="2016-06-21T00:00:00"/>
    <s v="Walencja"/>
    <x v="1"/>
    <x v="0"/>
    <n v="42"/>
    <n v="44"/>
  </r>
  <r>
    <d v="2016-06-21T00:00:00"/>
    <s v="Walencja"/>
    <x v="3"/>
    <x v="0"/>
    <n v="33"/>
    <n v="26"/>
  </r>
  <r>
    <d v="2016-06-21T00:00:00"/>
    <s v="Walencja"/>
    <x v="2"/>
    <x v="0"/>
    <n v="9"/>
    <n v="9"/>
  </r>
  <r>
    <d v="2016-07-08T00:00:00"/>
    <s v="Algier"/>
    <x v="4"/>
    <x v="1"/>
    <n v="4"/>
    <n v="29"/>
  </r>
  <r>
    <d v="2016-07-08T00:00:00"/>
    <s v="Algier"/>
    <x v="2"/>
    <x v="1"/>
    <n v="37"/>
    <n v="12"/>
  </r>
  <r>
    <d v="2016-07-08T00:00:00"/>
    <s v="Algier"/>
    <x v="1"/>
    <x v="0"/>
    <n v="35"/>
    <n v="42"/>
  </r>
  <r>
    <d v="2016-07-08T00:00:00"/>
    <s v="Algier"/>
    <x v="0"/>
    <x v="0"/>
    <n v="32"/>
    <n v="66"/>
  </r>
  <r>
    <d v="2016-07-23T00:00:00"/>
    <s v="Tunis"/>
    <x v="0"/>
    <x v="1"/>
    <n v="32"/>
    <n v="92"/>
  </r>
  <r>
    <d v="2016-07-23T00:00:00"/>
    <s v="Tunis"/>
    <x v="1"/>
    <x v="0"/>
    <n v="48"/>
    <n v="43"/>
  </r>
  <r>
    <d v="2016-08-11T00:00:00"/>
    <s v="Benghazi"/>
    <x v="1"/>
    <x v="1"/>
    <n v="191"/>
    <n v="60"/>
  </r>
  <r>
    <d v="2016-08-11T00:00:00"/>
    <s v="Benghazi"/>
    <x v="3"/>
    <x v="0"/>
    <n v="9"/>
    <n v="24"/>
  </r>
  <r>
    <d v="2016-08-11T00:00:00"/>
    <s v="Benghazi"/>
    <x v="0"/>
    <x v="0"/>
    <n v="36"/>
    <n v="65"/>
  </r>
  <r>
    <d v="2016-09-06T00:00:00"/>
    <s v="Aleksandria"/>
    <x v="2"/>
    <x v="0"/>
    <n v="47"/>
    <n v="7"/>
  </r>
  <r>
    <d v="2016-09-06T00:00:00"/>
    <s v="Aleksandria"/>
    <x v="1"/>
    <x v="1"/>
    <n v="4"/>
    <n v="63"/>
  </r>
  <r>
    <d v="2016-09-06T00:00:00"/>
    <s v="Aleksandria"/>
    <x v="4"/>
    <x v="0"/>
    <n v="8"/>
    <n v="19"/>
  </r>
  <r>
    <d v="2016-09-06T00:00:00"/>
    <s v="Aleksandria"/>
    <x v="3"/>
    <x v="0"/>
    <n v="3"/>
    <n v="22"/>
  </r>
  <r>
    <d v="2016-09-06T00:00:00"/>
    <s v="Aleksandria"/>
    <x v="0"/>
    <x v="0"/>
    <n v="41"/>
    <n v="59"/>
  </r>
  <r>
    <d v="2016-09-27T00:00:00"/>
    <s v="Bejrut"/>
    <x v="1"/>
    <x v="0"/>
    <n v="44"/>
    <n v="40"/>
  </r>
  <r>
    <d v="2016-09-27T00:00:00"/>
    <s v="Bejrut"/>
    <x v="2"/>
    <x v="1"/>
    <n v="45"/>
    <n v="12"/>
  </r>
  <r>
    <d v="2016-09-27T00:00:00"/>
    <s v="Bejrut"/>
    <x v="4"/>
    <x v="0"/>
    <n v="40"/>
    <n v="20"/>
  </r>
  <r>
    <d v="2016-09-27T00:00:00"/>
    <s v="Bejrut"/>
    <x v="0"/>
    <x v="0"/>
    <n v="3"/>
    <n v="63"/>
  </r>
  <r>
    <d v="2016-09-27T00:00:00"/>
    <s v="Bejrut"/>
    <x v="3"/>
    <x v="0"/>
    <n v="17"/>
    <n v="24"/>
  </r>
  <r>
    <d v="2016-10-21T00:00:00"/>
    <s v="Palermo"/>
    <x v="2"/>
    <x v="1"/>
    <n v="2"/>
    <n v="12"/>
  </r>
  <r>
    <d v="2016-10-21T00:00:00"/>
    <s v="Palermo"/>
    <x v="4"/>
    <x v="0"/>
    <n v="14"/>
    <n v="19"/>
  </r>
  <r>
    <d v="2016-10-21T00:00:00"/>
    <s v="Palermo"/>
    <x v="3"/>
    <x v="0"/>
    <n v="23"/>
    <n v="23"/>
  </r>
  <r>
    <d v="2016-11-08T00:00:00"/>
    <s v="Neapol"/>
    <x v="2"/>
    <x v="0"/>
    <n v="11"/>
    <n v="8"/>
  </r>
  <r>
    <d v="2016-11-08T00:00:00"/>
    <s v="Neapol"/>
    <x v="0"/>
    <x v="0"/>
    <n v="17"/>
    <n v="66"/>
  </r>
  <r>
    <d v="2016-11-08T00:00:00"/>
    <s v="Neapol"/>
    <x v="1"/>
    <x v="0"/>
    <n v="30"/>
    <n v="41"/>
  </r>
  <r>
    <d v="2016-11-30T00:00:00"/>
    <s v="Monako"/>
    <x v="0"/>
    <x v="1"/>
    <n v="97"/>
    <n v="98"/>
  </r>
  <r>
    <d v="2016-11-30T00:00:00"/>
    <s v="Monako"/>
    <x v="2"/>
    <x v="1"/>
    <n v="11"/>
    <n v="12"/>
  </r>
  <r>
    <d v="2016-11-30T00:00:00"/>
    <s v="Monako"/>
    <x v="4"/>
    <x v="0"/>
    <n v="17"/>
    <n v="20"/>
  </r>
  <r>
    <d v="2016-11-30T00:00:00"/>
    <s v="Monako"/>
    <x v="3"/>
    <x v="0"/>
    <n v="4"/>
    <n v="23"/>
  </r>
  <r>
    <d v="2016-12-25T00:00:00"/>
    <s v="Barcelona"/>
    <x v="4"/>
    <x v="1"/>
    <n v="79"/>
    <n v="31"/>
  </r>
  <r>
    <d v="2016-12-25T00:00:00"/>
    <s v="Barcelona"/>
    <x v="0"/>
    <x v="0"/>
    <n v="33"/>
    <n v="60"/>
  </r>
  <r>
    <d v="2016-12-25T00:00:00"/>
    <s v="Barcelona"/>
    <x v="3"/>
    <x v="0"/>
    <n v="26"/>
    <n v="23"/>
  </r>
  <r>
    <d v="2017-01-07T00:00:00"/>
    <s v="Walencja"/>
    <x v="4"/>
    <x v="0"/>
    <n v="40"/>
    <n v="22"/>
  </r>
  <r>
    <d v="2017-01-07T00:00:00"/>
    <s v="Walencja"/>
    <x v="2"/>
    <x v="0"/>
    <n v="42"/>
    <n v="9"/>
  </r>
  <r>
    <d v="2017-01-07T00:00:00"/>
    <s v="Walencja"/>
    <x v="3"/>
    <x v="0"/>
    <n v="42"/>
    <n v="26"/>
  </r>
  <r>
    <d v="2017-01-07T00:00:00"/>
    <s v="Walencja"/>
    <x v="0"/>
    <x v="0"/>
    <n v="9"/>
    <n v="70"/>
  </r>
  <r>
    <d v="2017-01-07T00:00:00"/>
    <s v="Walencja"/>
    <x v="1"/>
    <x v="0"/>
    <n v="39"/>
    <n v="44"/>
  </r>
  <r>
    <d v="2017-01-24T00:00:00"/>
    <s v="Algier"/>
    <x v="1"/>
    <x v="1"/>
    <n v="112"/>
    <n v="59"/>
  </r>
  <r>
    <d v="2017-01-24T00:00:00"/>
    <s v="Algier"/>
    <x v="0"/>
    <x v="0"/>
    <n v="34"/>
    <n v="66"/>
  </r>
  <r>
    <d v="2017-01-24T00:00:00"/>
    <s v="Algier"/>
    <x v="4"/>
    <x v="0"/>
    <n v="5"/>
    <n v="21"/>
  </r>
  <r>
    <d v="2017-02-08T00:00:00"/>
    <s v="Tunis"/>
    <x v="0"/>
    <x v="1"/>
    <n v="74"/>
    <n v="92"/>
  </r>
  <r>
    <d v="2017-02-08T00:00:00"/>
    <s v="Tunis"/>
    <x v="3"/>
    <x v="0"/>
    <n v="14"/>
    <n v="26"/>
  </r>
  <r>
    <d v="2017-02-27T00:00:00"/>
    <s v="Benghazi"/>
    <x v="1"/>
    <x v="1"/>
    <n v="1"/>
    <n v="60"/>
  </r>
  <r>
    <d v="2017-02-27T00:00:00"/>
    <s v="Benghazi"/>
    <x v="3"/>
    <x v="1"/>
    <n v="43"/>
    <n v="36"/>
  </r>
  <r>
    <d v="2017-02-27T00:00:00"/>
    <s v="Benghazi"/>
    <x v="2"/>
    <x v="0"/>
    <n v="30"/>
    <n v="8"/>
  </r>
  <r>
    <d v="2017-02-27T00:00:00"/>
    <s v="Benghazi"/>
    <x v="4"/>
    <x v="0"/>
    <n v="14"/>
    <n v="20"/>
  </r>
  <r>
    <d v="2017-03-25T00:00:00"/>
    <s v="Aleksandria"/>
    <x v="3"/>
    <x v="1"/>
    <n v="33"/>
    <n v="38"/>
  </r>
  <r>
    <d v="2017-03-25T00:00:00"/>
    <s v="Aleksandria"/>
    <x v="1"/>
    <x v="0"/>
    <n v="35"/>
    <n v="37"/>
  </r>
  <r>
    <d v="2017-03-25T00:00:00"/>
    <s v="Aleksandria"/>
    <x v="4"/>
    <x v="0"/>
    <n v="40"/>
    <n v="19"/>
  </r>
  <r>
    <d v="2017-04-15T00:00:00"/>
    <s v="Bejrut"/>
    <x v="3"/>
    <x v="1"/>
    <n v="21"/>
    <n v="36"/>
  </r>
  <r>
    <d v="2017-04-15T00:00:00"/>
    <s v="Bejrut"/>
    <x v="0"/>
    <x v="1"/>
    <n v="2"/>
    <n v="97"/>
  </r>
  <r>
    <d v="2017-04-15T00:00:00"/>
    <s v="Bejrut"/>
    <x v="4"/>
    <x v="0"/>
    <n v="12"/>
    <n v="20"/>
  </r>
  <r>
    <d v="2017-04-15T00:00:00"/>
    <s v="Bejrut"/>
    <x v="2"/>
    <x v="0"/>
    <n v="15"/>
    <n v="8"/>
  </r>
  <r>
    <d v="2017-04-15T00:00:00"/>
    <s v="Bejrut"/>
    <x v="1"/>
    <x v="0"/>
    <n v="1"/>
    <n v="40"/>
  </r>
  <r>
    <d v="2017-05-09T00:00:00"/>
    <s v="Palermo"/>
    <x v="2"/>
    <x v="1"/>
    <n v="86"/>
    <n v="12"/>
  </r>
  <r>
    <d v="2017-05-09T00:00:00"/>
    <s v="Palermo"/>
    <x v="4"/>
    <x v="1"/>
    <n v="110"/>
    <n v="31"/>
  </r>
  <r>
    <d v="2017-05-09T00:00:00"/>
    <s v="Palermo"/>
    <x v="1"/>
    <x v="0"/>
    <n v="33"/>
    <n v="38"/>
  </r>
  <r>
    <d v="2017-05-09T00:00:00"/>
    <s v="Palermo"/>
    <x v="3"/>
    <x v="0"/>
    <n v="13"/>
    <n v="23"/>
  </r>
  <r>
    <d v="2017-05-09T00:00:00"/>
    <s v="Palermo"/>
    <x v="0"/>
    <x v="0"/>
    <n v="37"/>
    <n v="61"/>
  </r>
  <r>
    <d v="2017-05-27T00:00:00"/>
    <s v="Neapol"/>
    <x v="2"/>
    <x v="1"/>
    <n v="1"/>
    <n v="12"/>
  </r>
  <r>
    <d v="2017-05-27T00:00:00"/>
    <s v="Neapol"/>
    <x v="1"/>
    <x v="1"/>
    <n v="68"/>
    <n v="59"/>
  </r>
  <r>
    <d v="2017-05-27T00:00:00"/>
    <s v="Neapol"/>
    <x v="0"/>
    <x v="0"/>
    <n v="35"/>
    <n v="66"/>
  </r>
  <r>
    <d v="2017-05-27T00:00:00"/>
    <s v="Neapol"/>
    <x v="4"/>
    <x v="0"/>
    <n v="25"/>
    <n v="21"/>
  </r>
  <r>
    <d v="2017-05-27T00:00:00"/>
    <s v="Neapol"/>
    <x v="3"/>
    <x v="0"/>
    <n v="10"/>
    <n v="25"/>
  </r>
  <r>
    <d v="2017-06-18T00:00:00"/>
    <s v="Monako"/>
    <x v="3"/>
    <x v="1"/>
    <n v="38"/>
    <n v="37"/>
  </r>
  <r>
    <d v="2017-06-18T00:00:00"/>
    <s v="Monako"/>
    <x v="2"/>
    <x v="0"/>
    <n v="22"/>
    <n v="8"/>
  </r>
  <r>
    <d v="2017-06-18T00:00:00"/>
    <s v="Monako"/>
    <x v="4"/>
    <x v="0"/>
    <n v="25"/>
    <n v="20"/>
  </r>
  <r>
    <d v="2017-06-18T00:00:00"/>
    <s v="Monako"/>
    <x v="1"/>
    <x v="0"/>
    <n v="8"/>
    <n v="39"/>
  </r>
  <r>
    <d v="2017-06-18T00:00:00"/>
    <s v="Monako"/>
    <x v="0"/>
    <x v="0"/>
    <n v="45"/>
    <n v="62"/>
  </r>
  <r>
    <d v="2017-07-13T00:00:00"/>
    <s v="Barcelona"/>
    <x v="0"/>
    <x v="1"/>
    <n v="116"/>
    <n v="100"/>
  </r>
  <r>
    <d v="2017-07-13T00:00:00"/>
    <s v="Barcelona"/>
    <x v="4"/>
    <x v="0"/>
    <n v="29"/>
    <n v="19"/>
  </r>
  <r>
    <d v="2017-07-26T00:00:00"/>
    <s v="Walencja"/>
    <x v="3"/>
    <x v="1"/>
    <n v="5"/>
    <n v="34"/>
  </r>
  <r>
    <d v="2017-07-26T00:00:00"/>
    <s v="Walencja"/>
    <x v="2"/>
    <x v="1"/>
    <n v="22"/>
    <n v="11"/>
  </r>
  <r>
    <d v="2017-07-26T00:00:00"/>
    <s v="Walencja"/>
    <x v="4"/>
    <x v="0"/>
    <n v="37"/>
    <n v="22"/>
  </r>
  <r>
    <d v="2017-07-26T00:00:00"/>
    <s v="Walencja"/>
    <x v="0"/>
    <x v="0"/>
    <n v="10"/>
    <n v="70"/>
  </r>
  <r>
    <d v="2017-07-26T00:00:00"/>
    <s v="Walencja"/>
    <x v="1"/>
    <x v="0"/>
    <n v="42"/>
    <n v="44"/>
  </r>
  <r>
    <d v="2017-08-12T00:00:00"/>
    <s v="Algier"/>
    <x v="0"/>
    <x v="1"/>
    <n v="11"/>
    <n v="94"/>
  </r>
  <r>
    <d v="2017-08-12T00:00:00"/>
    <s v="Algier"/>
    <x v="1"/>
    <x v="1"/>
    <n v="48"/>
    <n v="59"/>
  </r>
  <r>
    <d v="2017-08-12T00:00:00"/>
    <s v="Algier"/>
    <x v="4"/>
    <x v="0"/>
    <n v="20"/>
    <n v="21"/>
  </r>
  <r>
    <d v="2017-08-12T00:00:00"/>
    <s v="Algier"/>
    <x v="3"/>
    <x v="0"/>
    <n v="26"/>
    <n v="25"/>
  </r>
  <r>
    <d v="2017-08-27T00:00:00"/>
    <s v="Tunis"/>
    <x v="2"/>
    <x v="0"/>
    <n v="24"/>
    <n v="9"/>
  </r>
  <r>
    <d v="2017-08-27T00:00:00"/>
    <s v="Tunis"/>
    <x v="0"/>
    <x v="0"/>
    <n v="38"/>
    <n v="68"/>
  </r>
  <r>
    <d v="2017-08-27T00:00:00"/>
    <s v="Tunis"/>
    <x v="4"/>
    <x v="0"/>
    <n v="14"/>
    <n v="21"/>
  </r>
  <r>
    <d v="2017-08-27T00:00:00"/>
    <s v="Tunis"/>
    <x v="1"/>
    <x v="0"/>
    <n v="4"/>
    <n v="43"/>
  </r>
  <r>
    <d v="2017-09-15T00:00:00"/>
    <s v="Benghazi"/>
    <x v="3"/>
    <x v="1"/>
    <n v="19"/>
    <n v="36"/>
  </r>
  <r>
    <d v="2017-09-15T00:00:00"/>
    <s v="Benghazi"/>
    <x v="0"/>
    <x v="0"/>
    <n v="30"/>
    <n v="65"/>
  </r>
  <r>
    <d v="2017-10-11T00:00:00"/>
    <s v="Aleksandria"/>
    <x v="1"/>
    <x v="1"/>
    <n v="6"/>
    <n v="63"/>
  </r>
  <r>
    <d v="2017-10-11T00:00:00"/>
    <s v="Aleksandria"/>
    <x v="0"/>
    <x v="0"/>
    <n v="43"/>
    <n v="59"/>
  </r>
  <r>
    <d v="2017-11-01T00:00:00"/>
    <s v="Bejrut"/>
    <x v="1"/>
    <x v="1"/>
    <n v="1"/>
    <n v="61"/>
  </r>
  <r>
    <d v="2017-11-01T00:00:00"/>
    <s v="Bejrut"/>
    <x v="4"/>
    <x v="1"/>
    <n v="147"/>
    <n v="30"/>
  </r>
  <r>
    <d v="2017-11-01T00:00:00"/>
    <s v="Bejrut"/>
    <x v="2"/>
    <x v="0"/>
    <n v="15"/>
    <n v="8"/>
  </r>
  <r>
    <d v="2017-11-01T00:00:00"/>
    <s v="Bejrut"/>
    <x v="0"/>
    <x v="0"/>
    <n v="24"/>
    <n v="63"/>
  </r>
  <r>
    <d v="2017-11-01T00:00:00"/>
    <s v="Bejrut"/>
    <x v="3"/>
    <x v="0"/>
    <n v="19"/>
    <n v="24"/>
  </r>
  <r>
    <d v="2017-11-25T00:00:00"/>
    <s v="Palermo"/>
    <x v="0"/>
    <x v="1"/>
    <n v="134"/>
    <n v="99"/>
  </r>
  <r>
    <d v="2017-11-25T00:00:00"/>
    <s v="Palermo"/>
    <x v="1"/>
    <x v="0"/>
    <n v="12"/>
    <n v="38"/>
  </r>
  <r>
    <d v="2017-12-13T00:00:00"/>
    <s v="Neapol"/>
    <x v="4"/>
    <x v="1"/>
    <n v="4"/>
    <n v="30"/>
  </r>
  <r>
    <d v="2017-12-13T00:00:00"/>
    <s v="Neapol"/>
    <x v="2"/>
    <x v="0"/>
    <n v="26"/>
    <n v="8"/>
  </r>
  <r>
    <d v="2017-12-13T00:00:00"/>
    <s v="Neapol"/>
    <x v="0"/>
    <x v="0"/>
    <n v="38"/>
    <n v="66"/>
  </r>
  <r>
    <d v="2018-01-04T00:00:00"/>
    <s v="Monako"/>
    <x v="0"/>
    <x v="1"/>
    <n v="38"/>
    <n v="98"/>
  </r>
  <r>
    <d v="2018-01-04T00:00:00"/>
    <s v="Monako"/>
    <x v="3"/>
    <x v="1"/>
    <n v="44"/>
    <n v="37"/>
  </r>
  <r>
    <d v="2018-01-04T00:00:00"/>
    <s v="Monako"/>
    <x v="2"/>
    <x v="0"/>
    <n v="21"/>
    <n v="8"/>
  </r>
  <r>
    <d v="2018-01-04T00:00:00"/>
    <s v="Monako"/>
    <x v="1"/>
    <x v="0"/>
    <n v="10"/>
    <n v="39"/>
  </r>
  <r>
    <d v="2018-01-29T00:00:00"/>
    <s v="Barcelona"/>
    <x v="3"/>
    <x v="1"/>
    <n v="15"/>
    <n v="38"/>
  </r>
  <r>
    <d v="2018-01-29T00:00:00"/>
    <s v="Barcelona"/>
    <x v="1"/>
    <x v="1"/>
    <n v="22"/>
    <n v="63"/>
  </r>
  <r>
    <d v="2018-01-29T00:00:00"/>
    <s v="Barcelona"/>
    <x v="0"/>
    <x v="0"/>
    <n v="9"/>
    <n v="60"/>
  </r>
  <r>
    <d v="2018-01-29T00:00:00"/>
    <s v="Barcelona"/>
    <x v="4"/>
    <x v="0"/>
    <n v="6"/>
    <n v="19"/>
  </r>
  <r>
    <d v="2018-01-29T00:00:00"/>
    <s v="Barcelona"/>
    <x v="2"/>
    <x v="0"/>
    <n v="4"/>
    <n v="8"/>
  </r>
  <r>
    <d v="2018-01-30T00:00:00"/>
    <s v="Walencja"/>
    <x v="4"/>
    <x v="1"/>
    <n v="6"/>
    <n v="25"/>
  </r>
  <r>
    <d v="2018-01-30T00:00:00"/>
    <s v="Walencja"/>
    <x v="0"/>
    <x v="0"/>
    <n v="48"/>
    <n v="79"/>
  </r>
  <r>
    <d v="2018-02-16T00:00:00"/>
    <s v="Algier"/>
    <x v="1"/>
    <x v="0"/>
    <n v="34"/>
    <n v="42"/>
  </r>
  <r>
    <d v="2018-02-16T00:00:00"/>
    <s v="Algier"/>
    <x v="3"/>
    <x v="1"/>
    <n v="49"/>
    <n v="35"/>
  </r>
  <r>
    <d v="2018-02-16T00:00:00"/>
    <s v="Algier"/>
    <x v="2"/>
    <x v="0"/>
    <n v="10"/>
    <n v="8"/>
  </r>
  <r>
    <d v="2018-02-16T00:00:00"/>
    <s v="Algier"/>
    <x v="4"/>
    <x v="0"/>
    <n v="47"/>
    <n v="21"/>
  </r>
  <r>
    <d v="2018-02-16T00:00:00"/>
    <s v="Algier"/>
    <x v="0"/>
    <x v="0"/>
    <n v="48"/>
    <n v="66"/>
  </r>
  <r>
    <d v="2018-03-03T00:00:00"/>
    <s v="Tunis"/>
    <x v="1"/>
    <x v="1"/>
    <n v="34"/>
    <n v="58"/>
  </r>
  <r>
    <d v="2018-03-03T00:00:00"/>
    <s v="Tunis"/>
    <x v="2"/>
    <x v="0"/>
    <n v="5"/>
    <n v="9"/>
  </r>
  <r>
    <d v="2018-03-22T00:00:00"/>
    <s v="Benghazi"/>
    <x v="4"/>
    <x v="1"/>
    <n v="46"/>
    <n v="30"/>
  </r>
  <r>
    <d v="2018-03-22T00:00:00"/>
    <s v="Benghazi"/>
    <x v="0"/>
    <x v="0"/>
    <n v="49"/>
    <n v="65"/>
  </r>
  <r>
    <d v="2018-03-22T00:00:00"/>
    <s v="Benghazi"/>
    <x v="2"/>
    <x v="0"/>
    <n v="16"/>
    <n v="8"/>
  </r>
  <r>
    <d v="2018-04-17T00:00:00"/>
    <s v="Aleksandria"/>
    <x v="1"/>
    <x v="0"/>
    <n v="5"/>
    <n v="37"/>
  </r>
  <r>
    <d v="2018-04-17T00:00:00"/>
    <s v="Aleksandria"/>
    <x v="4"/>
    <x v="1"/>
    <n v="1"/>
    <n v="32"/>
  </r>
  <r>
    <d v="2018-04-17T00:00:00"/>
    <s v="Aleksandria"/>
    <x v="2"/>
    <x v="0"/>
    <n v="34"/>
    <n v="7"/>
  </r>
  <r>
    <d v="2018-04-17T00:00:00"/>
    <s v="Aleksandria"/>
    <x v="0"/>
    <x v="0"/>
    <n v="29"/>
    <n v="59"/>
  </r>
  <r>
    <d v="2018-05-08T00:00:00"/>
    <s v="Bejrut"/>
    <x v="3"/>
    <x v="0"/>
    <n v="34"/>
    <n v="24"/>
  </r>
  <r>
    <d v="2018-05-08T00:00:00"/>
    <s v="Bejrut"/>
    <x v="4"/>
    <x v="0"/>
    <n v="27"/>
    <n v="20"/>
  </r>
  <r>
    <d v="2018-05-08T00:00:00"/>
    <s v="Bejrut"/>
    <x v="2"/>
    <x v="0"/>
    <n v="40"/>
    <n v="8"/>
  </r>
  <r>
    <d v="2018-06-01T00:00:00"/>
    <s v="Palermo"/>
    <x v="0"/>
    <x v="1"/>
    <n v="184"/>
    <n v="99"/>
  </r>
  <r>
    <d v="2018-06-01T00:00:00"/>
    <s v="Palermo"/>
    <x v="1"/>
    <x v="0"/>
    <n v="48"/>
    <n v="38"/>
  </r>
  <r>
    <d v="2018-06-01T00:00:00"/>
    <s v="Palermo"/>
    <x v="3"/>
    <x v="0"/>
    <n v="21"/>
    <n v="23"/>
  </r>
  <r>
    <d v="2018-06-19T00:00:00"/>
    <s v="Neapol"/>
    <x v="0"/>
    <x v="0"/>
    <n v="47"/>
    <n v="66"/>
  </r>
  <r>
    <d v="2018-06-19T00:00:00"/>
    <s v="Neapol"/>
    <x v="3"/>
    <x v="0"/>
    <n v="6"/>
    <n v="25"/>
  </r>
  <r>
    <d v="2018-06-19T00:00:00"/>
    <s v="Neapol"/>
    <x v="1"/>
    <x v="0"/>
    <n v="47"/>
    <n v="41"/>
  </r>
  <r>
    <d v="2018-07-11T00:00:00"/>
    <s v="Monako"/>
    <x v="2"/>
    <x v="1"/>
    <n v="192"/>
    <n v="12"/>
  </r>
  <r>
    <d v="2018-07-11T00:00:00"/>
    <s v="Monako"/>
    <x v="3"/>
    <x v="1"/>
    <n v="48"/>
    <n v="37"/>
  </r>
  <r>
    <d v="2018-07-11T00:00:00"/>
    <s v="Monako"/>
    <x v="0"/>
    <x v="0"/>
    <n v="18"/>
    <n v="62"/>
  </r>
  <r>
    <d v="2018-07-11T00:00:00"/>
    <s v="Monako"/>
    <x v="1"/>
    <x v="0"/>
    <n v="25"/>
    <n v="39"/>
  </r>
  <r>
    <d v="2018-07-11T00:00:00"/>
    <s v="Monako"/>
    <x v="4"/>
    <x v="0"/>
    <n v="2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d v="2016-01-01T00:00:00"/>
    <s v="Algier"/>
    <s v="T4"/>
    <x v="0"/>
    <n v="3"/>
    <n v="80"/>
    <x v="0"/>
    <x v="0"/>
    <x v="0"/>
  </r>
  <r>
    <d v="2016-01-01T00:00:00"/>
    <s v="Algier"/>
    <s v="T5"/>
    <x v="0"/>
    <n v="32"/>
    <n v="50"/>
    <x v="0"/>
    <x v="1"/>
    <x v="0"/>
  </r>
  <r>
    <d v="2016-01-01T00:00:00"/>
    <s v="Algier"/>
    <s v="T1"/>
    <x v="0"/>
    <n v="38"/>
    <n v="10"/>
    <x v="0"/>
    <x v="0"/>
    <x v="0"/>
  </r>
  <r>
    <d v="2016-01-01T00:00:00"/>
    <s v="Algier"/>
    <s v="T2"/>
    <x v="0"/>
    <n v="33"/>
    <n v="30"/>
    <x v="0"/>
    <x v="0"/>
    <x v="0"/>
  </r>
  <r>
    <d v="2016-01-01T00:00:00"/>
    <s v="Algier"/>
    <s v="T3"/>
    <x v="0"/>
    <n v="43"/>
    <n v="25"/>
    <x v="0"/>
    <x v="0"/>
    <x v="0"/>
  </r>
  <r>
    <d v="2016-01-16T00:00:00"/>
    <s v="Tunis"/>
    <s v="T5"/>
    <x v="1"/>
    <n v="32"/>
    <n v="58"/>
    <x v="0"/>
    <x v="0"/>
    <x v="1"/>
  </r>
  <r>
    <d v="2016-01-16T00:00:00"/>
    <s v="Tunis"/>
    <s v="T2"/>
    <x v="0"/>
    <n v="14"/>
    <n v="26"/>
    <x v="0"/>
    <x v="0"/>
    <x v="0"/>
  </r>
  <r>
    <d v="2016-01-24T00:00:00"/>
    <s v="Benghazi"/>
    <s v="T5"/>
    <x v="0"/>
    <n v="44"/>
    <n v="46"/>
    <x v="0"/>
    <x v="2"/>
    <x v="0"/>
  </r>
  <r>
    <d v="2016-01-24T00:00:00"/>
    <s v="Benghazi"/>
    <s v="T2"/>
    <x v="0"/>
    <n v="1"/>
    <n v="28"/>
    <x v="0"/>
    <x v="0"/>
    <x v="0"/>
  </r>
  <r>
    <d v="2016-01-24T00:00:00"/>
    <s v="Benghazi"/>
    <s v="T4"/>
    <x v="0"/>
    <n v="21"/>
    <n v="74"/>
    <x v="0"/>
    <x v="0"/>
    <x v="0"/>
  </r>
  <r>
    <d v="2016-02-19T00:00:00"/>
    <s v="Aleksandria"/>
    <s v="T3"/>
    <x v="1"/>
    <n v="43"/>
    <n v="32"/>
    <x v="1"/>
    <x v="0"/>
    <x v="0"/>
  </r>
  <r>
    <d v="2016-02-19T00:00:00"/>
    <s v="Aleksandria"/>
    <s v="T1"/>
    <x v="1"/>
    <n v="38"/>
    <n v="13"/>
    <x v="1"/>
    <x v="0"/>
    <x v="0"/>
  </r>
  <r>
    <d v="2016-02-19T00:00:00"/>
    <s v="Aleksandria"/>
    <s v="T4"/>
    <x v="0"/>
    <n v="9"/>
    <n v="59"/>
    <x v="1"/>
    <x v="0"/>
    <x v="0"/>
  </r>
  <r>
    <d v="2016-02-19T00:00:00"/>
    <s v="Aleksandria"/>
    <s v="T5"/>
    <x v="0"/>
    <n v="8"/>
    <n v="37"/>
    <x v="1"/>
    <x v="3"/>
    <x v="0"/>
  </r>
  <r>
    <d v="2016-03-11T00:00:00"/>
    <s v="Bejrut"/>
    <s v="T5"/>
    <x v="1"/>
    <n v="50"/>
    <n v="61"/>
    <x v="2"/>
    <x v="0"/>
    <x v="2"/>
  </r>
  <r>
    <d v="2016-03-11T00:00:00"/>
    <s v="Bejrut"/>
    <s v="T3"/>
    <x v="0"/>
    <n v="32"/>
    <n v="20"/>
    <x v="2"/>
    <x v="0"/>
    <x v="0"/>
  </r>
  <r>
    <d v="2016-03-11T00:00:00"/>
    <s v="Bejrut"/>
    <s v="T1"/>
    <x v="0"/>
    <n v="7"/>
    <n v="8"/>
    <x v="2"/>
    <x v="0"/>
    <x v="0"/>
  </r>
  <r>
    <d v="2016-03-11T00:00:00"/>
    <s v="Bejrut"/>
    <s v="T2"/>
    <x v="0"/>
    <n v="10"/>
    <n v="24"/>
    <x v="2"/>
    <x v="0"/>
    <x v="0"/>
  </r>
  <r>
    <d v="2016-04-04T00:00:00"/>
    <s v="Palermo"/>
    <s v="T1"/>
    <x v="1"/>
    <n v="7"/>
    <n v="12"/>
    <x v="3"/>
    <x v="0"/>
    <x v="0"/>
  </r>
  <r>
    <d v="2016-04-04T00:00:00"/>
    <s v="Palermo"/>
    <s v="T3"/>
    <x v="0"/>
    <n v="25"/>
    <n v="19"/>
    <x v="3"/>
    <x v="0"/>
    <x v="0"/>
  </r>
  <r>
    <d v="2016-04-04T00:00:00"/>
    <s v="Palermo"/>
    <s v="T5"/>
    <x v="0"/>
    <n v="33"/>
    <n v="38"/>
    <x v="3"/>
    <x v="4"/>
    <x v="0"/>
  </r>
  <r>
    <d v="2016-04-22T00:00:00"/>
    <s v="Neapol"/>
    <s v="T2"/>
    <x v="1"/>
    <n v="36"/>
    <n v="35"/>
    <x v="3"/>
    <x v="0"/>
    <x v="0"/>
  </r>
  <r>
    <d v="2016-04-22T00:00:00"/>
    <s v="Neapol"/>
    <s v="T4"/>
    <x v="0"/>
    <n v="5"/>
    <n v="66"/>
    <x v="3"/>
    <x v="0"/>
    <x v="0"/>
  </r>
  <r>
    <d v="2016-04-22T00:00:00"/>
    <s v="Neapol"/>
    <s v="T5"/>
    <x v="0"/>
    <n v="35"/>
    <n v="41"/>
    <x v="3"/>
    <x v="5"/>
    <x v="0"/>
  </r>
  <r>
    <d v="2016-05-14T00:00:00"/>
    <s v="Monako"/>
    <s v="T4"/>
    <x v="1"/>
    <n v="38"/>
    <n v="98"/>
    <x v="4"/>
    <x v="0"/>
    <x v="0"/>
  </r>
  <r>
    <d v="2016-05-14T00:00:00"/>
    <s v="Monako"/>
    <s v="T2"/>
    <x v="0"/>
    <n v="10"/>
    <n v="23"/>
    <x v="4"/>
    <x v="0"/>
    <x v="0"/>
  </r>
  <r>
    <d v="2016-06-08T00:00:00"/>
    <s v="Barcelona"/>
    <s v="T2"/>
    <x v="1"/>
    <n v="4"/>
    <n v="38"/>
    <x v="5"/>
    <x v="0"/>
    <x v="0"/>
  </r>
  <r>
    <d v="2016-06-08T00:00:00"/>
    <s v="Barcelona"/>
    <s v="T4"/>
    <x v="0"/>
    <n v="42"/>
    <n v="60"/>
    <x v="5"/>
    <x v="0"/>
    <x v="0"/>
  </r>
  <r>
    <d v="2016-06-08T00:00:00"/>
    <s v="Barcelona"/>
    <s v="T1"/>
    <x v="0"/>
    <n v="28"/>
    <n v="8"/>
    <x v="5"/>
    <x v="0"/>
    <x v="0"/>
  </r>
  <r>
    <d v="2016-06-08T00:00:00"/>
    <s v="Barcelona"/>
    <s v="T3"/>
    <x v="0"/>
    <n v="19"/>
    <n v="19"/>
    <x v="5"/>
    <x v="0"/>
    <x v="0"/>
  </r>
  <r>
    <d v="2016-06-21T00:00:00"/>
    <s v="Walencja"/>
    <s v="T3"/>
    <x v="1"/>
    <n v="72"/>
    <n v="28"/>
    <x v="5"/>
    <x v="0"/>
    <x v="0"/>
  </r>
  <r>
    <d v="2016-06-21T00:00:00"/>
    <s v="Walencja"/>
    <s v="T4"/>
    <x v="1"/>
    <n v="42"/>
    <n v="90"/>
    <x v="5"/>
    <x v="0"/>
    <x v="0"/>
  </r>
  <r>
    <d v="2016-06-21T00:00:00"/>
    <s v="Walencja"/>
    <s v="T5"/>
    <x v="0"/>
    <n v="42"/>
    <n v="44"/>
    <x v="5"/>
    <x v="6"/>
    <x v="0"/>
  </r>
  <r>
    <d v="2016-06-21T00:00:00"/>
    <s v="Walencja"/>
    <s v="T2"/>
    <x v="0"/>
    <n v="33"/>
    <n v="26"/>
    <x v="5"/>
    <x v="0"/>
    <x v="0"/>
  </r>
  <r>
    <d v="2016-06-21T00:00:00"/>
    <s v="Walencja"/>
    <s v="T1"/>
    <x v="0"/>
    <n v="9"/>
    <n v="9"/>
    <x v="5"/>
    <x v="0"/>
    <x v="0"/>
  </r>
  <r>
    <d v="2016-07-08T00:00:00"/>
    <s v="Algier"/>
    <s v="T3"/>
    <x v="1"/>
    <n v="4"/>
    <n v="29"/>
    <x v="6"/>
    <x v="0"/>
    <x v="0"/>
  </r>
  <r>
    <d v="2016-07-08T00:00:00"/>
    <s v="Algier"/>
    <s v="T1"/>
    <x v="1"/>
    <n v="37"/>
    <n v="12"/>
    <x v="6"/>
    <x v="0"/>
    <x v="0"/>
  </r>
  <r>
    <d v="2016-07-08T00:00:00"/>
    <s v="Algier"/>
    <s v="T5"/>
    <x v="0"/>
    <n v="35"/>
    <n v="42"/>
    <x v="6"/>
    <x v="5"/>
    <x v="0"/>
  </r>
  <r>
    <d v="2016-07-08T00:00:00"/>
    <s v="Algier"/>
    <s v="T4"/>
    <x v="0"/>
    <n v="32"/>
    <n v="66"/>
    <x v="6"/>
    <x v="0"/>
    <x v="0"/>
  </r>
  <r>
    <d v="2016-07-23T00:00:00"/>
    <s v="Tunis"/>
    <s v="T4"/>
    <x v="1"/>
    <n v="32"/>
    <n v="92"/>
    <x v="6"/>
    <x v="0"/>
    <x v="0"/>
  </r>
  <r>
    <d v="2016-07-23T00:00:00"/>
    <s v="Tunis"/>
    <s v="T5"/>
    <x v="0"/>
    <n v="48"/>
    <n v="43"/>
    <x v="6"/>
    <x v="7"/>
    <x v="0"/>
  </r>
  <r>
    <d v="2016-08-11T00:00:00"/>
    <s v="Benghazi"/>
    <s v="T5"/>
    <x v="1"/>
    <n v="191"/>
    <n v="60"/>
    <x v="7"/>
    <x v="0"/>
    <x v="3"/>
  </r>
  <r>
    <d v="2016-08-11T00:00:00"/>
    <s v="Benghazi"/>
    <s v="T2"/>
    <x v="0"/>
    <n v="9"/>
    <n v="24"/>
    <x v="7"/>
    <x v="0"/>
    <x v="0"/>
  </r>
  <r>
    <d v="2016-08-11T00:00:00"/>
    <s v="Benghazi"/>
    <s v="T4"/>
    <x v="0"/>
    <n v="36"/>
    <n v="65"/>
    <x v="7"/>
    <x v="0"/>
    <x v="0"/>
  </r>
  <r>
    <d v="2016-09-06T00:00:00"/>
    <s v="Aleksandria"/>
    <s v="T1"/>
    <x v="0"/>
    <n v="47"/>
    <n v="7"/>
    <x v="8"/>
    <x v="0"/>
    <x v="0"/>
  </r>
  <r>
    <d v="2016-09-06T00:00:00"/>
    <s v="Aleksandria"/>
    <s v="T5"/>
    <x v="1"/>
    <n v="4"/>
    <n v="63"/>
    <x v="8"/>
    <x v="0"/>
    <x v="4"/>
  </r>
  <r>
    <d v="2016-09-06T00:00:00"/>
    <s v="Aleksandria"/>
    <s v="T3"/>
    <x v="0"/>
    <n v="8"/>
    <n v="19"/>
    <x v="8"/>
    <x v="0"/>
    <x v="0"/>
  </r>
  <r>
    <d v="2016-09-06T00:00:00"/>
    <s v="Aleksandria"/>
    <s v="T2"/>
    <x v="0"/>
    <n v="3"/>
    <n v="22"/>
    <x v="8"/>
    <x v="0"/>
    <x v="0"/>
  </r>
  <r>
    <d v="2016-09-06T00:00:00"/>
    <s v="Aleksandria"/>
    <s v="T4"/>
    <x v="0"/>
    <n v="41"/>
    <n v="59"/>
    <x v="8"/>
    <x v="0"/>
    <x v="0"/>
  </r>
  <r>
    <d v="2016-09-27T00:00:00"/>
    <s v="Bejrut"/>
    <s v="T5"/>
    <x v="0"/>
    <n v="44"/>
    <n v="40"/>
    <x v="8"/>
    <x v="2"/>
    <x v="0"/>
  </r>
  <r>
    <d v="2016-09-27T00:00:00"/>
    <s v="Bejrut"/>
    <s v="T1"/>
    <x v="1"/>
    <n v="45"/>
    <n v="12"/>
    <x v="8"/>
    <x v="0"/>
    <x v="0"/>
  </r>
  <r>
    <d v="2016-09-27T00:00:00"/>
    <s v="Bejrut"/>
    <s v="T3"/>
    <x v="0"/>
    <n v="40"/>
    <n v="20"/>
    <x v="8"/>
    <x v="0"/>
    <x v="0"/>
  </r>
  <r>
    <d v="2016-09-27T00:00:00"/>
    <s v="Bejrut"/>
    <s v="T4"/>
    <x v="0"/>
    <n v="3"/>
    <n v="63"/>
    <x v="8"/>
    <x v="0"/>
    <x v="0"/>
  </r>
  <r>
    <d v="2016-09-27T00:00:00"/>
    <s v="Bejrut"/>
    <s v="T2"/>
    <x v="0"/>
    <n v="17"/>
    <n v="24"/>
    <x v="8"/>
    <x v="0"/>
    <x v="0"/>
  </r>
  <r>
    <d v="2016-10-21T00:00:00"/>
    <s v="Palermo"/>
    <s v="T1"/>
    <x v="1"/>
    <n v="2"/>
    <n v="12"/>
    <x v="9"/>
    <x v="0"/>
    <x v="0"/>
  </r>
  <r>
    <d v="2016-10-21T00:00:00"/>
    <s v="Palermo"/>
    <s v="T3"/>
    <x v="0"/>
    <n v="14"/>
    <n v="19"/>
    <x v="9"/>
    <x v="0"/>
    <x v="0"/>
  </r>
  <r>
    <d v="2016-10-21T00:00:00"/>
    <s v="Palermo"/>
    <s v="T2"/>
    <x v="0"/>
    <n v="23"/>
    <n v="23"/>
    <x v="9"/>
    <x v="0"/>
    <x v="0"/>
  </r>
  <r>
    <d v="2016-11-08T00:00:00"/>
    <s v="Neapol"/>
    <s v="T1"/>
    <x v="0"/>
    <n v="11"/>
    <n v="8"/>
    <x v="10"/>
    <x v="0"/>
    <x v="0"/>
  </r>
  <r>
    <d v="2016-11-08T00:00:00"/>
    <s v="Neapol"/>
    <s v="T4"/>
    <x v="0"/>
    <n v="17"/>
    <n v="66"/>
    <x v="10"/>
    <x v="0"/>
    <x v="0"/>
  </r>
  <r>
    <d v="2016-11-08T00:00:00"/>
    <s v="Neapol"/>
    <s v="T5"/>
    <x v="0"/>
    <n v="30"/>
    <n v="41"/>
    <x v="10"/>
    <x v="8"/>
    <x v="0"/>
  </r>
  <r>
    <d v="2016-11-30T00:00:00"/>
    <s v="Monako"/>
    <s v="T4"/>
    <x v="1"/>
    <n v="97"/>
    <n v="98"/>
    <x v="10"/>
    <x v="0"/>
    <x v="0"/>
  </r>
  <r>
    <d v="2016-11-30T00:00:00"/>
    <s v="Monako"/>
    <s v="T1"/>
    <x v="1"/>
    <n v="11"/>
    <n v="12"/>
    <x v="10"/>
    <x v="0"/>
    <x v="0"/>
  </r>
  <r>
    <d v="2016-11-30T00:00:00"/>
    <s v="Monako"/>
    <s v="T3"/>
    <x v="0"/>
    <n v="17"/>
    <n v="20"/>
    <x v="10"/>
    <x v="0"/>
    <x v="0"/>
  </r>
  <r>
    <d v="2016-11-30T00:00:00"/>
    <s v="Monako"/>
    <s v="T2"/>
    <x v="0"/>
    <n v="4"/>
    <n v="23"/>
    <x v="10"/>
    <x v="0"/>
    <x v="0"/>
  </r>
  <r>
    <d v="2016-12-25T00:00:00"/>
    <s v="Barcelona"/>
    <s v="T3"/>
    <x v="1"/>
    <n v="79"/>
    <n v="31"/>
    <x v="11"/>
    <x v="0"/>
    <x v="0"/>
  </r>
  <r>
    <d v="2016-12-25T00:00:00"/>
    <s v="Barcelona"/>
    <s v="T4"/>
    <x v="0"/>
    <n v="33"/>
    <n v="60"/>
    <x v="11"/>
    <x v="0"/>
    <x v="0"/>
  </r>
  <r>
    <d v="2016-12-25T00:00:00"/>
    <s v="Barcelona"/>
    <s v="T2"/>
    <x v="0"/>
    <n v="26"/>
    <n v="23"/>
    <x v="11"/>
    <x v="0"/>
    <x v="0"/>
  </r>
  <r>
    <d v="2017-01-07T00:00:00"/>
    <s v="Walencja"/>
    <s v="T3"/>
    <x v="0"/>
    <n v="40"/>
    <n v="22"/>
    <x v="12"/>
    <x v="0"/>
    <x v="0"/>
  </r>
  <r>
    <d v="2017-01-07T00:00:00"/>
    <s v="Walencja"/>
    <s v="T1"/>
    <x v="0"/>
    <n v="42"/>
    <n v="9"/>
    <x v="12"/>
    <x v="0"/>
    <x v="0"/>
  </r>
  <r>
    <d v="2017-01-07T00:00:00"/>
    <s v="Walencja"/>
    <s v="T2"/>
    <x v="0"/>
    <n v="42"/>
    <n v="26"/>
    <x v="12"/>
    <x v="0"/>
    <x v="0"/>
  </r>
  <r>
    <d v="2017-01-07T00:00:00"/>
    <s v="Walencja"/>
    <s v="T4"/>
    <x v="0"/>
    <n v="9"/>
    <n v="70"/>
    <x v="12"/>
    <x v="0"/>
    <x v="0"/>
  </r>
  <r>
    <d v="2017-01-07T00:00:00"/>
    <s v="Walencja"/>
    <s v="T5"/>
    <x v="0"/>
    <n v="39"/>
    <n v="44"/>
    <x v="12"/>
    <x v="9"/>
    <x v="0"/>
  </r>
  <r>
    <d v="2017-01-24T00:00:00"/>
    <s v="Algier"/>
    <s v="T5"/>
    <x v="1"/>
    <n v="112"/>
    <n v="59"/>
    <x v="12"/>
    <x v="0"/>
    <x v="5"/>
  </r>
  <r>
    <d v="2017-01-24T00:00:00"/>
    <s v="Algier"/>
    <s v="T4"/>
    <x v="0"/>
    <n v="34"/>
    <n v="66"/>
    <x v="12"/>
    <x v="0"/>
    <x v="0"/>
  </r>
  <r>
    <d v="2017-01-24T00:00:00"/>
    <s v="Algier"/>
    <s v="T3"/>
    <x v="0"/>
    <n v="5"/>
    <n v="21"/>
    <x v="12"/>
    <x v="0"/>
    <x v="0"/>
  </r>
  <r>
    <d v="2017-02-08T00:00:00"/>
    <s v="Tunis"/>
    <s v="T4"/>
    <x v="1"/>
    <n v="74"/>
    <n v="92"/>
    <x v="13"/>
    <x v="0"/>
    <x v="0"/>
  </r>
  <r>
    <d v="2017-02-08T00:00:00"/>
    <s v="Tunis"/>
    <s v="T2"/>
    <x v="0"/>
    <n v="14"/>
    <n v="26"/>
    <x v="13"/>
    <x v="0"/>
    <x v="0"/>
  </r>
  <r>
    <d v="2017-02-27T00:00:00"/>
    <s v="Benghazi"/>
    <s v="T5"/>
    <x v="1"/>
    <n v="1"/>
    <n v="60"/>
    <x v="13"/>
    <x v="0"/>
    <x v="6"/>
  </r>
  <r>
    <d v="2017-02-27T00:00:00"/>
    <s v="Benghazi"/>
    <s v="T2"/>
    <x v="1"/>
    <n v="43"/>
    <n v="36"/>
    <x v="13"/>
    <x v="0"/>
    <x v="0"/>
  </r>
  <r>
    <d v="2017-02-27T00:00:00"/>
    <s v="Benghazi"/>
    <s v="T1"/>
    <x v="0"/>
    <n v="30"/>
    <n v="8"/>
    <x v="13"/>
    <x v="0"/>
    <x v="0"/>
  </r>
  <r>
    <d v="2017-02-27T00:00:00"/>
    <s v="Benghazi"/>
    <s v="T3"/>
    <x v="0"/>
    <n v="14"/>
    <n v="20"/>
    <x v="13"/>
    <x v="0"/>
    <x v="0"/>
  </r>
  <r>
    <d v="2017-03-25T00:00:00"/>
    <s v="Aleksandria"/>
    <s v="T2"/>
    <x v="1"/>
    <n v="33"/>
    <n v="38"/>
    <x v="14"/>
    <x v="0"/>
    <x v="0"/>
  </r>
  <r>
    <d v="2017-03-25T00:00:00"/>
    <s v="Aleksandria"/>
    <s v="T5"/>
    <x v="0"/>
    <n v="35"/>
    <n v="37"/>
    <x v="14"/>
    <x v="5"/>
    <x v="0"/>
  </r>
  <r>
    <d v="2017-03-25T00:00:00"/>
    <s v="Aleksandria"/>
    <s v="T3"/>
    <x v="0"/>
    <n v="40"/>
    <n v="19"/>
    <x v="14"/>
    <x v="0"/>
    <x v="0"/>
  </r>
  <r>
    <d v="2017-04-15T00:00:00"/>
    <s v="Bejrut"/>
    <s v="T2"/>
    <x v="1"/>
    <n v="21"/>
    <n v="36"/>
    <x v="15"/>
    <x v="0"/>
    <x v="0"/>
  </r>
  <r>
    <d v="2017-04-15T00:00:00"/>
    <s v="Bejrut"/>
    <s v="T4"/>
    <x v="1"/>
    <n v="2"/>
    <n v="97"/>
    <x v="15"/>
    <x v="0"/>
    <x v="0"/>
  </r>
  <r>
    <d v="2017-04-15T00:00:00"/>
    <s v="Bejrut"/>
    <s v="T3"/>
    <x v="0"/>
    <n v="12"/>
    <n v="20"/>
    <x v="15"/>
    <x v="0"/>
    <x v="0"/>
  </r>
  <r>
    <d v="2017-04-15T00:00:00"/>
    <s v="Bejrut"/>
    <s v="T1"/>
    <x v="0"/>
    <n v="15"/>
    <n v="8"/>
    <x v="15"/>
    <x v="0"/>
    <x v="0"/>
  </r>
  <r>
    <d v="2017-04-15T00:00:00"/>
    <s v="Bejrut"/>
    <s v="T5"/>
    <x v="0"/>
    <n v="1"/>
    <n v="40"/>
    <x v="15"/>
    <x v="10"/>
    <x v="0"/>
  </r>
  <r>
    <d v="2017-05-09T00:00:00"/>
    <s v="Palermo"/>
    <s v="T1"/>
    <x v="1"/>
    <n v="86"/>
    <n v="12"/>
    <x v="16"/>
    <x v="0"/>
    <x v="0"/>
  </r>
  <r>
    <d v="2017-05-09T00:00:00"/>
    <s v="Palermo"/>
    <s v="T3"/>
    <x v="1"/>
    <n v="110"/>
    <n v="31"/>
    <x v="16"/>
    <x v="0"/>
    <x v="0"/>
  </r>
  <r>
    <d v="2017-05-09T00:00:00"/>
    <s v="Palermo"/>
    <s v="T5"/>
    <x v="0"/>
    <n v="33"/>
    <n v="38"/>
    <x v="16"/>
    <x v="4"/>
    <x v="0"/>
  </r>
  <r>
    <d v="2017-05-09T00:00:00"/>
    <s v="Palermo"/>
    <s v="T2"/>
    <x v="0"/>
    <n v="13"/>
    <n v="23"/>
    <x v="16"/>
    <x v="0"/>
    <x v="0"/>
  </r>
  <r>
    <d v="2017-05-09T00:00:00"/>
    <s v="Palermo"/>
    <s v="T4"/>
    <x v="0"/>
    <n v="37"/>
    <n v="61"/>
    <x v="16"/>
    <x v="0"/>
    <x v="0"/>
  </r>
  <r>
    <d v="2017-05-27T00:00:00"/>
    <s v="Neapol"/>
    <s v="T1"/>
    <x v="1"/>
    <n v="1"/>
    <n v="12"/>
    <x v="16"/>
    <x v="0"/>
    <x v="0"/>
  </r>
  <r>
    <d v="2017-05-27T00:00:00"/>
    <s v="Neapol"/>
    <s v="T5"/>
    <x v="1"/>
    <n v="68"/>
    <n v="59"/>
    <x v="16"/>
    <x v="0"/>
    <x v="7"/>
  </r>
  <r>
    <d v="2017-05-27T00:00:00"/>
    <s v="Neapol"/>
    <s v="T4"/>
    <x v="0"/>
    <n v="35"/>
    <n v="66"/>
    <x v="16"/>
    <x v="0"/>
    <x v="0"/>
  </r>
  <r>
    <d v="2017-05-27T00:00:00"/>
    <s v="Neapol"/>
    <s v="T3"/>
    <x v="0"/>
    <n v="25"/>
    <n v="21"/>
    <x v="16"/>
    <x v="0"/>
    <x v="0"/>
  </r>
  <r>
    <d v="2017-05-27T00:00:00"/>
    <s v="Neapol"/>
    <s v="T2"/>
    <x v="0"/>
    <n v="10"/>
    <n v="25"/>
    <x v="16"/>
    <x v="0"/>
    <x v="0"/>
  </r>
  <r>
    <d v="2017-06-18T00:00:00"/>
    <s v="Monako"/>
    <s v="T2"/>
    <x v="1"/>
    <n v="38"/>
    <n v="37"/>
    <x v="17"/>
    <x v="0"/>
    <x v="0"/>
  </r>
  <r>
    <d v="2017-06-18T00:00:00"/>
    <s v="Monako"/>
    <s v="T1"/>
    <x v="0"/>
    <n v="22"/>
    <n v="8"/>
    <x v="17"/>
    <x v="0"/>
    <x v="0"/>
  </r>
  <r>
    <d v="2017-06-18T00:00:00"/>
    <s v="Monako"/>
    <s v="T3"/>
    <x v="0"/>
    <n v="25"/>
    <n v="20"/>
    <x v="17"/>
    <x v="0"/>
    <x v="0"/>
  </r>
  <r>
    <d v="2017-06-18T00:00:00"/>
    <s v="Monako"/>
    <s v="T5"/>
    <x v="0"/>
    <n v="8"/>
    <n v="39"/>
    <x v="17"/>
    <x v="3"/>
    <x v="0"/>
  </r>
  <r>
    <d v="2017-06-18T00:00:00"/>
    <s v="Monako"/>
    <s v="T4"/>
    <x v="0"/>
    <n v="45"/>
    <n v="62"/>
    <x v="17"/>
    <x v="0"/>
    <x v="0"/>
  </r>
  <r>
    <d v="2017-07-13T00:00:00"/>
    <s v="Barcelona"/>
    <s v="T4"/>
    <x v="1"/>
    <n v="116"/>
    <n v="100"/>
    <x v="18"/>
    <x v="0"/>
    <x v="0"/>
  </r>
  <r>
    <d v="2017-07-13T00:00:00"/>
    <s v="Barcelona"/>
    <s v="T3"/>
    <x v="0"/>
    <n v="29"/>
    <n v="19"/>
    <x v="18"/>
    <x v="0"/>
    <x v="0"/>
  </r>
  <r>
    <d v="2017-07-26T00:00:00"/>
    <s v="Walencja"/>
    <s v="T2"/>
    <x v="1"/>
    <n v="5"/>
    <n v="34"/>
    <x v="18"/>
    <x v="0"/>
    <x v="0"/>
  </r>
  <r>
    <d v="2017-07-26T00:00:00"/>
    <s v="Walencja"/>
    <s v="T1"/>
    <x v="1"/>
    <n v="22"/>
    <n v="11"/>
    <x v="18"/>
    <x v="0"/>
    <x v="0"/>
  </r>
  <r>
    <d v="2017-07-26T00:00:00"/>
    <s v="Walencja"/>
    <s v="T3"/>
    <x v="0"/>
    <n v="37"/>
    <n v="22"/>
    <x v="18"/>
    <x v="0"/>
    <x v="0"/>
  </r>
  <r>
    <d v="2017-07-26T00:00:00"/>
    <s v="Walencja"/>
    <s v="T4"/>
    <x v="0"/>
    <n v="10"/>
    <n v="70"/>
    <x v="18"/>
    <x v="0"/>
    <x v="0"/>
  </r>
  <r>
    <d v="2017-07-26T00:00:00"/>
    <s v="Walencja"/>
    <s v="T5"/>
    <x v="0"/>
    <n v="42"/>
    <n v="44"/>
    <x v="18"/>
    <x v="6"/>
    <x v="0"/>
  </r>
  <r>
    <d v="2017-08-12T00:00:00"/>
    <s v="Algier"/>
    <s v="T4"/>
    <x v="1"/>
    <n v="11"/>
    <n v="94"/>
    <x v="19"/>
    <x v="0"/>
    <x v="0"/>
  </r>
  <r>
    <d v="2017-08-12T00:00:00"/>
    <s v="Algier"/>
    <s v="T5"/>
    <x v="1"/>
    <n v="48"/>
    <n v="59"/>
    <x v="19"/>
    <x v="0"/>
    <x v="8"/>
  </r>
  <r>
    <d v="2017-08-12T00:00:00"/>
    <s v="Algier"/>
    <s v="T3"/>
    <x v="0"/>
    <n v="20"/>
    <n v="21"/>
    <x v="19"/>
    <x v="0"/>
    <x v="0"/>
  </r>
  <r>
    <d v="2017-08-12T00:00:00"/>
    <s v="Algier"/>
    <s v="T2"/>
    <x v="0"/>
    <n v="26"/>
    <n v="25"/>
    <x v="19"/>
    <x v="0"/>
    <x v="0"/>
  </r>
  <r>
    <d v="2017-08-27T00:00:00"/>
    <s v="Tunis"/>
    <s v="T1"/>
    <x v="0"/>
    <n v="24"/>
    <n v="9"/>
    <x v="19"/>
    <x v="0"/>
    <x v="0"/>
  </r>
  <r>
    <d v="2017-08-27T00:00:00"/>
    <s v="Tunis"/>
    <s v="T4"/>
    <x v="0"/>
    <n v="38"/>
    <n v="68"/>
    <x v="19"/>
    <x v="0"/>
    <x v="0"/>
  </r>
  <r>
    <d v="2017-08-27T00:00:00"/>
    <s v="Tunis"/>
    <s v="T3"/>
    <x v="0"/>
    <n v="14"/>
    <n v="21"/>
    <x v="19"/>
    <x v="0"/>
    <x v="0"/>
  </r>
  <r>
    <d v="2017-08-27T00:00:00"/>
    <s v="Tunis"/>
    <s v="T5"/>
    <x v="0"/>
    <n v="4"/>
    <n v="43"/>
    <x v="19"/>
    <x v="11"/>
    <x v="0"/>
  </r>
  <r>
    <d v="2017-09-15T00:00:00"/>
    <s v="Benghazi"/>
    <s v="T2"/>
    <x v="1"/>
    <n v="19"/>
    <n v="36"/>
    <x v="20"/>
    <x v="0"/>
    <x v="0"/>
  </r>
  <r>
    <d v="2017-09-15T00:00:00"/>
    <s v="Benghazi"/>
    <s v="T4"/>
    <x v="0"/>
    <n v="30"/>
    <n v="65"/>
    <x v="20"/>
    <x v="0"/>
    <x v="0"/>
  </r>
  <r>
    <d v="2017-10-11T00:00:00"/>
    <s v="Aleksandria"/>
    <s v="T5"/>
    <x v="1"/>
    <n v="6"/>
    <n v="63"/>
    <x v="21"/>
    <x v="0"/>
    <x v="9"/>
  </r>
  <r>
    <d v="2017-10-11T00:00:00"/>
    <s v="Aleksandria"/>
    <s v="T4"/>
    <x v="0"/>
    <n v="43"/>
    <n v="59"/>
    <x v="21"/>
    <x v="0"/>
    <x v="0"/>
  </r>
  <r>
    <d v="2017-11-01T00:00:00"/>
    <s v="Bejrut"/>
    <s v="T5"/>
    <x v="1"/>
    <n v="1"/>
    <n v="61"/>
    <x v="22"/>
    <x v="0"/>
    <x v="6"/>
  </r>
  <r>
    <d v="2017-11-01T00:00:00"/>
    <s v="Bejrut"/>
    <s v="T3"/>
    <x v="1"/>
    <n v="147"/>
    <n v="30"/>
    <x v="22"/>
    <x v="0"/>
    <x v="0"/>
  </r>
  <r>
    <d v="2017-11-01T00:00:00"/>
    <s v="Bejrut"/>
    <s v="T1"/>
    <x v="0"/>
    <n v="15"/>
    <n v="8"/>
    <x v="22"/>
    <x v="0"/>
    <x v="0"/>
  </r>
  <r>
    <d v="2017-11-01T00:00:00"/>
    <s v="Bejrut"/>
    <s v="T4"/>
    <x v="0"/>
    <n v="24"/>
    <n v="63"/>
    <x v="22"/>
    <x v="0"/>
    <x v="0"/>
  </r>
  <r>
    <d v="2017-11-01T00:00:00"/>
    <s v="Bejrut"/>
    <s v="T2"/>
    <x v="0"/>
    <n v="19"/>
    <n v="24"/>
    <x v="22"/>
    <x v="0"/>
    <x v="0"/>
  </r>
  <r>
    <d v="2017-11-25T00:00:00"/>
    <s v="Palermo"/>
    <s v="T4"/>
    <x v="1"/>
    <n v="134"/>
    <n v="99"/>
    <x v="22"/>
    <x v="0"/>
    <x v="0"/>
  </r>
  <r>
    <d v="2017-11-25T00:00:00"/>
    <s v="Palermo"/>
    <s v="T5"/>
    <x v="0"/>
    <n v="12"/>
    <n v="38"/>
    <x v="22"/>
    <x v="12"/>
    <x v="0"/>
  </r>
  <r>
    <d v="2017-12-13T00:00:00"/>
    <s v="Neapol"/>
    <s v="T3"/>
    <x v="1"/>
    <n v="4"/>
    <n v="30"/>
    <x v="23"/>
    <x v="0"/>
    <x v="0"/>
  </r>
  <r>
    <d v="2017-12-13T00:00:00"/>
    <s v="Neapol"/>
    <s v="T1"/>
    <x v="0"/>
    <n v="26"/>
    <n v="8"/>
    <x v="23"/>
    <x v="0"/>
    <x v="0"/>
  </r>
  <r>
    <d v="2017-12-13T00:00:00"/>
    <s v="Neapol"/>
    <s v="T4"/>
    <x v="0"/>
    <n v="38"/>
    <n v="66"/>
    <x v="23"/>
    <x v="0"/>
    <x v="0"/>
  </r>
  <r>
    <d v="2018-01-04T00:00:00"/>
    <s v="Monako"/>
    <s v="T4"/>
    <x v="1"/>
    <n v="38"/>
    <n v="98"/>
    <x v="24"/>
    <x v="0"/>
    <x v="0"/>
  </r>
  <r>
    <d v="2018-01-04T00:00:00"/>
    <s v="Monako"/>
    <s v="T2"/>
    <x v="1"/>
    <n v="44"/>
    <n v="37"/>
    <x v="24"/>
    <x v="0"/>
    <x v="0"/>
  </r>
  <r>
    <d v="2018-01-04T00:00:00"/>
    <s v="Monako"/>
    <s v="T1"/>
    <x v="0"/>
    <n v="21"/>
    <n v="8"/>
    <x v="24"/>
    <x v="0"/>
    <x v="0"/>
  </r>
  <r>
    <d v="2018-01-04T00:00:00"/>
    <s v="Monako"/>
    <s v="T5"/>
    <x v="0"/>
    <n v="10"/>
    <n v="39"/>
    <x v="24"/>
    <x v="13"/>
    <x v="0"/>
  </r>
  <r>
    <d v="2018-01-29T00:00:00"/>
    <s v="Barcelona"/>
    <s v="T2"/>
    <x v="1"/>
    <n v="15"/>
    <n v="38"/>
    <x v="24"/>
    <x v="0"/>
    <x v="0"/>
  </r>
  <r>
    <d v="2018-01-29T00:00:00"/>
    <s v="Barcelona"/>
    <s v="T5"/>
    <x v="1"/>
    <n v="22"/>
    <n v="63"/>
    <x v="24"/>
    <x v="0"/>
    <x v="10"/>
  </r>
  <r>
    <d v="2018-01-29T00:00:00"/>
    <s v="Barcelona"/>
    <s v="T4"/>
    <x v="0"/>
    <n v="9"/>
    <n v="60"/>
    <x v="24"/>
    <x v="0"/>
    <x v="0"/>
  </r>
  <r>
    <d v="2018-01-29T00:00:00"/>
    <s v="Barcelona"/>
    <s v="T3"/>
    <x v="0"/>
    <n v="6"/>
    <n v="19"/>
    <x v="24"/>
    <x v="0"/>
    <x v="0"/>
  </r>
  <r>
    <d v="2018-01-29T00:00:00"/>
    <s v="Barcelona"/>
    <s v="T1"/>
    <x v="0"/>
    <n v="4"/>
    <n v="8"/>
    <x v="24"/>
    <x v="0"/>
    <x v="0"/>
  </r>
  <r>
    <d v="2018-01-30T00:00:00"/>
    <s v="Walencja"/>
    <s v="T3"/>
    <x v="1"/>
    <n v="6"/>
    <n v="25"/>
    <x v="24"/>
    <x v="0"/>
    <x v="0"/>
  </r>
  <r>
    <d v="2018-01-30T00:00:00"/>
    <s v="Walencja"/>
    <s v="T4"/>
    <x v="0"/>
    <n v="48"/>
    <n v="79"/>
    <x v="24"/>
    <x v="0"/>
    <x v="0"/>
  </r>
  <r>
    <d v="2018-02-16T00:00:00"/>
    <s v="Algier"/>
    <s v="T5"/>
    <x v="0"/>
    <n v="34"/>
    <n v="42"/>
    <x v="25"/>
    <x v="14"/>
    <x v="0"/>
  </r>
  <r>
    <d v="2018-02-16T00:00:00"/>
    <s v="Algier"/>
    <s v="T2"/>
    <x v="1"/>
    <n v="49"/>
    <n v="35"/>
    <x v="25"/>
    <x v="0"/>
    <x v="0"/>
  </r>
  <r>
    <d v="2018-02-16T00:00:00"/>
    <s v="Algier"/>
    <s v="T1"/>
    <x v="0"/>
    <n v="10"/>
    <n v="8"/>
    <x v="25"/>
    <x v="0"/>
    <x v="0"/>
  </r>
  <r>
    <d v="2018-02-16T00:00:00"/>
    <s v="Algier"/>
    <s v="T3"/>
    <x v="0"/>
    <n v="47"/>
    <n v="21"/>
    <x v="25"/>
    <x v="0"/>
    <x v="0"/>
  </r>
  <r>
    <d v="2018-02-16T00:00:00"/>
    <s v="Algier"/>
    <s v="T4"/>
    <x v="0"/>
    <n v="48"/>
    <n v="66"/>
    <x v="25"/>
    <x v="0"/>
    <x v="0"/>
  </r>
  <r>
    <d v="2018-03-03T00:00:00"/>
    <s v="Tunis"/>
    <s v="T5"/>
    <x v="1"/>
    <n v="34"/>
    <n v="58"/>
    <x v="26"/>
    <x v="0"/>
    <x v="11"/>
  </r>
  <r>
    <d v="2018-03-03T00:00:00"/>
    <s v="Tunis"/>
    <s v="T1"/>
    <x v="0"/>
    <n v="5"/>
    <n v="9"/>
    <x v="26"/>
    <x v="0"/>
    <x v="0"/>
  </r>
  <r>
    <d v="2018-03-22T00:00:00"/>
    <s v="Benghazi"/>
    <s v="T3"/>
    <x v="1"/>
    <n v="46"/>
    <n v="30"/>
    <x v="26"/>
    <x v="0"/>
    <x v="0"/>
  </r>
  <r>
    <d v="2018-03-22T00:00:00"/>
    <s v="Benghazi"/>
    <s v="T4"/>
    <x v="0"/>
    <n v="49"/>
    <n v="65"/>
    <x v="26"/>
    <x v="0"/>
    <x v="0"/>
  </r>
  <r>
    <d v="2018-03-22T00:00:00"/>
    <s v="Benghazi"/>
    <s v="T1"/>
    <x v="0"/>
    <n v="16"/>
    <n v="8"/>
    <x v="26"/>
    <x v="0"/>
    <x v="0"/>
  </r>
  <r>
    <d v="2018-04-17T00:00:00"/>
    <s v="Aleksandria"/>
    <s v="T5"/>
    <x v="0"/>
    <n v="5"/>
    <n v="37"/>
    <x v="27"/>
    <x v="15"/>
    <x v="0"/>
  </r>
  <r>
    <d v="2018-04-17T00:00:00"/>
    <s v="Aleksandria"/>
    <s v="T3"/>
    <x v="1"/>
    <n v="1"/>
    <n v="32"/>
    <x v="27"/>
    <x v="0"/>
    <x v="0"/>
  </r>
  <r>
    <d v="2018-04-17T00:00:00"/>
    <s v="Aleksandria"/>
    <s v="T1"/>
    <x v="0"/>
    <n v="34"/>
    <n v="7"/>
    <x v="27"/>
    <x v="0"/>
    <x v="0"/>
  </r>
  <r>
    <d v="2018-04-17T00:00:00"/>
    <s v="Aleksandria"/>
    <s v="T4"/>
    <x v="0"/>
    <n v="29"/>
    <n v="59"/>
    <x v="27"/>
    <x v="0"/>
    <x v="0"/>
  </r>
  <r>
    <d v="2018-05-08T00:00:00"/>
    <s v="Bejrut"/>
    <s v="T2"/>
    <x v="0"/>
    <n v="34"/>
    <n v="24"/>
    <x v="28"/>
    <x v="0"/>
    <x v="0"/>
  </r>
  <r>
    <d v="2018-05-08T00:00:00"/>
    <s v="Bejrut"/>
    <s v="T3"/>
    <x v="0"/>
    <n v="27"/>
    <n v="20"/>
    <x v="28"/>
    <x v="0"/>
    <x v="0"/>
  </r>
  <r>
    <d v="2018-05-08T00:00:00"/>
    <s v="Bejrut"/>
    <s v="T1"/>
    <x v="0"/>
    <n v="40"/>
    <n v="8"/>
    <x v="28"/>
    <x v="0"/>
    <x v="0"/>
  </r>
  <r>
    <d v="2018-06-01T00:00:00"/>
    <s v="Palermo"/>
    <s v="T4"/>
    <x v="1"/>
    <n v="184"/>
    <n v="99"/>
    <x v="29"/>
    <x v="0"/>
    <x v="0"/>
  </r>
  <r>
    <d v="2018-06-01T00:00:00"/>
    <s v="Palermo"/>
    <s v="T5"/>
    <x v="0"/>
    <n v="48"/>
    <n v="38"/>
    <x v="29"/>
    <x v="7"/>
    <x v="0"/>
  </r>
  <r>
    <d v="2018-06-01T00:00:00"/>
    <s v="Palermo"/>
    <s v="T2"/>
    <x v="0"/>
    <n v="21"/>
    <n v="23"/>
    <x v="29"/>
    <x v="0"/>
    <x v="0"/>
  </r>
  <r>
    <d v="2018-06-19T00:00:00"/>
    <s v="Neapol"/>
    <s v="T4"/>
    <x v="0"/>
    <n v="47"/>
    <n v="66"/>
    <x v="29"/>
    <x v="0"/>
    <x v="0"/>
  </r>
  <r>
    <d v="2018-06-19T00:00:00"/>
    <s v="Neapol"/>
    <s v="T2"/>
    <x v="0"/>
    <n v="6"/>
    <n v="25"/>
    <x v="29"/>
    <x v="0"/>
    <x v="0"/>
  </r>
  <r>
    <d v="2018-06-19T00:00:00"/>
    <s v="Neapol"/>
    <s v="T5"/>
    <x v="0"/>
    <n v="47"/>
    <n v="41"/>
    <x v="29"/>
    <x v="16"/>
    <x v="0"/>
  </r>
  <r>
    <d v="2018-07-11T00:00:00"/>
    <s v="Monako"/>
    <s v="T1"/>
    <x v="1"/>
    <n v="192"/>
    <n v="12"/>
    <x v="30"/>
    <x v="0"/>
    <x v="0"/>
  </r>
  <r>
    <d v="2018-07-11T00:00:00"/>
    <s v="Monako"/>
    <s v="T2"/>
    <x v="1"/>
    <n v="48"/>
    <n v="37"/>
    <x v="30"/>
    <x v="0"/>
    <x v="0"/>
  </r>
  <r>
    <d v="2018-07-11T00:00:00"/>
    <s v="Monako"/>
    <s v="T4"/>
    <x v="0"/>
    <n v="18"/>
    <n v="62"/>
    <x v="30"/>
    <x v="0"/>
    <x v="0"/>
  </r>
  <r>
    <d v="2018-07-11T00:00:00"/>
    <s v="Monako"/>
    <s v="T5"/>
    <x v="0"/>
    <n v="25"/>
    <n v="39"/>
    <x v="30"/>
    <x v="17"/>
    <x v="0"/>
  </r>
  <r>
    <d v="2018-07-11T00:00:00"/>
    <s v="Monako"/>
    <s v="T3"/>
    <x v="0"/>
    <n v="2"/>
    <n v="20"/>
    <x v="30"/>
    <x v="0"/>
    <x v="0"/>
  </r>
  <r>
    <d v="2018-08-05T00:00:00"/>
    <s v="Barcelona"/>
    <s v="T2"/>
    <x v="1"/>
    <n v="13"/>
    <n v="38"/>
    <x v="31"/>
    <x v="0"/>
    <x v="0"/>
  </r>
  <r>
    <d v="2018-08-05T00:00:00"/>
    <s v="Barcelona"/>
    <s v="T5"/>
    <x v="1"/>
    <n v="121"/>
    <n v="63"/>
    <x v="31"/>
    <x v="0"/>
    <x v="12"/>
  </r>
  <r>
    <d v="2018-08-05T00:00:00"/>
    <s v="Barcelona"/>
    <s v="T3"/>
    <x v="0"/>
    <n v="30"/>
    <n v="19"/>
    <x v="31"/>
    <x v="0"/>
    <x v="0"/>
  </r>
  <r>
    <d v="2018-08-05T00:00:00"/>
    <s v="Barcelona"/>
    <s v="T1"/>
    <x v="0"/>
    <n v="46"/>
    <n v="8"/>
    <x v="31"/>
    <x v="0"/>
    <x v="0"/>
  </r>
  <r>
    <d v="2018-08-18T00:00:00"/>
    <s v="Walencja"/>
    <s v="T1"/>
    <x v="1"/>
    <n v="49"/>
    <n v="11"/>
    <x v="31"/>
    <x v="0"/>
    <x v="0"/>
  </r>
  <r>
    <d v="2018-08-18T00:00:00"/>
    <s v="Walencja"/>
    <s v="T4"/>
    <x v="1"/>
    <n v="61"/>
    <n v="90"/>
    <x v="31"/>
    <x v="0"/>
    <x v="0"/>
  </r>
  <r>
    <d v="2018-08-18T00:00:00"/>
    <s v="Walencja"/>
    <s v="T3"/>
    <x v="0"/>
    <n v="19"/>
    <n v="22"/>
    <x v="31"/>
    <x v="0"/>
    <x v="0"/>
  </r>
  <r>
    <d v="2018-08-18T00:00:00"/>
    <s v="Walencja"/>
    <s v="T5"/>
    <x v="0"/>
    <n v="22"/>
    <n v="44"/>
    <x v="31"/>
    <x v="18"/>
    <x v="0"/>
  </r>
  <r>
    <d v="2018-09-04T00:00:00"/>
    <s v="Algier"/>
    <s v="T2"/>
    <x v="0"/>
    <n v="9"/>
    <n v="25"/>
    <x v="32"/>
    <x v="0"/>
    <x v="0"/>
  </r>
  <r>
    <d v="2018-09-04T00:00:00"/>
    <s v="Algier"/>
    <s v="T4"/>
    <x v="1"/>
    <n v="4"/>
    <n v="94"/>
    <x v="32"/>
    <x v="0"/>
    <x v="0"/>
  </r>
  <r>
    <d v="2018-09-04T00:00:00"/>
    <s v="Algier"/>
    <s v="T3"/>
    <x v="0"/>
    <n v="8"/>
    <n v="21"/>
    <x v="32"/>
    <x v="0"/>
    <x v="0"/>
  </r>
  <r>
    <d v="2018-09-04T00:00:00"/>
    <s v="Algier"/>
    <s v="T1"/>
    <x v="0"/>
    <n v="47"/>
    <n v="8"/>
    <x v="32"/>
    <x v="0"/>
    <x v="0"/>
  </r>
  <r>
    <d v="2018-09-19T00:00:00"/>
    <s v="Tunis"/>
    <s v="T3"/>
    <x v="1"/>
    <n v="82"/>
    <n v="29"/>
    <x v="32"/>
    <x v="0"/>
    <x v="0"/>
  </r>
  <r>
    <d v="2018-09-19T00:00:00"/>
    <s v="Tunis"/>
    <s v="T5"/>
    <x v="1"/>
    <n v="26"/>
    <n v="58"/>
    <x v="32"/>
    <x v="0"/>
    <x v="13"/>
  </r>
  <r>
    <d v="2018-09-19T00:00:00"/>
    <s v="Tunis"/>
    <s v="T1"/>
    <x v="0"/>
    <n v="24"/>
    <n v="9"/>
    <x v="32"/>
    <x v="0"/>
    <x v="0"/>
  </r>
  <r>
    <d v="2018-09-19T00:00:00"/>
    <s v="Tunis"/>
    <s v="T2"/>
    <x v="0"/>
    <n v="36"/>
    <n v="26"/>
    <x v="32"/>
    <x v="0"/>
    <x v="0"/>
  </r>
  <r>
    <d v="2018-09-19T00:00:00"/>
    <s v="Tunis"/>
    <s v="T4"/>
    <x v="0"/>
    <n v="6"/>
    <n v="68"/>
    <x v="32"/>
    <x v="0"/>
    <x v="0"/>
  </r>
  <r>
    <d v="2018-10-08T00:00:00"/>
    <s v="Benghazi"/>
    <s v="T2"/>
    <x v="1"/>
    <n v="45"/>
    <n v="36"/>
    <x v="33"/>
    <x v="0"/>
    <x v="0"/>
  </r>
  <r>
    <d v="2018-10-08T00:00:00"/>
    <s v="Benghazi"/>
    <s v="T1"/>
    <x v="0"/>
    <n v="18"/>
    <n v="8"/>
    <x v="33"/>
    <x v="0"/>
    <x v="0"/>
  </r>
  <r>
    <d v="2018-10-08T00:00:00"/>
    <s v="Benghazi"/>
    <s v="T5"/>
    <x v="0"/>
    <n v="20"/>
    <n v="41"/>
    <x v="33"/>
    <x v="19"/>
    <x v="0"/>
  </r>
  <r>
    <d v="2018-11-03T00:00:00"/>
    <s v="Aleksandria"/>
    <s v="T3"/>
    <x v="1"/>
    <n v="4"/>
    <n v="32"/>
    <x v="34"/>
    <x v="0"/>
    <x v="0"/>
  </r>
  <r>
    <d v="2018-11-03T00:00:00"/>
    <s v="Aleksandria"/>
    <s v="T5"/>
    <x v="0"/>
    <n v="48"/>
    <n v="37"/>
    <x v="34"/>
    <x v="7"/>
    <x v="0"/>
  </r>
  <r>
    <d v="2018-11-24T00:00:00"/>
    <s v="Bejrut"/>
    <s v="T5"/>
    <x v="1"/>
    <n v="64"/>
    <n v="61"/>
    <x v="34"/>
    <x v="0"/>
    <x v="14"/>
  </r>
  <r>
    <d v="2018-11-24T00:00:00"/>
    <s v="Bejrut"/>
    <s v="T4"/>
    <x v="0"/>
    <n v="43"/>
    <n v="63"/>
    <x v="34"/>
    <x v="0"/>
    <x v="0"/>
  </r>
  <r>
    <d v="2018-11-24T00:00:00"/>
    <s v="Bejrut"/>
    <s v="T2"/>
    <x v="0"/>
    <n v="24"/>
    <n v="24"/>
    <x v="34"/>
    <x v="0"/>
    <x v="0"/>
  </r>
  <r>
    <d v="2018-12-18T00:00:00"/>
    <s v="Palermo"/>
    <s v="T5"/>
    <x v="1"/>
    <n v="4"/>
    <n v="62"/>
    <x v="35"/>
    <x v="0"/>
    <x v="4"/>
  </r>
  <r>
    <d v="2018-12-18T00:00:00"/>
    <s v="Palermo"/>
    <s v="T3"/>
    <x v="0"/>
    <n v="35"/>
    <n v="19"/>
    <x v="35"/>
    <x v="0"/>
    <x v="0"/>
  </r>
  <r>
    <d v="2018-12-18T00:00:00"/>
    <s v="Palermo"/>
    <s v="T1"/>
    <x v="0"/>
    <n v="41"/>
    <n v="8"/>
    <x v="35"/>
    <x v="0"/>
    <x v="0"/>
  </r>
  <r>
    <d v="2018-12-18T00:00:00"/>
    <s v="Palermo"/>
    <s v="T4"/>
    <x v="0"/>
    <n v="23"/>
    <n v="61"/>
    <x v="35"/>
    <x v="0"/>
    <x v="0"/>
  </r>
  <r>
    <d v="2018-12-18T00:00:00"/>
    <s v="Palermo"/>
    <s v="T2"/>
    <x v="0"/>
    <n v="46"/>
    <n v="23"/>
    <x v="3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D606B-FAB6-40EE-A519-ADDC68818397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4:K12" firstHeaderRow="0" firstDataRow="1" firstDataCol="1"/>
  <pivotFields count="9">
    <pivotField numFmtId="14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axis="axisRow" showAll="0" sortType="descending">
      <items count="3">
        <item x="0"/>
        <item sd="0" x="1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3"/>
    <field x="2"/>
  </rowFields>
  <rowItems count="8">
    <i>
      <x/>
    </i>
    <i r="1">
      <x/>
    </i>
    <i r="1">
      <x v="1"/>
    </i>
    <i r="1">
      <x v="2"/>
    </i>
    <i r="1">
      <x v="3"/>
    </i>
    <i r="1">
      <x v="4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Liczba z towar" fld="2" subtotal="count" baseField="0" baseItem="0"/>
    <dataField name="Suma z ile t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B9807-2907-4597-82C1-82EE519F2B1A}" name="Tabela przestawna5" cacheId="2" applyNumberFormats="0" applyBorderFormats="0" applyFontFormats="0" applyPatternFormats="0" applyAlignmentFormats="0" applyWidthHeightFormats="1" dataCaption="Wartości" updatedVersion="8" minRefreshableVersion="3" itemPrintTitles="1" createdVersion="8" indent="0" outline="1" outlineData="1" multipleFieldFilters="0">
  <location ref="I13:L20" firstHeaderRow="1" firstDataRow="2" firstDataCol="1"/>
  <pivotFields count="6">
    <pivotField numFmtId="14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a z ile t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7B019-A83B-4F7E-8BE9-06602D5290CB}" name="Tabela przestawna4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3:L10" firstHeaderRow="1" firstDataRow="2" firstDataCol="1"/>
  <pivotFields count="6">
    <pivotField numFmtId="14"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6">
        <item x="2"/>
        <item x="3"/>
        <item x="4"/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a z ile t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566D9-3448-4D4A-9442-7D2ECD6A24EC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7">
  <location ref="L3:N40" firstHeaderRow="0" firstDataRow="1" firstDataCol="1"/>
  <pivotFields count="9">
    <pivotField numFmtId="14" showAll="0"/>
    <pivotField showAll="0"/>
    <pivotField showAll="0"/>
    <pivotField showAll="0"/>
    <pivotField showAll="0"/>
    <pivotField showAll="0"/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showAll="0">
      <items count="21">
        <item x="0"/>
        <item x="10"/>
        <item x="11"/>
        <item x="15"/>
        <item x="3"/>
        <item x="13"/>
        <item x="12"/>
        <item x="19"/>
        <item x="18"/>
        <item x="17"/>
        <item x="8"/>
        <item x="1"/>
        <item x="4"/>
        <item x="14"/>
        <item x="5"/>
        <item x="9"/>
        <item x="6"/>
        <item x="2"/>
        <item x="16"/>
        <item x="7"/>
        <item t="default"/>
      </items>
    </pivotField>
    <pivotField dataField="1" showAll="0">
      <items count="16">
        <item x="0"/>
        <item x="6"/>
        <item x="4"/>
        <item x="9"/>
        <item x="10"/>
        <item x="13"/>
        <item x="1"/>
        <item x="11"/>
        <item x="8"/>
        <item x="2"/>
        <item x="14"/>
        <item x="7"/>
        <item x="5"/>
        <item x="12"/>
        <item x="3"/>
        <item t="default"/>
      </items>
    </pivotField>
  </pivotFields>
  <rowFields count="1">
    <field x="6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Z_T5" fld="7" baseField="0" baseItem="0"/>
    <dataField name="Suma z W_T5" fld="8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1" xr16:uid="{21AF97F6-24A8-4FF9-BBAD-0FC9A90B2AD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2" xr16:uid="{2F5EE3DD-004B-4B5F-B577-1FD34F460097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3" xr16:uid="{CD8669D1-9F3E-46B5-9E0B-792B5B860C42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4" xr16:uid="{04F62B36-7FD0-4F28-A68B-90B53D82092A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5" xr16:uid="{85BCC072-7628-4EA5-99F7-F59F0957E085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6" xr16:uid="{0EE43E18-EEB6-42B0-8BDC-BC3C510ECBD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42D3-ED49-46FF-888B-8AE434D78027}">
  <dimension ref="A1:M203"/>
  <sheetViews>
    <sheetView zoomScaleNormal="100" workbookViewId="0">
      <selection activeCell="G13" sqref="G13"/>
    </sheetView>
  </sheetViews>
  <sheetFormatPr defaultRowHeight="15" x14ac:dyDescent="0.25"/>
  <cols>
    <col min="1" max="1" width="14.7109375" customWidth="1"/>
    <col min="2" max="2" width="13" customWidth="1"/>
    <col min="3" max="3" width="8.28515625" customWidth="1"/>
    <col min="4" max="4" width="6.42578125" customWidth="1"/>
    <col min="5" max="5" width="10" customWidth="1"/>
    <col min="6" max="6" width="22.140625" bestFit="1" customWidth="1"/>
    <col min="7" max="7" width="11.5703125" customWidth="1"/>
    <col min="9" max="10" width="17.85546875" bestFit="1" customWidth="1"/>
    <col min="11" max="11" width="8.7109375" customWidth="1"/>
    <col min="12" max="12" width="14.42578125" bestFit="1" customWidth="1"/>
    <col min="13" max="13" width="18.85546875" customWidth="1"/>
    <col min="14" max="14" width="18" customWidth="1"/>
    <col min="15" max="15" width="20.42578125" customWidth="1"/>
    <col min="16" max="16" width="14.42578125" bestFit="1" customWidth="1"/>
    <col min="17" max="17" width="16.7109375" customWidth="1"/>
    <col min="18" max="18" width="18.140625" customWidth="1"/>
    <col min="19" max="19" width="20" customWidth="1"/>
  </cols>
  <sheetData>
    <row r="1" spans="1:13" x14ac:dyDescent="0.25">
      <c r="A1" s="2" t="s">
        <v>28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I1" s="2"/>
      <c r="J1" s="2"/>
      <c r="K1" s="2"/>
      <c r="L1" s="2"/>
      <c r="M1" s="2"/>
    </row>
    <row r="2" spans="1:13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 s="1"/>
    </row>
    <row r="3" spans="1:13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</row>
    <row r="4" spans="1:13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</row>
    <row r="5" spans="1:13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</row>
    <row r="6" spans="1:13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</row>
    <row r="7" spans="1:13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</row>
    <row r="8" spans="1:13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</row>
    <row r="9" spans="1:13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</row>
    <row r="10" spans="1:13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</row>
    <row r="11" spans="1:13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 s="2"/>
    </row>
    <row r="12" spans="1:13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 s="2"/>
      <c r="I12" s="4"/>
    </row>
    <row r="13" spans="1:13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</row>
    <row r="14" spans="1:13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</row>
    <row r="15" spans="1:13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</row>
    <row r="16" spans="1:13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</row>
    <row r="17" spans="1:9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H17" s="2"/>
    </row>
    <row r="18" spans="1:9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</row>
    <row r="19" spans="1:9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</row>
    <row r="20" spans="1:9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</row>
    <row r="21" spans="1:9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</row>
    <row r="22" spans="1:9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</row>
    <row r="23" spans="1:9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</row>
    <row r="24" spans="1:9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</row>
    <row r="25" spans="1:9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</row>
    <row r="26" spans="1:9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</row>
    <row r="27" spans="1:9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</row>
    <row r="28" spans="1:9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</row>
    <row r="29" spans="1:9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I29" s="4"/>
    </row>
    <row r="30" spans="1:9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I30" s="4"/>
    </row>
    <row r="31" spans="1:9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I31" s="4"/>
    </row>
    <row r="32" spans="1:9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I32" s="4"/>
    </row>
    <row r="33" spans="1:9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I33" s="4"/>
    </row>
    <row r="34" spans="1:9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</row>
    <row r="35" spans="1:9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</row>
    <row r="36" spans="1:9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</row>
    <row r="37" spans="1:9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</row>
    <row r="38" spans="1:9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</row>
    <row r="39" spans="1:9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</row>
    <row r="40" spans="1:9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</row>
    <row r="41" spans="1:9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I41" s="4"/>
    </row>
    <row r="42" spans="1:9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I42" s="4"/>
    </row>
    <row r="43" spans="1:9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I43" s="4"/>
    </row>
    <row r="44" spans="1:9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I44" s="4"/>
    </row>
    <row r="45" spans="1:9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I45" s="4"/>
    </row>
    <row r="46" spans="1:9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</row>
    <row r="47" spans="1:9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</row>
    <row r="48" spans="1:9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</row>
    <row r="49" spans="1:6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</row>
    <row r="50" spans="1:6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</row>
    <row r="51" spans="1:6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</row>
    <row r="52" spans="1:6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</row>
    <row r="53" spans="1:6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</row>
    <row r="54" spans="1:6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</row>
    <row r="55" spans="1:6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</row>
    <row r="56" spans="1:6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</row>
    <row r="57" spans="1:6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</row>
    <row r="58" spans="1:6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</row>
    <row r="59" spans="1:6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</row>
    <row r="60" spans="1:6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</row>
    <row r="61" spans="1:6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</row>
    <row r="62" spans="1:6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</row>
    <row r="63" spans="1:6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</row>
    <row r="64" spans="1:6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</row>
    <row r="65" spans="1:6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</row>
    <row r="66" spans="1:6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</row>
    <row r="67" spans="1:6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</row>
    <row r="68" spans="1:6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</row>
    <row r="69" spans="1:6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</row>
    <row r="70" spans="1:6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</row>
    <row r="71" spans="1:6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</row>
    <row r="72" spans="1:6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</row>
    <row r="73" spans="1:6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</row>
    <row r="74" spans="1:6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</row>
    <row r="75" spans="1:6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</row>
    <row r="76" spans="1:6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</row>
    <row r="77" spans="1:6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</row>
    <row r="78" spans="1:6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</row>
    <row r="79" spans="1:6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</row>
    <row r="80" spans="1:6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</row>
    <row r="81" spans="1:6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</row>
    <row r="82" spans="1:6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</row>
    <row r="83" spans="1:6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</row>
    <row r="84" spans="1:6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</row>
    <row r="85" spans="1:6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</row>
    <row r="86" spans="1:6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</row>
    <row r="87" spans="1:6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</row>
    <row r="88" spans="1:6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</row>
    <row r="89" spans="1:6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</row>
    <row r="90" spans="1:6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</row>
    <row r="91" spans="1:6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</row>
    <row r="92" spans="1:6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</row>
    <row r="93" spans="1:6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</row>
    <row r="94" spans="1:6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</row>
    <row r="95" spans="1:6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</row>
    <row r="96" spans="1:6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</row>
    <row r="97" spans="1:6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</row>
    <row r="98" spans="1:6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</row>
    <row r="99" spans="1:6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</row>
    <row r="100" spans="1:6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</row>
    <row r="101" spans="1:6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</row>
    <row r="102" spans="1:6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</row>
    <row r="103" spans="1:6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</row>
    <row r="104" spans="1:6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</row>
    <row r="105" spans="1:6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</row>
    <row r="106" spans="1:6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</row>
    <row r="107" spans="1:6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</row>
    <row r="108" spans="1:6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</row>
    <row r="109" spans="1:6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</row>
    <row r="110" spans="1:6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</row>
    <row r="111" spans="1:6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</row>
    <row r="112" spans="1:6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</row>
    <row r="113" spans="1:6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</row>
    <row r="114" spans="1:6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</row>
    <row r="115" spans="1:6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</row>
    <row r="116" spans="1:6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</row>
    <row r="117" spans="1:6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</row>
    <row r="118" spans="1:6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</row>
    <row r="119" spans="1:6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</row>
    <row r="120" spans="1:6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</row>
    <row r="121" spans="1:6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</row>
    <row r="122" spans="1:6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</row>
    <row r="123" spans="1:6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</row>
    <row r="124" spans="1:6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</row>
    <row r="125" spans="1:6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</row>
    <row r="126" spans="1:6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</row>
    <row r="127" spans="1:6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</row>
    <row r="128" spans="1:6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</row>
    <row r="129" spans="1:6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</row>
    <row r="130" spans="1:6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</row>
    <row r="131" spans="1:6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</row>
    <row r="132" spans="1:6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</row>
    <row r="133" spans="1:6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</row>
    <row r="134" spans="1:6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</row>
    <row r="135" spans="1:6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</row>
    <row r="136" spans="1:6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</row>
    <row r="137" spans="1:6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</row>
    <row r="138" spans="1:6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</row>
    <row r="139" spans="1:6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</row>
    <row r="140" spans="1:6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</row>
    <row r="141" spans="1:6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</row>
    <row r="142" spans="1:6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</row>
    <row r="143" spans="1:6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</row>
    <row r="144" spans="1:6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</row>
    <row r="175" spans="1:6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C112-73B3-4366-9D97-22801103D283}">
  <dimension ref="A1:M203"/>
  <sheetViews>
    <sheetView zoomScale="130" zoomScaleNormal="130" workbookViewId="0">
      <selection activeCell="I16" sqref="I16"/>
    </sheetView>
  </sheetViews>
  <sheetFormatPr defaultRowHeight="15" x14ac:dyDescent="0.25"/>
  <cols>
    <col min="1" max="1" width="14.7109375" customWidth="1"/>
    <col min="2" max="2" width="13" customWidth="1"/>
    <col min="3" max="3" width="8.28515625" customWidth="1"/>
    <col min="4" max="4" width="6.42578125" customWidth="1"/>
    <col min="5" max="5" width="10" customWidth="1"/>
    <col min="6" max="6" width="22.140625" bestFit="1" customWidth="1"/>
    <col min="7" max="7" width="11.5703125" customWidth="1"/>
    <col min="9" max="10" width="17.85546875" bestFit="1" customWidth="1"/>
    <col min="11" max="11" width="25" customWidth="1"/>
    <col min="12" max="12" width="14.42578125" bestFit="1" customWidth="1"/>
    <col min="13" max="13" width="18.85546875" customWidth="1"/>
    <col min="14" max="14" width="18" customWidth="1"/>
    <col min="15" max="15" width="20.42578125" customWidth="1"/>
    <col min="16" max="16" width="14.42578125" bestFit="1" customWidth="1"/>
    <col min="17" max="17" width="16.7109375" customWidth="1"/>
    <col min="18" max="18" width="18.140625" customWidth="1"/>
    <col min="19" max="19" width="20" customWidth="1"/>
  </cols>
  <sheetData>
    <row r="1" spans="1:13" x14ac:dyDescent="0.25">
      <c r="A1" s="2" t="s">
        <v>28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I1" s="2"/>
      <c r="J1" s="2"/>
      <c r="K1" s="2"/>
      <c r="L1" s="2"/>
      <c r="M1" s="2"/>
    </row>
    <row r="2" spans="1:13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 s="1"/>
    </row>
    <row r="3" spans="1:13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</row>
    <row r="4" spans="1:13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I4" t="s">
        <v>23</v>
      </c>
      <c r="J4" t="s">
        <v>26</v>
      </c>
      <c r="K4" t="s">
        <v>25</v>
      </c>
    </row>
    <row r="5" spans="1:13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I5" s="4" t="s">
        <v>8</v>
      </c>
      <c r="J5">
        <v>136</v>
      </c>
      <c r="K5">
        <v>3425</v>
      </c>
    </row>
    <row r="6" spans="1:13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I6" s="5" t="s">
        <v>10</v>
      </c>
      <c r="J6">
        <v>25</v>
      </c>
      <c r="K6">
        <v>620</v>
      </c>
    </row>
    <row r="7" spans="1:13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I7" s="5" t="s">
        <v>11</v>
      </c>
      <c r="J7">
        <v>25</v>
      </c>
      <c r="K7">
        <v>483</v>
      </c>
    </row>
    <row r="8" spans="1:13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I8" s="5" t="s">
        <v>12</v>
      </c>
      <c r="J8">
        <v>27</v>
      </c>
      <c r="K8">
        <v>633</v>
      </c>
    </row>
    <row r="9" spans="1:13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I9" s="5" t="s">
        <v>7</v>
      </c>
      <c r="J9">
        <v>32</v>
      </c>
      <c r="K9">
        <v>905</v>
      </c>
    </row>
    <row r="10" spans="1:13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I10" s="5" t="s">
        <v>9</v>
      </c>
      <c r="J10">
        <v>27</v>
      </c>
      <c r="K10">
        <v>784</v>
      </c>
    </row>
    <row r="11" spans="1:13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I11" s="4" t="s">
        <v>14</v>
      </c>
      <c r="J11">
        <v>66</v>
      </c>
      <c r="K11">
        <v>3118</v>
      </c>
    </row>
    <row r="12" spans="1:13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I12" s="4" t="s">
        <v>24</v>
      </c>
      <c r="J12">
        <v>202</v>
      </c>
      <c r="K12">
        <v>6543</v>
      </c>
    </row>
    <row r="13" spans="1:13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</row>
    <row r="14" spans="1:13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</row>
    <row r="15" spans="1:13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I15">
        <v>6.1</v>
      </c>
    </row>
    <row r="16" spans="1:13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I16" t="s">
        <v>27</v>
      </c>
    </row>
    <row r="17" spans="1:9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H17" s="2"/>
    </row>
    <row r="18" spans="1:9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</row>
    <row r="19" spans="1:9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</row>
    <row r="20" spans="1:9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</row>
    <row r="21" spans="1:9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</row>
    <row r="22" spans="1:9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</row>
    <row r="23" spans="1:9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</row>
    <row r="24" spans="1:9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</row>
    <row r="25" spans="1:9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</row>
    <row r="26" spans="1:9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</row>
    <row r="27" spans="1:9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</row>
    <row r="28" spans="1:9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</row>
    <row r="29" spans="1:9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I29" s="4"/>
    </row>
    <row r="30" spans="1:9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I30" s="4"/>
    </row>
    <row r="31" spans="1:9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I31" s="4"/>
    </row>
    <row r="32" spans="1:9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I32" s="4"/>
    </row>
    <row r="33" spans="1:9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I33" s="4"/>
    </row>
    <row r="34" spans="1:9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</row>
    <row r="35" spans="1:9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</row>
    <row r="36" spans="1:9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</row>
    <row r="37" spans="1:9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</row>
    <row r="38" spans="1:9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</row>
    <row r="39" spans="1:9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</row>
    <row r="40" spans="1:9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</row>
    <row r="41" spans="1:9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I41" s="4"/>
    </row>
    <row r="42" spans="1:9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I42" s="4"/>
    </row>
    <row r="43" spans="1:9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I43" s="4"/>
    </row>
    <row r="44" spans="1:9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I44" s="4"/>
    </row>
    <row r="45" spans="1:9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I45" s="4"/>
    </row>
    <row r="46" spans="1:9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</row>
    <row r="47" spans="1:9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</row>
    <row r="48" spans="1:9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</row>
    <row r="49" spans="1:6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</row>
    <row r="50" spans="1:6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</row>
    <row r="51" spans="1:6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</row>
    <row r="52" spans="1:6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</row>
    <row r="53" spans="1:6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</row>
    <row r="54" spans="1:6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</row>
    <row r="55" spans="1:6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</row>
    <row r="56" spans="1:6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</row>
    <row r="57" spans="1:6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</row>
    <row r="58" spans="1:6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</row>
    <row r="59" spans="1:6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</row>
    <row r="60" spans="1:6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</row>
    <row r="61" spans="1:6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</row>
    <row r="62" spans="1:6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</row>
    <row r="63" spans="1:6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</row>
    <row r="64" spans="1:6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</row>
    <row r="65" spans="1:6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</row>
    <row r="66" spans="1:6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</row>
    <row r="67" spans="1:6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</row>
    <row r="68" spans="1:6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</row>
    <row r="69" spans="1:6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</row>
    <row r="70" spans="1:6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</row>
    <row r="71" spans="1:6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</row>
    <row r="72" spans="1:6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</row>
    <row r="73" spans="1:6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</row>
    <row r="74" spans="1:6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</row>
    <row r="75" spans="1:6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</row>
    <row r="76" spans="1:6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</row>
    <row r="77" spans="1:6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</row>
    <row r="78" spans="1:6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</row>
    <row r="79" spans="1:6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</row>
    <row r="80" spans="1:6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</row>
    <row r="81" spans="1:6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</row>
    <row r="82" spans="1:6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</row>
    <row r="83" spans="1:6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</row>
    <row r="84" spans="1:6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</row>
    <row r="85" spans="1:6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</row>
    <row r="86" spans="1:6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</row>
    <row r="87" spans="1:6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</row>
    <row r="88" spans="1:6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</row>
    <row r="89" spans="1:6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</row>
    <row r="90" spans="1:6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</row>
    <row r="91" spans="1:6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</row>
    <row r="92" spans="1:6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</row>
    <row r="93" spans="1:6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</row>
    <row r="94" spans="1:6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</row>
    <row r="95" spans="1:6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</row>
    <row r="96" spans="1:6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</row>
    <row r="97" spans="1:6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</row>
    <row r="98" spans="1:6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</row>
    <row r="99" spans="1:6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</row>
    <row r="100" spans="1:6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</row>
    <row r="101" spans="1:6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</row>
    <row r="102" spans="1:6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</row>
    <row r="103" spans="1:6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</row>
    <row r="104" spans="1:6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</row>
    <row r="105" spans="1:6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</row>
    <row r="106" spans="1:6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</row>
    <row r="107" spans="1:6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</row>
    <row r="108" spans="1:6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</row>
    <row r="109" spans="1:6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</row>
    <row r="110" spans="1:6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</row>
    <row r="111" spans="1:6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</row>
    <row r="112" spans="1:6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</row>
    <row r="113" spans="1:6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</row>
    <row r="114" spans="1:6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</row>
    <row r="115" spans="1:6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</row>
    <row r="116" spans="1:6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</row>
    <row r="117" spans="1:6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</row>
    <row r="118" spans="1:6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</row>
    <row r="119" spans="1:6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</row>
    <row r="120" spans="1:6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</row>
    <row r="121" spans="1:6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</row>
    <row r="122" spans="1:6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</row>
    <row r="123" spans="1:6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</row>
    <row r="124" spans="1:6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</row>
    <row r="125" spans="1:6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</row>
    <row r="126" spans="1:6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</row>
    <row r="127" spans="1:6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</row>
    <row r="128" spans="1:6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</row>
    <row r="129" spans="1:6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</row>
    <row r="130" spans="1:6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</row>
    <row r="131" spans="1:6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</row>
    <row r="132" spans="1:6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</row>
    <row r="133" spans="1:6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</row>
    <row r="134" spans="1:6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</row>
    <row r="135" spans="1:6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</row>
    <row r="136" spans="1:6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</row>
    <row r="137" spans="1:6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</row>
    <row r="138" spans="1:6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</row>
    <row r="139" spans="1:6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</row>
    <row r="140" spans="1:6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</row>
    <row r="141" spans="1:6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</row>
    <row r="142" spans="1:6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</row>
    <row r="143" spans="1:6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</row>
    <row r="144" spans="1:6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</row>
    <row r="175" spans="1:6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</row>
  </sheetData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1BBB-DD28-4150-995D-2EAAB5388F6E}">
  <dimension ref="A1:M203"/>
  <sheetViews>
    <sheetView zoomScale="145" zoomScaleNormal="145" workbookViewId="0">
      <selection activeCell="H7" sqref="H7"/>
    </sheetView>
  </sheetViews>
  <sheetFormatPr defaultRowHeight="15" x14ac:dyDescent="0.25"/>
  <cols>
    <col min="1" max="1" width="14.7109375" customWidth="1"/>
    <col min="2" max="2" width="13" customWidth="1"/>
    <col min="3" max="3" width="8.28515625" customWidth="1"/>
    <col min="4" max="4" width="6.42578125" customWidth="1"/>
    <col min="5" max="5" width="10" customWidth="1"/>
    <col min="6" max="6" width="22.140625" bestFit="1" customWidth="1"/>
    <col min="7" max="7" width="32" customWidth="1"/>
    <col min="8" max="8" width="73.7109375" customWidth="1"/>
    <col min="9" max="10" width="17.85546875" bestFit="1" customWidth="1"/>
    <col min="11" max="11" width="8.7109375" customWidth="1"/>
    <col min="12" max="12" width="14.42578125" bestFit="1" customWidth="1"/>
    <col min="13" max="13" width="18.85546875" customWidth="1"/>
    <col min="14" max="14" width="18" customWidth="1"/>
    <col min="15" max="15" width="20.42578125" customWidth="1"/>
    <col min="16" max="16" width="14.42578125" bestFit="1" customWidth="1"/>
    <col min="17" max="17" width="16.7109375" customWidth="1"/>
    <col min="18" max="18" width="18.140625" customWidth="1"/>
    <col min="19" max="19" width="20" customWidth="1"/>
  </cols>
  <sheetData>
    <row r="1" spans="1:13" x14ac:dyDescent="0.25">
      <c r="A1" s="2" t="s">
        <v>28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31</v>
      </c>
      <c r="H1" s="2" t="s">
        <v>32</v>
      </c>
      <c r="I1" s="2"/>
      <c r="J1" s="2"/>
      <c r="K1" s="2"/>
      <c r="L1" s="2"/>
      <c r="M1" s="2"/>
    </row>
    <row r="2" spans="1:13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 s="1"/>
    </row>
    <row r="3" spans="1:13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>
        <f>A3-A2</f>
        <v>0</v>
      </c>
      <c r="H3">
        <f>COUNTIF(G:G, "&gt;21")</f>
        <v>22</v>
      </c>
    </row>
    <row r="4" spans="1:13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>
        <f t="shared" ref="G4:G67" si="0">A4-A3</f>
        <v>0</v>
      </c>
    </row>
    <row r="5" spans="1:13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>
        <f t="shared" si="0"/>
        <v>0</v>
      </c>
    </row>
    <row r="6" spans="1:13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>
        <f t="shared" si="0"/>
        <v>0</v>
      </c>
      <c r="H6">
        <v>6.2</v>
      </c>
    </row>
    <row r="7" spans="1:13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>
        <f t="shared" si="0"/>
        <v>15</v>
      </c>
      <c r="H7">
        <v>22</v>
      </c>
    </row>
    <row r="8" spans="1:13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>
        <f t="shared" si="0"/>
        <v>0</v>
      </c>
    </row>
    <row r="9" spans="1:13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>
        <f t="shared" si="0"/>
        <v>8</v>
      </c>
    </row>
    <row r="10" spans="1:13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>
        <f t="shared" si="0"/>
        <v>0</v>
      </c>
    </row>
    <row r="11" spans="1:13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>
        <f t="shared" si="0"/>
        <v>0</v>
      </c>
    </row>
    <row r="12" spans="1:13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>
        <f t="shared" si="0"/>
        <v>26</v>
      </c>
      <c r="I12" s="4"/>
    </row>
    <row r="13" spans="1:13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>
        <f t="shared" si="0"/>
        <v>0</v>
      </c>
    </row>
    <row r="14" spans="1:13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>
        <f t="shared" si="0"/>
        <v>0</v>
      </c>
    </row>
    <row r="15" spans="1:13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>
        <f t="shared" si="0"/>
        <v>0</v>
      </c>
    </row>
    <row r="16" spans="1:13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>
        <f t="shared" si="0"/>
        <v>21</v>
      </c>
    </row>
    <row r="17" spans="1:9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>
        <f t="shared" si="0"/>
        <v>0</v>
      </c>
      <c r="H17" s="2"/>
    </row>
    <row r="18" spans="1:9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>
        <f t="shared" si="0"/>
        <v>0</v>
      </c>
    </row>
    <row r="19" spans="1:9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>
        <f t="shared" si="0"/>
        <v>0</v>
      </c>
    </row>
    <row r="20" spans="1:9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>
        <f t="shared" si="0"/>
        <v>24</v>
      </c>
    </row>
    <row r="21" spans="1:9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>
        <f t="shared" si="0"/>
        <v>0</v>
      </c>
    </row>
    <row r="22" spans="1:9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>
        <f t="shared" si="0"/>
        <v>0</v>
      </c>
    </row>
    <row r="23" spans="1:9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>
        <f t="shared" si="0"/>
        <v>18</v>
      </c>
    </row>
    <row r="24" spans="1:9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>
        <f t="shared" si="0"/>
        <v>0</v>
      </c>
    </row>
    <row r="25" spans="1:9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>
        <f t="shared" si="0"/>
        <v>0</v>
      </c>
    </row>
    <row r="26" spans="1:9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>
        <f t="shared" si="0"/>
        <v>22</v>
      </c>
    </row>
    <row r="27" spans="1:9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>
        <f t="shared" si="0"/>
        <v>0</v>
      </c>
    </row>
    <row r="28" spans="1:9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>
        <f t="shared" si="0"/>
        <v>25</v>
      </c>
    </row>
    <row r="29" spans="1:9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>
        <f t="shared" si="0"/>
        <v>0</v>
      </c>
      <c r="I29" s="4"/>
    </row>
    <row r="30" spans="1:9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>
        <f t="shared" si="0"/>
        <v>0</v>
      </c>
      <c r="I30" s="4"/>
    </row>
    <row r="31" spans="1:9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>
        <f t="shared" si="0"/>
        <v>0</v>
      </c>
      <c r="I31" s="4"/>
    </row>
    <row r="32" spans="1:9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>
        <f t="shared" si="0"/>
        <v>13</v>
      </c>
      <c r="I32" s="4"/>
    </row>
    <row r="33" spans="1:9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>
        <f t="shared" si="0"/>
        <v>0</v>
      </c>
      <c r="I33" s="4"/>
    </row>
    <row r="34" spans="1:9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>
        <f t="shared" si="0"/>
        <v>0</v>
      </c>
    </row>
    <row r="35" spans="1:9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>
        <f t="shared" si="0"/>
        <v>0</v>
      </c>
    </row>
    <row r="36" spans="1:9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>
        <f t="shared" si="0"/>
        <v>0</v>
      </c>
    </row>
    <row r="37" spans="1:9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>
        <f t="shared" si="0"/>
        <v>17</v>
      </c>
    </row>
    <row r="38" spans="1:9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>
        <f t="shared" si="0"/>
        <v>0</v>
      </c>
    </row>
    <row r="39" spans="1:9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>
        <f t="shared" si="0"/>
        <v>0</v>
      </c>
    </row>
    <row r="40" spans="1:9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>
        <f t="shared" si="0"/>
        <v>0</v>
      </c>
    </row>
    <row r="41" spans="1:9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>
        <f t="shared" si="0"/>
        <v>15</v>
      </c>
      <c r="I41" s="4"/>
    </row>
    <row r="42" spans="1:9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>
        <f t="shared" si="0"/>
        <v>0</v>
      </c>
      <c r="I42" s="4"/>
    </row>
    <row r="43" spans="1:9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>
        <f t="shared" si="0"/>
        <v>19</v>
      </c>
      <c r="I43" s="4"/>
    </row>
    <row r="44" spans="1:9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>
        <f t="shared" si="0"/>
        <v>0</v>
      </c>
      <c r="I44" s="4"/>
    </row>
    <row r="45" spans="1:9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>
        <f t="shared" si="0"/>
        <v>0</v>
      </c>
      <c r="I45" s="4"/>
    </row>
    <row r="46" spans="1:9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>
        <f t="shared" si="0"/>
        <v>26</v>
      </c>
    </row>
    <row r="47" spans="1:9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>
        <f t="shared" si="0"/>
        <v>0</v>
      </c>
    </row>
    <row r="48" spans="1:9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>
        <f t="shared" si="0"/>
        <v>0</v>
      </c>
    </row>
    <row r="49" spans="1:7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>
        <f t="shared" si="0"/>
        <v>0</v>
      </c>
    </row>
    <row r="50" spans="1:7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>
        <f t="shared" si="0"/>
        <v>0</v>
      </c>
    </row>
    <row r="51" spans="1:7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>
        <f t="shared" si="0"/>
        <v>21</v>
      </c>
    </row>
    <row r="52" spans="1:7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>
        <f t="shared" si="0"/>
        <v>0</v>
      </c>
    </row>
    <row r="53" spans="1:7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>
        <f t="shared" si="0"/>
        <v>0</v>
      </c>
    </row>
    <row r="54" spans="1:7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>
        <f t="shared" si="0"/>
        <v>0</v>
      </c>
    </row>
    <row r="55" spans="1:7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>
        <f t="shared" si="0"/>
        <v>0</v>
      </c>
    </row>
    <row r="56" spans="1:7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>
        <f t="shared" si="0"/>
        <v>24</v>
      </c>
    </row>
    <row r="57" spans="1:7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>
        <f t="shared" si="0"/>
        <v>0</v>
      </c>
    </row>
    <row r="58" spans="1:7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>
        <f t="shared" si="0"/>
        <v>0</v>
      </c>
    </row>
    <row r="59" spans="1:7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>
        <f t="shared" si="0"/>
        <v>18</v>
      </c>
    </row>
    <row r="60" spans="1:7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>
        <f t="shared" si="0"/>
        <v>0</v>
      </c>
    </row>
    <row r="61" spans="1:7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>
        <f t="shared" si="0"/>
        <v>0</v>
      </c>
    </row>
    <row r="62" spans="1:7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>
        <f t="shared" si="0"/>
        <v>22</v>
      </c>
    </row>
    <row r="63" spans="1:7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>
        <f t="shared" si="0"/>
        <v>0</v>
      </c>
    </row>
    <row r="64" spans="1:7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>
        <f t="shared" si="0"/>
        <v>0</v>
      </c>
    </row>
    <row r="65" spans="1:7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>
        <f t="shared" si="0"/>
        <v>0</v>
      </c>
    </row>
    <row r="66" spans="1:7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>
        <f t="shared" si="0"/>
        <v>25</v>
      </c>
    </row>
    <row r="67" spans="1:7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>
        <f t="shared" si="0"/>
        <v>0</v>
      </c>
    </row>
    <row r="68" spans="1:7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>
        <f t="shared" ref="G68:G131" si="1">A68-A67</f>
        <v>0</v>
      </c>
    </row>
    <row r="69" spans="1:7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>
        <f t="shared" si="1"/>
        <v>13</v>
      </c>
    </row>
    <row r="70" spans="1:7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>
        <f t="shared" si="1"/>
        <v>0</v>
      </c>
    </row>
    <row r="71" spans="1:7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>
        <f t="shared" si="1"/>
        <v>0</v>
      </c>
    </row>
    <row r="72" spans="1:7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>
        <f t="shared" si="1"/>
        <v>0</v>
      </c>
    </row>
    <row r="73" spans="1:7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>
        <f t="shared" si="1"/>
        <v>0</v>
      </c>
    </row>
    <row r="74" spans="1:7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>
        <f t="shared" si="1"/>
        <v>17</v>
      </c>
    </row>
    <row r="75" spans="1:7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>
        <f t="shared" si="1"/>
        <v>0</v>
      </c>
    </row>
    <row r="76" spans="1:7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>
        <f t="shared" si="1"/>
        <v>0</v>
      </c>
    </row>
    <row r="77" spans="1:7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>
        <f t="shared" si="1"/>
        <v>15</v>
      </c>
    </row>
    <row r="78" spans="1:7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>
        <f t="shared" si="1"/>
        <v>0</v>
      </c>
    </row>
    <row r="79" spans="1:7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>
        <f t="shared" si="1"/>
        <v>19</v>
      </c>
    </row>
    <row r="80" spans="1:7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>
        <f t="shared" si="1"/>
        <v>0</v>
      </c>
    </row>
    <row r="81" spans="1:7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>
        <f t="shared" si="1"/>
        <v>0</v>
      </c>
    </row>
    <row r="82" spans="1:7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>
        <f t="shared" si="1"/>
        <v>0</v>
      </c>
    </row>
    <row r="83" spans="1:7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>
        <f t="shared" si="1"/>
        <v>26</v>
      </c>
    </row>
    <row r="84" spans="1:7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>
        <f t="shared" si="1"/>
        <v>0</v>
      </c>
    </row>
    <row r="85" spans="1:7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>
        <f t="shared" si="1"/>
        <v>0</v>
      </c>
    </row>
    <row r="86" spans="1:7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>
        <f t="shared" si="1"/>
        <v>21</v>
      </c>
    </row>
    <row r="87" spans="1:7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>
        <f t="shared" si="1"/>
        <v>0</v>
      </c>
    </row>
    <row r="88" spans="1:7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>
        <f t="shared" si="1"/>
        <v>0</v>
      </c>
    </row>
    <row r="89" spans="1:7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>
        <f t="shared" si="1"/>
        <v>0</v>
      </c>
    </row>
    <row r="90" spans="1:7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>
        <f t="shared" si="1"/>
        <v>0</v>
      </c>
    </row>
    <row r="91" spans="1:7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>
        <f t="shared" si="1"/>
        <v>24</v>
      </c>
    </row>
    <row r="92" spans="1:7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>
        <f t="shared" si="1"/>
        <v>0</v>
      </c>
    </row>
    <row r="93" spans="1:7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>
        <f t="shared" si="1"/>
        <v>0</v>
      </c>
    </row>
    <row r="94" spans="1:7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>
        <f t="shared" si="1"/>
        <v>0</v>
      </c>
    </row>
    <row r="95" spans="1:7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>
        <f t="shared" si="1"/>
        <v>0</v>
      </c>
    </row>
    <row r="96" spans="1:7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>
        <f t="shared" si="1"/>
        <v>18</v>
      </c>
    </row>
    <row r="97" spans="1:7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>
        <f t="shared" si="1"/>
        <v>0</v>
      </c>
    </row>
    <row r="98" spans="1:7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>
        <f t="shared" si="1"/>
        <v>0</v>
      </c>
    </row>
    <row r="99" spans="1:7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>
        <f t="shared" si="1"/>
        <v>0</v>
      </c>
    </row>
    <row r="100" spans="1:7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>
        <f t="shared" si="1"/>
        <v>0</v>
      </c>
    </row>
    <row r="101" spans="1:7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>
        <f t="shared" si="1"/>
        <v>22</v>
      </c>
    </row>
    <row r="102" spans="1:7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>
        <f t="shared" si="1"/>
        <v>0</v>
      </c>
    </row>
    <row r="103" spans="1:7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>
        <f t="shared" si="1"/>
        <v>0</v>
      </c>
    </row>
    <row r="104" spans="1:7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>
        <f t="shared" si="1"/>
        <v>0</v>
      </c>
    </row>
    <row r="105" spans="1:7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>
        <f t="shared" si="1"/>
        <v>0</v>
      </c>
    </row>
    <row r="106" spans="1:7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>
        <f t="shared" si="1"/>
        <v>25</v>
      </c>
    </row>
    <row r="107" spans="1:7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>
        <f t="shared" si="1"/>
        <v>0</v>
      </c>
    </row>
    <row r="108" spans="1:7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>
        <f t="shared" si="1"/>
        <v>13</v>
      </c>
    </row>
    <row r="109" spans="1:7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>
        <f t="shared" si="1"/>
        <v>0</v>
      </c>
    </row>
    <row r="110" spans="1:7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>
        <f t="shared" si="1"/>
        <v>0</v>
      </c>
    </row>
    <row r="111" spans="1:7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>
        <f t="shared" si="1"/>
        <v>0</v>
      </c>
    </row>
    <row r="112" spans="1:7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>
        <f t="shared" si="1"/>
        <v>0</v>
      </c>
    </row>
    <row r="113" spans="1:7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>
        <f t="shared" si="1"/>
        <v>17</v>
      </c>
    </row>
    <row r="114" spans="1:7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>
        <f t="shared" si="1"/>
        <v>0</v>
      </c>
    </row>
    <row r="115" spans="1:7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>
        <f t="shared" si="1"/>
        <v>0</v>
      </c>
    </row>
    <row r="116" spans="1:7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>
        <f t="shared" si="1"/>
        <v>0</v>
      </c>
    </row>
    <row r="117" spans="1:7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>
        <f t="shared" si="1"/>
        <v>15</v>
      </c>
    </row>
    <row r="118" spans="1:7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>
        <f t="shared" si="1"/>
        <v>0</v>
      </c>
    </row>
    <row r="119" spans="1:7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>
        <f t="shared" si="1"/>
        <v>0</v>
      </c>
    </row>
    <row r="120" spans="1:7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>
        <f t="shared" si="1"/>
        <v>0</v>
      </c>
    </row>
    <row r="121" spans="1:7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>
        <f t="shared" si="1"/>
        <v>19</v>
      </c>
    </row>
    <row r="122" spans="1:7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>
        <f t="shared" si="1"/>
        <v>0</v>
      </c>
    </row>
    <row r="123" spans="1:7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>
        <f t="shared" si="1"/>
        <v>26</v>
      </c>
    </row>
    <row r="124" spans="1:7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>
        <f t="shared" si="1"/>
        <v>0</v>
      </c>
    </row>
    <row r="125" spans="1:7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>
        <f t="shared" si="1"/>
        <v>21</v>
      </c>
    </row>
    <row r="126" spans="1:7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>
        <f t="shared" si="1"/>
        <v>0</v>
      </c>
    </row>
    <row r="127" spans="1:7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>
        <f t="shared" si="1"/>
        <v>0</v>
      </c>
    </row>
    <row r="128" spans="1:7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>
        <f t="shared" si="1"/>
        <v>0</v>
      </c>
    </row>
    <row r="129" spans="1:7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>
        <f t="shared" si="1"/>
        <v>0</v>
      </c>
    </row>
    <row r="130" spans="1:7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>
        <f t="shared" si="1"/>
        <v>24</v>
      </c>
    </row>
    <row r="131" spans="1:7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>
        <f t="shared" si="1"/>
        <v>0</v>
      </c>
    </row>
    <row r="132" spans="1:7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>
        <f t="shared" ref="G132:G195" si="2">A132-A131</f>
        <v>18</v>
      </c>
    </row>
    <row r="133" spans="1:7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>
        <f t="shared" si="2"/>
        <v>0</v>
      </c>
    </row>
    <row r="134" spans="1:7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>
        <f t="shared" si="2"/>
        <v>0</v>
      </c>
    </row>
    <row r="135" spans="1:7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>
        <f t="shared" si="2"/>
        <v>22</v>
      </c>
    </row>
    <row r="136" spans="1:7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>
        <f t="shared" si="2"/>
        <v>0</v>
      </c>
    </row>
    <row r="137" spans="1:7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>
        <f t="shared" si="2"/>
        <v>0</v>
      </c>
    </row>
    <row r="138" spans="1:7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>
        <f t="shared" si="2"/>
        <v>0</v>
      </c>
    </row>
    <row r="139" spans="1:7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>
        <f t="shared" si="2"/>
        <v>25</v>
      </c>
    </row>
    <row r="140" spans="1:7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>
        <f t="shared" si="2"/>
        <v>0</v>
      </c>
    </row>
    <row r="141" spans="1:7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>
        <f t="shared" si="2"/>
        <v>0</v>
      </c>
    </row>
    <row r="142" spans="1:7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>
        <f t="shared" si="2"/>
        <v>0</v>
      </c>
    </row>
    <row r="143" spans="1:7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>
        <f t="shared" si="2"/>
        <v>0</v>
      </c>
    </row>
    <row r="144" spans="1:7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>
        <f t="shared" si="2"/>
        <v>1</v>
      </c>
    </row>
    <row r="145" spans="1:7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>
        <f t="shared" si="2"/>
        <v>0</v>
      </c>
    </row>
    <row r="146" spans="1:7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>
        <f t="shared" si="2"/>
        <v>17</v>
      </c>
    </row>
    <row r="147" spans="1:7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>
        <f t="shared" si="2"/>
        <v>0</v>
      </c>
    </row>
    <row r="148" spans="1:7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>
        <f t="shared" si="2"/>
        <v>0</v>
      </c>
    </row>
    <row r="149" spans="1:7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>
        <f t="shared" si="2"/>
        <v>0</v>
      </c>
    </row>
    <row r="150" spans="1:7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>
        <f t="shared" si="2"/>
        <v>0</v>
      </c>
    </row>
    <row r="151" spans="1:7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>
        <f t="shared" si="2"/>
        <v>15</v>
      </c>
    </row>
    <row r="152" spans="1:7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>
        <f t="shared" si="2"/>
        <v>0</v>
      </c>
    </row>
    <row r="153" spans="1:7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>
        <f t="shared" si="2"/>
        <v>19</v>
      </c>
    </row>
    <row r="154" spans="1:7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>
        <f t="shared" si="2"/>
        <v>0</v>
      </c>
    </row>
    <row r="155" spans="1:7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>
        <f t="shared" si="2"/>
        <v>0</v>
      </c>
    </row>
    <row r="156" spans="1:7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>
        <f t="shared" si="2"/>
        <v>26</v>
      </c>
    </row>
    <row r="157" spans="1:7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>
        <f t="shared" si="2"/>
        <v>0</v>
      </c>
    </row>
    <row r="158" spans="1:7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>
        <f t="shared" si="2"/>
        <v>0</v>
      </c>
    </row>
    <row r="159" spans="1:7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>
        <f t="shared" si="2"/>
        <v>0</v>
      </c>
    </row>
    <row r="160" spans="1:7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>
        <f t="shared" si="2"/>
        <v>21</v>
      </c>
    </row>
    <row r="161" spans="1:7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>
        <f t="shared" si="2"/>
        <v>0</v>
      </c>
    </row>
    <row r="162" spans="1:7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>
        <f t="shared" si="2"/>
        <v>0</v>
      </c>
    </row>
    <row r="163" spans="1:7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>
        <f t="shared" si="2"/>
        <v>24</v>
      </c>
    </row>
    <row r="164" spans="1:7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>
        <f t="shared" si="2"/>
        <v>0</v>
      </c>
    </row>
    <row r="165" spans="1:7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>
        <f t="shared" si="2"/>
        <v>0</v>
      </c>
    </row>
    <row r="166" spans="1:7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>
        <f t="shared" si="2"/>
        <v>18</v>
      </c>
    </row>
    <row r="167" spans="1:7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>
        <f t="shared" si="2"/>
        <v>0</v>
      </c>
    </row>
    <row r="168" spans="1:7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>
        <f t="shared" si="2"/>
        <v>0</v>
      </c>
    </row>
    <row r="169" spans="1:7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>
        <f t="shared" si="2"/>
        <v>22</v>
      </c>
    </row>
    <row r="170" spans="1:7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>
        <f t="shared" si="2"/>
        <v>0</v>
      </c>
    </row>
    <row r="171" spans="1:7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>
        <f t="shared" si="2"/>
        <v>0</v>
      </c>
    </row>
    <row r="172" spans="1:7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>
        <f t="shared" si="2"/>
        <v>0</v>
      </c>
    </row>
    <row r="173" spans="1:7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>
        <f t="shared" si="2"/>
        <v>0</v>
      </c>
    </row>
    <row r="174" spans="1:7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>
        <f t="shared" si="2"/>
        <v>25</v>
      </c>
    </row>
    <row r="175" spans="1:7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>
        <f t="shared" si="2"/>
        <v>0</v>
      </c>
    </row>
    <row r="176" spans="1:7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>
        <f t="shared" si="2"/>
        <v>0</v>
      </c>
    </row>
    <row r="177" spans="1:7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>
        <f t="shared" si="2"/>
        <v>0</v>
      </c>
    </row>
    <row r="178" spans="1:7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>
        <f t="shared" si="2"/>
        <v>13</v>
      </c>
    </row>
    <row r="179" spans="1:7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>
        <f t="shared" si="2"/>
        <v>0</v>
      </c>
    </row>
    <row r="180" spans="1:7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>
        <f t="shared" si="2"/>
        <v>0</v>
      </c>
    </row>
    <row r="181" spans="1:7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>
        <f t="shared" si="2"/>
        <v>0</v>
      </c>
    </row>
    <row r="182" spans="1:7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>
        <f t="shared" si="2"/>
        <v>17</v>
      </c>
    </row>
    <row r="183" spans="1:7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>
        <f t="shared" si="2"/>
        <v>0</v>
      </c>
    </row>
    <row r="184" spans="1:7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>
        <f t="shared" si="2"/>
        <v>0</v>
      </c>
    </row>
    <row r="185" spans="1:7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>
        <f t="shared" si="2"/>
        <v>0</v>
      </c>
    </row>
    <row r="186" spans="1:7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>
        <f t="shared" si="2"/>
        <v>15</v>
      </c>
    </row>
    <row r="187" spans="1:7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>
        <f t="shared" si="2"/>
        <v>0</v>
      </c>
    </row>
    <row r="188" spans="1:7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>
        <f t="shared" si="2"/>
        <v>0</v>
      </c>
    </row>
    <row r="189" spans="1:7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>
        <f t="shared" si="2"/>
        <v>0</v>
      </c>
    </row>
    <row r="190" spans="1:7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>
        <f t="shared" si="2"/>
        <v>0</v>
      </c>
    </row>
    <row r="191" spans="1:7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>
        <f t="shared" si="2"/>
        <v>19</v>
      </c>
    </row>
    <row r="192" spans="1:7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>
        <f t="shared" si="2"/>
        <v>0</v>
      </c>
    </row>
    <row r="193" spans="1:7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>
        <f t="shared" si="2"/>
        <v>0</v>
      </c>
    </row>
    <row r="194" spans="1:7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>
        <f t="shared" si="2"/>
        <v>26</v>
      </c>
    </row>
    <row r="195" spans="1:7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>
        <f t="shared" si="2"/>
        <v>0</v>
      </c>
    </row>
    <row r="196" spans="1:7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>
        <f t="shared" ref="G196:G203" si="3">A196-A195</f>
        <v>21</v>
      </c>
    </row>
    <row r="197" spans="1:7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>
        <f t="shared" si="3"/>
        <v>0</v>
      </c>
    </row>
    <row r="198" spans="1:7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>
        <f t="shared" si="3"/>
        <v>0</v>
      </c>
    </row>
    <row r="199" spans="1:7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>
        <f t="shared" si="3"/>
        <v>24</v>
      </c>
    </row>
    <row r="200" spans="1:7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>
        <f t="shared" si="3"/>
        <v>0</v>
      </c>
    </row>
    <row r="201" spans="1:7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>
        <f t="shared" si="3"/>
        <v>0</v>
      </c>
    </row>
    <row r="202" spans="1:7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>
        <f t="shared" si="3"/>
        <v>0</v>
      </c>
    </row>
    <row r="203" spans="1:7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>
        <f t="shared" si="3"/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2421-D2AE-4DEF-92BB-E54261FFDB8F}">
  <dimension ref="A1:M203"/>
  <sheetViews>
    <sheetView topLeftCell="A28" zoomScale="130" zoomScaleNormal="130" workbookViewId="0">
      <selection activeCell="M51" sqref="M51"/>
    </sheetView>
  </sheetViews>
  <sheetFormatPr defaultRowHeight="15" x14ac:dyDescent="0.25"/>
  <cols>
    <col min="1" max="1" width="14.7109375" customWidth="1"/>
    <col min="2" max="2" width="13" customWidth="1"/>
    <col min="3" max="3" width="8.28515625" customWidth="1"/>
    <col min="4" max="4" width="6.42578125" customWidth="1"/>
    <col min="5" max="5" width="10" customWidth="1"/>
    <col min="6" max="6" width="22.140625" bestFit="1" customWidth="1"/>
    <col min="7" max="7" width="11.5703125" customWidth="1"/>
    <col min="9" max="10" width="17.85546875" bestFit="1" customWidth="1"/>
    <col min="11" max="11" width="16.28515625" customWidth="1"/>
    <col min="12" max="12" width="14.42578125" bestFit="1" customWidth="1"/>
    <col min="13" max="13" width="18.85546875" customWidth="1"/>
    <col min="14" max="14" width="18" customWidth="1"/>
    <col min="15" max="15" width="20.42578125" customWidth="1"/>
    <col min="16" max="16" width="14.42578125" bestFit="1" customWidth="1"/>
    <col min="17" max="17" width="16.7109375" customWidth="1"/>
    <col min="18" max="18" width="18.140625" customWidth="1"/>
    <col min="19" max="19" width="20" customWidth="1"/>
  </cols>
  <sheetData>
    <row r="1" spans="1:13" x14ac:dyDescent="0.25">
      <c r="A1" s="2" t="s">
        <v>28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I1" s="2"/>
      <c r="J1" s="2"/>
      <c r="K1" s="2"/>
      <c r="L1" s="2"/>
      <c r="M1" s="2"/>
    </row>
    <row r="2" spans="1:13" x14ac:dyDescent="0.25">
      <c r="A2" s="6">
        <v>42370</v>
      </c>
      <c r="B2" s="2" t="s">
        <v>6</v>
      </c>
      <c r="C2" s="2" t="s">
        <v>7</v>
      </c>
      <c r="D2" s="2" t="s">
        <v>8</v>
      </c>
      <c r="E2" s="2">
        <v>3</v>
      </c>
      <c r="F2" s="2">
        <v>80</v>
      </c>
      <c r="G2" s="1"/>
    </row>
    <row r="3" spans="1:13" x14ac:dyDescent="0.25">
      <c r="A3" s="6">
        <v>42370</v>
      </c>
      <c r="B3" s="2" t="s">
        <v>6</v>
      </c>
      <c r="C3" s="2" t="s">
        <v>9</v>
      </c>
      <c r="D3" s="2" t="s">
        <v>8</v>
      </c>
      <c r="E3" s="2">
        <v>32</v>
      </c>
      <c r="F3" s="2">
        <v>50</v>
      </c>
      <c r="I3" t="s">
        <v>25</v>
      </c>
      <c r="J3" t="s">
        <v>29</v>
      </c>
    </row>
    <row r="4" spans="1:13" x14ac:dyDescent="0.25">
      <c r="A4" s="6">
        <v>42370</v>
      </c>
      <c r="B4" s="2" t="s">
        <v>6</v>
      </c>
      <c r="C4" s="2" t="s">
        <v>10</v>
      </c>
      <c r="D4" s="2" t="s">
        <v>8</v>
      </c>
      <c r="E4" s="2">
        <v>38</v>
      </c>
      <c r="F4" s="2">
        <v>10</v>
      </c>
      <c r="I4" t="s">
        <v>23</v>
      </c>
      <c r="J4" t="s">
        <v>14</v>
      </c>
      <c r="K4" t="s">
        <v>8</v>
      </c>
      <c r="L4" t="s">
        <v>24</v>
      </c>
    </row>
    <row r="5" spans="1:13" x14ac:dyDescent="0.25">
      <c r="A5" s="6">
        <v>42370</v>
      </c>
      <c r="B5" s="2" t="s">
        <v>6</v>
      </c>
      <c r="C5" s="2" t="s">
        <v>11</v>
      </c>
      <c r="D5" s="2" t="s">
        <v>8</v>
      </c>
      <c r="E5" s="2">
        <v>33</v>
      </c>
      <c r="F5" s="2">
        <v>30</v>
      </c>
      <c r="I5" s="4" t="s">
        <v>10</v>
      </c>
      <c r="K5">
        <v>38</v>
      </c>
      <c r="L5">
        <v>38</v>
      </c>
    </row>
    <row r="6" spans="1:13" x14ac:dyDescent="0.25">
      <c r="A6" s="6">
        <v>42370</v>
      </c>
      <c r="B6" s="2" t="s">
        <v>6</v>
      </c>
      <c r="C6" s="2" t="s">
        <v>12</v>
      </c>
      <c r="D6" s="2" t="s">
        <v>8</v>
      </c>
      <c r="E6" s="2">
        <v>43</v>
      </c>
      <c r="F6" s="2">
        <v>25</v>
      </c>
      <c r="I6" s="4" t="s">
        <v>11</v>
      </c>
      <c r="K6">
        <v>48</v>
      </c>
      <c r="L6">
        <v>48</v>
      </c>
    </row>
    <row r="7" spans="1:13" x14ac:dyDescent="0.25">
      <c r="A7" s="6">
        <v>42385</v>
      </c>
      <c r="B7" s="2" t="s">
        <v>13</v>
      </c>
      <c r="C7" s="2" t="s">
        <v>9</v>
      </c>
      <c r="D7" s="2" t="s">
        <v>14</v>
      </c>
      <c r="E7" s="2">
        <v>32</v>
      </c>
      <c r="F7" s="2">
        <v>58</v>
      </c>
      <c r="I7" s="4" t="s">
        <v>12</v>
      </c>
      <c r="K7">
        <v>43</v>
      </c>
      <c r="L7">
        <v>43</v>
      </c>
    </row>
    <row r="8" spans="1:13" x14ac:dyDescent="0.25">
      <c r="A8" s="6">
        <v>42385</v>
      </c>
      <c r="B8" s="2" t="s">
        <v>13</v>
      </c>
      <c r="C8" s="2" t="s">
        <v>11</v>
      </c>
      <c r="D8" s="2" t="s">
        <v>8</v>
      </c>
      <c r="E8" s="2">
        <v>14</v>
      </c>
      <c r="F8" s="2">
        <v>26</v>
      </c>
      <c r="I8" s="4" t="s">
        <v>7</v>
      </c>
      <c r="K8">
        <v>24</v>
      </c>
      <c r="L8">
        <v>24</v>
      </c>
    </row>
    <row r="9" spans="1:13" x14ac:dyDescent="0.25">
      <c r="A9" s="6">
        <v>42393</v>
      </c>
      <c r="B9" s="2" t="s">
        <v>15</v>
      </c>
      <c r="C9" s="2" t="s">
        <v>9</v>
      </c>
      <c r="D9" s="2" t="s">
        <v>8</v>
      </c>
      <c r="E9" s="2">
        <v>44</v>
      </c>
      <c r="F9" s="2">
        <v>46</v>
      </c>
      <c r="I9" s="4" t="s">
        <v>9</v>
      </c>
      <c r="J9">
        <v>32</v>
      </c>
      <c r="K9">
        <v>76</v>
      </c>
      <c r="L9">
        <v>108</v>
      </c>
    </row>
    <row r="10" spans="1:13" x14ac:dyDescent="0.25">
      <c r="A10" s="6">
        <v>42393</v>
      </c>
      <c r="B10" s="2" t="s">
        <v>15</v>
      </c>
      <c r="C10" s="2" t="s">
        <v>11</v>
      </c>
      <c r="D10" s="2" t="s">
        <v>8</v>
      </c>
      <c r="E10" s="2">
        <v>1</v>
      </c>
      <c r="F10" s="2">
        <v>28</v>
      </c>
      <c r="I10" s="4" t="s">
        <v>24</v>
      </c>
      <c r="J10">
        <v>32</v>
      </c>
      <c r="K10">
        <v>229</v>
      </c>
      <c r="L10">
        <v>261</v>
      </c>
    </row>
    <row r="11" spans="1:13" x14ac:dyDescent="0.25">
      <c r="A11" s="6">
        <v>42393</v>
      </c>
      <c r="B11" s="2" t="s">
        <v>15</v>
      </c>
      <c r="C11" s="2" t="s">
        <v>7</v>
      </c>
      <c r="D11" s="2" t="s">
        <v>8</v>
      </c>
      <c r="E11" s="2">
        <v>21</v>
      </c>
      <c r="F11" s="2">
        <v>74</v>
      </c>
      <c r="G11" s="2"/>
    </row>
    <row r="12" spans="1:13" x14ac:dyDescent="0.25">
      <c r="A12" s="7">
        <v>42419</v>
      </c>
      <c r="B12" s="8" t="s">
        <v>16</v>
      </c>
      <c r="C12" s="8" t="s">
        <v>12</v>
      </c>
      <c r="D12" s="8" t="s">
        <v>14</v>
      </c>
      <c r="E12" s="8">
        <v>43</v>
      </c>
      <c r="F12" s="8">
        <v>32</v>
      </c>
      <c r="G12" s="2"/>
      <c r="I12" s="4"/>
    </row>
    <row r="13" spans="1:13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I13" t="s">
        <v>25</v>
      </c>
      <c r="J13" t="s">
        <v>29</v>
      </c>
    </row>
    <row r="14" spans="1:13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I14" t="s">
        <v>23</v>
      </c>
      <c r="J14" t="s">
        <v>14</v>
      </c>
      <c r="K14" t="s">
        <v>8</v>
      </c>
      <c r="L14" t="s">
        <v>24</v>
      </c>
    </row>
    <row r="15" spans="1:13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I15" s="4" t="s">
        <v>10</v>
      </c>
      <c r="J15">
        <v>441</v>
      </c>
      <c r="K15">
        <v>444</v>
      </c>
      <c r="L15">
        <v>885</v>
      </c>
    </row>
    <row r="16" spans="1:13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I16" s="4" t="s">
        <v>11</v>
      </c>
      <c r="J16">
        <v>355</v>
      </c>
      <c r="K16">
        <v>368</v>
      </c>
      <c r="L16">
        <v>723</v>
      </c>
    </row>
    <row r="17" spans="1:13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H17" s="2"/>
      <c r="I17" s="4" t="s">
        <v>12</v>
      </c>
      <c r="J17">
        <v>512</v>
      </c>
      <c r="K17">
        <v>541</v>
      </c>
      <c r="L17">
        <v>1053</v>
      </c>
    </row>
    <row r="18" spans="1:13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I18" s="4" t="s">
        <v>7</v>
      </c>
      <c r="J18">
        <v>768</v>
      </c>
      <c r="K18">
        <v>833</v>
      </c>
      <c r="L18">
        <v>1601</v>
      </c>
    </row>
    <row r="19" spans="1:13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I19" s="4" t="s">
        <v>9</v>
      </c>
      <c r="J19">
        <v>569</v>
      </c>
      <c r="K19">
        <v>694</v>
      </c>
      <c r="L19">
        <v>1263</v>
      </c>
    </row>
    <row r="20" spans="1:13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I20" s="4" t="s">
        <v>24</v>
      </c>
      <c r="J20">
        <v>2645</v>
      </c>
      <c r="K20">
        <v>2880</v>
      </c>
      <c r="L20">
        <v>5525</v>
      </c>
    </row>
    <row r="21" spans="1:13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</row>
    <row r="22" spans="1:13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</row>
    <row r="23" spans="1:13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</row>
    <row r="24" spans="1:13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</row>
    <row r="25" spans="1:13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</row>
    <row r="26" spans="1:13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</row>
    <row r="27" spans="1:13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</row>
    <row r="28" spans="1:13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M28" t="s">
        <v>30</v>
      </c>
    </row>
    <row r="29" spans="1:13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I29" s="4" t="s">
        <v>10</v>
      </c>
      <c r="J29">
        <v>441</v>
      </c>
      <c r="K29">
        <v>444</v>
      </c>
      <c r="L29">
        <v>885</v>
      </c>
      <c r="M29">
        <f>K29-J29</f>
        <v>3</v>
      </c>
    </row>
    <row r="30" spans="1:13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I30" s="4" t="s">
        <v>11</v>
      </c>
      <c r="J30">
        <v>355</v>
      </c>
      <c r="K30">
        <v>368</v>
      </c>
      <c r="L30">
        <v>723</v>
      </c>
      <c r="M30">
        <f t="shared" ref="M30:M33" si="0">K30-J30</f>
        <v>13</v>
      </c>
    </row>
    <row r="31" spans="1:13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I31" s="4" t="s">
        <v>12</v>
      </c>
      <c r="J31">
        <v>512</v>
      </c>
      <c r="K31">
        <v>541</v>
      </c>
      <c r="L31">
        <v>1053</v>
      </c>
      <c r="M31">
        <f t="shared" si="0"/>
        <v>29</v>
      </c>
    </row>
    <row r="32" spans="1:13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I32" s="4" t="s">
        <v>7</v>
      </c>
      <c r="J32">
        <v>768</v>
      </c>
      <c r="K32">
        <v>833</v>
      </c>
      <c r="L32">
        <v>1601</v>
      </c>
      <c r="M32">
        <f t="shared" si="0"/>
        <v>65</v>
      </c>
    </row>
    <row r="33" spans="1:13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I33" s="4" t="s">
        <v>9</v>
      </c>
      <c r="J33">
        <v>569</v>
      </c>
      <c r="K33">
        <v>694</v>
      </c>
      <c r="L33">
        <v>1263</v>
      </c>
      <c r="M33">
        <f t="shared" si="0"/>
        <v>125</v>
      </c>
    </row>
    <row r="34" spans="1:13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</row>
    <row r="35" spans="1:13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</row>
    <row r="36" spans="1:13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</row>
    <row r="37" spans="1:13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</row>
    <row r="38" spans="1:13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</row>
    <row r="39" spans="1:13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</row>
    <row r="40" spans="1:13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M40" t="s">
        <v>30</v>
      </c>
    </row>
    <row r="41" spans="1:13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I41" s="4" t="s">
        <v>10</v>
      </c>
      <c r="K41">
        <v>38</v>
      </c>
      <c r="L41">
        <v>38</v>
      </c>
      <c r="M41">
        <f>K41-J41</f>
        <v>38</v>
      </c>
    </row>
    <row r="42" spans="1:13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I42" s="4" t="s">
        <v>11</v>
      </c>
      <c r="K42">
        <v>48</v>
      </c>
      <c r="L42">
        <v>48</v>
      </c>
      <c r="M42">
        <f t="shared" ref="M42:M45" si="1">K42-J42</f>
        <v>48</v>
      </c>
    </row>
    <row r="43" spans="1:13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I43" s="4" t="s">
        <v>12</v>
      </c>
      <c r="K43">
        <v>43</v>
      </c>
      <c r="L43">
        <v>43</v>
      </c>
      <c r="M43">
        <f t="shared" si="1"/>
        <v>43</v>
      </c>
    </row>
    <row r="44" spans="1:13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I44" s="4" t="s">
        <v>7</v>
      </c>
      <c r="K44">
        <v>24</v>
      </c>
      <c r="L44">
        <v>24</v>
      </c>
      <c r="M44">
        <f t="shared" si="1"/>
        <v>24</v>
      </c>
    </row>
    <row r="45" spans="1:13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I45" s="4" t="s">
        <v>9</v>
      </c>
      <c r="J45">
        <v>32</v>
      </c>
      <c r="K45">
        <v>76</v>
      </c>
      <c r="L45">
        <v>108</v>
      </c>
      <c r="M45">
        <f t="shared" si="1"/>
        <v>44</v>
      </c>
    </row>
    <row r="46" spans="1:13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</row>
    <row r="47" spans="1:13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</row>
    <row r="48" spans="1:13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I48" s="4" t="s">
        <v>85</v>
      </c>
      <c r="J48" t="s">
        <v>86</v>
      </c>
      <c r="K48" t="s">
        <v>87</v>
      </c>
    </row>
    <row r="49" spans="1:11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I49" s="4" t="s">
        <v>88</v>
      </c>
      <c r="J49" t="s">
        <v>89</v>
      </c>
      <c r="K49" t="s">
        <v>90</v>
      </c>
    </row>
    <row r="50" spans="1:11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</row>
    <row r="51" spans="1:11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</row>
    <row r="52" spans="1:11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</row>
    <row r="53" spans="1:11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</row>
    <row r="54" spans="1:11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</row>
    <row r="55" spans="1:11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</row>
    <row r="56" spans="1:11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</row>
    <row r="57" spans="1:11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</row>
    <row r="58" spans="1:11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</row>
    <row r="59" spans="1:11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</row>
    <row r="60" spans="1:11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</row>
    <row r="61" spans="1:11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</row>
    <row r="62" spans="1:11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</row>
    <row r="63" spans="1:11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</row>
    <row r="64" spans="1:11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</row>
    <row r="65" spans="1:6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</row>
    <row r="66" spans="1:6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</row>
    <row r="67" spans="1:6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</row>
    <row r="68" spans="1:6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</row>
    <row r="69" spans="1:6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</row>
    <row r="70" spans="1:6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</row>
    <row r="71" spans="1:6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</row>
    <row r="72" spans="1:6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</row>
    <row r="73" spans="1:6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</row>
    <row r="74" spans="1:6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</row>
    <row r="75" spans="1:6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</row>
    <row r="76" spans="1:6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</row>
    <row r="77" spans="1:6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</row>
    <row r="78" spans="1:6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</row>
    <row r="79" spans="1:6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</row>
    <row r="80" spans="1:6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</row>
    <row r="81" spans="1:6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</row>
    <row r="82" spans="1:6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</row>
    <row r="83" spans="1:6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</row>
    <row r="84" spans="1:6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</row>
    <row r="85" spans="1:6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</row>
    <row r="86" spans="1:6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</row>
    <row r="87" spans="1:6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</row>
    <row r="88" spans="1:6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</row>
    <row r="89" spans="1:6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</row>
    <row r="90" spans="1:6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</row>
    <row r="91" spans="1:6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</row>
    <row r="92" spans="1:6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</row>
    <row r="93" spans="1:6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</row>
    <row r="94" spans="1:6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</row>
    <row r="95" spans="1:6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</row>
    <row r="96" spans="1:6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</row>
    <row r="97" spans="1:6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</row>
    <row r="98" spans="1:6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</row>
    <row r="99" spans="1:6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</row>
    <row r="100" spans="1:6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</row>
    <row r="101" spans="1:6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</row>
    <row r="102" spans="1:6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</row>
    <row r="103" spans="1:6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</row>
    <row r="104" spans="1:6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</row>
    <row r="105" spans="1:6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</row>
    <row r="106" spans="1:6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</row>
    <row r="107" spans="1:6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</row>
    <row r="108" spans="1:6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</row>
    <row r="109" spans="1:6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</row>
    <row r="110" spans="1:6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</row>
    <row r="111" spans="1:6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</row>
    <row r="112" spans="1:6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</row>
    <row r="113" spans="1:6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</row>
    <row r="114" spans="1:6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</row>
    <row r="115" spans="1:6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</row>
    <row r="116" spans="1:6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</row>
    <row r="117" spans="1:6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</row>
    <row r="118" spans="1:6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</row>
    <row r="119" spans="1:6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</row>
    <row r="120" spans="1:6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</row>
    <row r="121" spans="1:6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</row>
    <row r="122" spans="1:6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</row>
    <row r="123" spans="1:6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</row>
    <row r="124" spans="1:6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</row>
    <row r="125" spans="1:6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</row>
    <row r="126" spans="1:6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</row>
    <row r="127" spans="1:6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</row>
    <row r="128" spans="1:6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</row>
    <row r="129" spans="1:6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</row>
    <row r="130" spans="1:6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</row>
    <row r="131" spans="1:6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</row>
    <row r="132" spans="1:6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</row>
    <row r="133" spans="1:6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</row>
    <row r="134" spans="1:6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</row>
    <row r="135" spans="1:6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</row>
    <row r="136" spans="1:6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</row>
    <row r="137" spans="1:6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</row>
    <row r="138" spans="1:6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</row>
    <row r="139" spans="1:6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</row>
    <row r="140" spans="1:6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</row>
    <row r="141" spans="1:6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</row>
    <row r="142" spans="1:6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</row>
    <row r="143" spans="1:6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</row>
    <row r="144" spans="1:6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</row>
    <row r="175" spans="1:6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</row>
  </sheetData>
  <pageMargins left="0.7" right="0.7" top="0.75" bottom="0.75" header="0.3" footer="0.3"/>
  <pageSetup orientation="portrait" horizontalDpi="0" verticalDpi="0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0A7C-A5E8-470C-92CA-B258F4CEF2CA}">
  <dimension ref="A1:N203"/>
  <sheetViews>
    <sheetView topLeftCell="G1" zoomScale="130" zoomScaleNormal="130" workbookViewId="0">
      <selection activeCell="M7" sqref="M7"/>
    </sheetView>
  </sheetViews>
  <sheetFormatPr defaultRowHeight="15" x14ac:dyDescent="0.25"/>
  <cols>
    <col min="1" max="1" width="13.140625" style="1" customWidth="1"/>
    <col min="2" max="2" width="11.5703125" bestFit="1" customWidth="1"/>
    <col min="3" max="3" width="11.28515625" customWidth="1"/>
    <col min="4" max="4" width="9.140625" customWidth="1"/>
    <col min="5" max="5" width="13.7109375" customWidth="1"/>
    <col min="6" max="6" width="25.28515625" customWidth="1"/>
    <col min="7" max="7" width="15.42578125" customWidth="1"/>
    <col min="9" max="9" width="14.42578125" bestFit="1" customWidth="1"/>
    <col min="10" max="11" width="4.140625" bestFit="1" customWidth="1"/>
    <col min="12" max="12" width="17.85546875" bestFit="1" customWidth="1"/>
    <col min="13" max="13" width="11.5703125" bestFit="1" customWidth="1"/>
    <col min="14" max="14" width="12.42578125" bestFit="1" customWidth="1"/>
    <col min="15" max="16" width="2" bestFit="1" customWidth="1"/>
    <col min="17" max="24" width="3" bestFit="1" customWidth="1"/>
    <col min="25" max="27" width="4.140625" bestFit="1" customWidth="1"/>
    <col min="28" max="28" width="14.42578125" bestFit="1" customWidth="1"/>
    <col min="29" max="29" width="4.85546875" bestFit="1" customWidth="1"/>
    <col min="30" max="30" width="7.42578125" bestFit="1" customWidth="1"/>
    <col min="31" max="31" width="4.85546875" bestFit="1" customWidth="1"/>
    <col min="32" max="32" width="7.42578125" bestFit="1" customWidth="1"/>
    <col min="33" max="33" width="4.85546875" bestFit="1" customWidth="1"/>
    <col min="34" max="34" width="7.42578125" bestFit="1" customWidth="1"/>
    <col min="35" max="35" width="4.85546875" bestFit="1" customWidth="1"/>
    <col min="36" max="36" width="7.42578125" bestFit="1" customWidth="1"/>
    <col min="37" max="37" width="5.85546875" bestFit="1" customWidth="1"/>
    <col min="38" max="38" width="8.42578125" bestFit="1" customWidth="1"/>
    <col min="39" max="39" width="5.85546875" bestFit="1" customWidth="1"/>
    <col min="40" max="40" width="8.42578125" bestFit="1" customWidth="1"/>
    <col min="41" max="41" width="5.85546875" bestFit="1" customWidth="1"/>
    <col min="42" max="42" width="8.42578125" bestFit="1" customWidth="1"/>
    <col min="43" max="43" width="5.85546875" bestFit="1" customWidth="1"/>
    <col min="44" max="44" width="8.42578125" bestFit="1" customWidth="1"/>
    <col min="45" max="45" width="5.85546875" bestFit="1" customWidth="1"/>
    <col min="46" max="46" width="8.42578125" bestFit="1" customWidth="1"/>
    <col min="47" max="47" width="5.85546875" bestFit="1" customWidth="1"/>
    <col min="48" max="48" width="8.42578125" bestFit="1" customWidth="1"/>
    <col min="49" max="49" width="5.85546875" bestFit="1" customWidth="1"/>
    <col min="50" max="50" width="8.42578125" bestFit="1" customWidth="1"/>
    <col min="51" max="51" width="5.85546875" bestFit="1" customWidth="1"/>
    <col min="52" max="52" width="8.42578125" bestFit="1" customWidth="1"/>
    <col min="53" max="53" width="5.85546875" bestFit="1" customWidth="1"/>
    <col min="54" max="54" width="8.42578125" bestFit="1" customWidth="1"/>
    <col min="55" max="55" width="5.85546875" bestFit="1" customWidth="1"/>
    <col min="56" max="56" width="8.42578125" bestFit="1" customWidth="1"/>
    <col min="57" max="57" width="5.85546875" bestFit="1" customWidth="1"/>
    <col min="58" max="58" width="8.42578125" bestFit="1" customWidth="1"/>
    <col min="59" max="59" width="5.85546875" bestFit="1" customWidth="1"/>
    <col min="60" max="60" width="8.42578125" bestFit="1" customWidth="1"/>
    <col min="61" max="61" width="5.85546875" bestFit="1" customWidth="1"/>
    <col min="62" max="62" width="8.42578125" bestFit="1" customWidth="1"/>
    <col min="63" max="63" width="5.85546875" bestFit="1" customWidth="1"/>
    <col min="64" max="64" width="8.42578125" bestFit="1" customWidth="1"/>
    <col min="65" max="65" width="5.85546875" bestFit="1" customWidth="1"/>
    <col min="66" max="66" width="8.42578125" bestFit="1" customWidth="1"/>
    <col min="67" max="67" width="14.42578125" bestFit="1" customWidth="1"/>
  </cols>
  <sheetData>
    <row r="1" spans="1:14" x14ac:dyDescent="0.25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</v>
      </c>
      <c r="H1" s="2" t="s">
        <v>34</v>
      </c>
      <c r="I1" s="2" t="s">
        <v>35</v>
      </c>
    </row>
    <row r="2" spans="1:14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 t="str">
        <f>_xlfn.CONCAT(YEAR(A2),"-",(TEXT(A2, "MM")))</f>
        <v>2016-01</v>
      </c>
      <c r="H2">
        <f>IF(AND(C2="T5",D2="Z"),E2,0)</f>
        <v>0</v>
      </c>
      <c r="I2">
        <f>IF(AND(C2="T5",D2="W"),E2,0)</f>
        <v>0</v>
      </c>
    </row>
    <row r="3" spans="1:14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 t="str">
        <f t="shared" ref="G3:G66" si="0">_xlfn.CONCAT(YEAR(A3),"-",(TEXT(A3, "MM")))</f>
        <v>2016-01</v>
      </c>
      <c r="H3">
        <f t="shared" ref="H3:H66" si="1">IF(AND(C3="T5",D3="Z"),E3,0)</f>
        <v>32</v>
      </c>
      <c r="I3">
        <f t="shared" ref="I3:I66" si="2">IF(AND(C3="T5",D3="W"),E3,0)</f>
        <v>0</v>
      </c>
      <c r="L3" s="3" t="s">
        <v>23</v>
      </c>
      <c r="M3" t="s">
        <v>72</v>
      </c>
      <c r="N3" t="s">
        <v>73</v>
      </c>
    </row>
    <row r="4" spans="1:14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 t="str">
        <f t="shared" si="0"/>
        <v>2016-01</v>
      </c>
      <c r="H4">
        <f t="shared" si="1"/>
        <v>0</v>
      </c>
      <c r="I4">
        <f t="shared" si="2"/>
        <v>0</v>
      </c>
      <c r="L4" s="4" t="s">
        <v>36</v>
      </c>
      <c r="M4">
        <v>76</v>
      </c>
      <c r="N4">
        <v>32</v>
      </c>
    </row>
    <row r="5" spans="1:14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 t="str">
        <f t="shared" si="0"/>
        <v>2016-01</v>
      </c>
      <c r="H5">
        <f t="shared" si="1"/>
        <v>0</v>
      </c>
      <c r="I5">
        <f t="shared" si="2"/>
        <v>0</v>
      </c>
      <c r="L5" s="4" t="s">
        <v>37</v>
      </c>
      <c r="M5">
        <v>8</v>
      </c>
      <c r="N5">
        <v>0</v>
      </c>
    </row>
    <row r="6" spans="1:14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 t="str">
        <f t="shared" si="0"/>
        <v>2016-01</v>
      </c>
      <c r="H6">
        <f t="shared" si="1"/>
        <v>0</v>
      </c>
      <c r="I6">
        <f t="shared" si="2"/>
        <v>0</v>
      </c>
      <c r="L6" s="4" t="s">
        <v>38</v>
      </c>
      <c r="M6">
        <v>0</v>
      </c>
      <c r="N6">
        <v>50</v>
      </c>
    </row>
    <row r="7" spans="1:14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 t="str">
        <f t="shared" si="0"/>
        <v>2016-01</v>
      </c>
      <c r="H7">
        <f t="shared" si="1"/>
        <v>0</v>
      </c>
      <c r="I7">
        <f t="shared" si="2"/>
        <v>32</v>
      </c>
      <c r="L7" s="4" t="s">
        <v>39</v>
      </c>
      <c r="M7">
        <v>68</v>
      </c>
      <c r="N7">
        <v>0</v>
      </c>
    </row>
    <row r="8" spans="1:14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 t="str">
        <f t="shared" si="0"/>
        <v>2016-01</v>
      </c>
      <c r="H8">
        <f t="shared" si="1"/>
        <v>0</v>
      </c>
      <c r="I8">
        <f t="shared" si="2"/>
        <v>0</v>
      </c>
      <c r="L8" s="4" t="s">
        <v>40</v>
      </c>
      <c r="M8">
        <v>0</v>
      </c>
      <c r="N8">
        <v>0</v>
      </c>
    </row>
    <row r="9" spans="1:14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 t="str">
        <f t="shared" si="0"/>
        <v>2016-01</v>
      </c>
      <c r="H9">
        <f t="shared" si="1"/>
        <v>44</v>
      </c>
      <c r="I9">
        <f t="shared" si="2"/>
        <v>0</v>
      </c>
      <c r="L9" s="4" t="s">
        <v>41</v>
      </c>
      <c r="M9">
        <v>42</v>
      </c>
      <c r="N9">
        <v>0</v>
      </c>
    </row>
    <row r="10" spans="1:14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 t="str">
        <f t="shared" si="0"/>
        <v>2016-01</v>
      </c>
      <c r="H10">
        <f t="shared" si="1"/>
        <v>0</v>
      </c>
      <c r="I10">
        <f t="shared" si="2"/>
        <v>0</v>
      </c>
      <c r="L10" s="4" t="s">
        <v>42</v>
      </c>
      <c r="M10">
        <v>83</v>
      </c>
      <c r="N10">
        <v>0</v>
      </c>
    </row>
    <row r="11" spans="1:14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 t="str">
        <f t="shared" si="0"/>
        <v>2016-01</v>
      </c>
      <c r="H11">
        <f t="shared" si="1"/>
        <v>0</v>
      </c>
      <c r="I11">
        <f t="shared" si="2"/>
        <v>0</v>
      </c>
      <c r="L11" s="4" t="s">
        <v>43</v>
      </c>
      <c r="M11">
        <v>0</v>
      </c>
      <c r="N11">
        <v>191</v>
      </c>
    </row>
    <row r="12" spans="1:14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 t="str">
        <f t="shared" si="0"/>
        <v>2016-02</v>
      </c>
      <c r="H12">
        <f t="shared" si="1"/>
        <v>0</v>
      </c>
      <c r="I12">
        <f t="shared" si="2"/>
        <v>0</v>
      </c>
      <c r="L12" s="4" t="s">
        <v>44</v>
      </c>
      <c r="M12">
        <v>44</v>
      </c>
      <c r="N12">
        <v>4</v>
      </c>
    </row>
    <row r="13" spans="1:14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 t="str">
        <f t="shared" si="0"/>
        <v>2016-02</v>
      </c>
      <c r="H13">
        <f t="shared" si="1"/>
        <v>0</v>
      </c>
      <c r="I13">
        <f t="shared" si="2"/>
        <v>0</v>
      </c>
      <c r="L13" s="4" t="s">
        <v>45</v>
      </c>
      <c r="M13">
        <v>0</v>
      </c>
      <c r="N13">
        <v>0</v>
      </c>
    </row>
    <row r="14" spans="1:14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 t="str">
        <f t="shared" si="0"/>
        <v>2016-02</v>
      </c>
      <c r="H14">
        <f t="shared" si="1"/>
        <v>0</v>
      </c>
      <c r="I14">
        <f t="shared" si="2"/>
        <v>0</v>
      </c>
      <c r="L14" s="4" t="s">
        <v>46</v>
      </c>
      <c r="M14">
        <v>30</v>
      </c>
      <c r="N14">
        <v>0</v>
      </c>
    </row>
    <row r="15" spans="1:14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 t="str">
        <f t="shared" si="0"/>
        <v>2016-02</v>
      </c>
      <c r="H15">
        <f t="shared" si="1"/>
        <v>8</v>
      </c>
      <c r="I15">
        <f t="shared" si="2"/>
        <v>0</v>
      </c>
      <c r="L15" s="4" t="s">
        <v>47</v>
      </c>
      <c r="M15">
        <v>0</v>
      </c>
      <c r="N15">
        <v>0</v>
      </c>
    </row>
    <row r="16" spans="1:14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 t="str">
        <f t="shared" si="0"/>
        <v>2016-03</v>
      </c>
      <c r="H16">
        <f t="shared" si="1"/>
        <v>0</v>
      </c>
      <c r="I16">
        <f t="shared" si="2"/>
        <v>50</v>
      </c>
      <c r="L16" s="4" t="s">
        <v>48</v>
      </c>
      <c r="M16">
        <v>39</v>
      </c>
      <c r="N16">
        <v>112</v>
      </c>
    </row>
    <row r="17" spans="1:14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 t="str">
        <f t="shared" si="0"/>
        <v>2016-03</v>
      </c>
      <c r="H17">
        <f t="shared" si="1"/>
        <v>0</v>
      </c>
      <c r="I17">
        <f t="shared" si="2"/>
        <v>0</v>
      </c>
      <c r="L17" s="4" t="s">
        <v>49</v>
      </c>
      <c r="M17">
        <v>0</v>
      </c>
      <c r="N17">
        <v>1</v>
      </c>
    </row>
    <row r="18" spans="1:14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 t="str">
        <f t="shared" si="0"/>
        <v>2016-03</v>
      </c>
      <c r="H18">
        <f t="shared" si="1"/>
        <v>0</v>
      </c>
      <c r="I18">
        <f t="shared" si="2"/>
        <v>0</v>
      </c>
      <c r="L18" s="4" t="s">
        <v>50</v>
      </c>
      <c r="M18">
        <v>35</v>
      </c>
      <c r="N18">
        <v>0</v>
      </c>
    </row>
    <row r="19" spans="1:14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 t="str">
        <f t="shared" si="0"/>
        <v>2016-03</v>
      </c>
      <c r="H19">
        <f t="shared" si="1"/>
        <v>0</v>
      </c>
      <c r="I19">
        <f t="shared" si="2"/>
        <v>0</v>
      </c>
      <c r="L19" s="4" t="s">
        <v>51</v>
      </c>
      <c r="M19">
        <v>1</v>
      </c>
      <c r="N19">
        <v>0</v>
      </c>
    </row>
    <row r="20" spans="1:14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 t="str">
        <f t="shared" si="0"/>
        <v>2016-04</v>
      </c>
      <c r="H20">
        <f t="shared" si="1"/>
        <v>0</v>
      </c>
      <c r="I20">
        <f t="shared" si="2"/>
        <v>0</v>
      </c>
      <c r="L20" s="4" t="s">
        <v>52</v>
      </c>
      <c r="M20">
        <v>33</v>
      </c>
      <c r="N20">
        <v>68</v>
      </c>
    </row>
    <row r="21" spans="1:14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 t="str">
        <f t="shared" si="0"/>
        <v>2016-04</v>
      </c>
      <c r="H21">
        <f t="shared" si="1"/>
        <v>0</v>
      </c>
      <c r="I21">
        <f t="shared" si="2"/>
        <v>0</v>
      </c>
      <c r="L21" s="4" t="s">
        <v>53</v>
      </c>
      <c r="M21">
        <v>8</v>
      </c>
      <c r="N21">
        <v>0</v>
      </c>
    </row>
    <row r="22" spans="1:14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 t="str">
        <f t="shared" si="0"/>
        <v>2016-04</v>
      </c>
      <c r="H22">
        <f t="shared" si="1"/>
        <v>33</v>
      </c>
      <c r="I22">
        <f t="shared" si="2"/>
        <v>0</v>
      </c>
      <c r="L22" s="4" t="s">
        <v>54</v>
      </c>
      <c r="M22">
        <v>42</v>
      </c>
      <c r="N22">
        <v>0</v>
      </c>
    </row>
    <row r="23" spans="1:14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 t="str">
        <f t="shared" si="0"/>
        <v>2016-04</v>
      </c>
      <c r="H23">
        <f t="shared" si="1"/>
        <v>0</v>
      </c>
      <c r="I23">
        <f t="shared" si="2"/>
        <v>0</v>
      </c>
      <c r="L23" s="4" t="s">
        <v>55</v>
      </c>
      <c r="M23">
        <v>4</v>
      </c>
      <c r="N23">
        <v>48</v>
      </c>
    </row>
    <row r="24" spans="1:14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 t="str">
        <f t="shared" si="0"/>
        <v>2016-04</v>
      </c>
      <c r="H24">
        <f t="shared" si="1"/>
        <v>0</v>
      </c>
      <c r="I24">
        <f t="shared" si="2"/>
        <v>0</v>
      </c>
      <c r="L24" s="4" t="s">
        <v>56</v>
      </c>
      <c r="M24">
        <v>0</v>
      </c>
      <c r="N24">
        <v>0</v>
      </c>
    </row>
    <row r="25" spans="1:14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 t="str">
        <f t="shared" si="0"/>
        <v>2016-04</v>
      </c>
      <c r="H25">
        <f t="shared" si="1"/>
        <v>35</v>
      </c>
      <c r="I25">
        <f t="shared" si="2"/>
        <v>0</v>
      </c>
      <c r="L25" s="4" t="s">
        <v>57</v>
      </c>
      <c r="M25">
        <v>0</v>
      </c>
      <c r="N25">
        <v>6</v>
      </c>
    </row>
    <row r="26" spans="1:14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 t="str">
        <f t="shared" si="0"/>
        <v>2016-05</v>
      </c>
      <c r="H26">
        <f t="shared" si="1"/>
        <v>0</v>
      </c>
      <c r="I26">
        <f t="shared" si="2"/>
        <v>0</v>
      </c>
      <c r="L26" s="4" t="s">
        <v>58</v>
      </c>
      <c r="M26">
        <v>12</v>
      </c>
      <c r="N26">
        <v>1</v>
      </c>
    </row>
    <row r="27" spans="1:14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 t="str">
        <f t="shared" si="0"/>
        <v>2016-05</v>
      </c>
      <c r="H27">
        <f t="shared" si="1"/>
        <v>0</v>
      </c>
      <c r="I27">
        <f t="shared" si="2"/>
        <v>0</v>
      </c>
      <c r="L27" s="4" t="s">
        <v>59</v>
      </c>
      <c r="M27">
        <v>0</v>
      </c>
      <c r="N27">
        <v>0</v>
      </c>
    </row>
    <row r="28" spans="1:14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 t="str">
        <f t="shared" si="0"/>
        <v>2016-06</v>
      </c>
      <c r="H28">
        <f t="shared" si="1"/>
        <v>0</v>
      </c>
      <c r="I28">
        <f t="shared" si="2"/>
        <v>0</v>
      </c>
      <c r="L28" s="4" t="s">
        <v>60</v>
      </c>
      <c r="M28">
        <v>10</v>
      </c>
      <c r="N28">
        <v>22</v>
      </c>
    </row>
    <row r="29" spans="1:14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 t="str">
        <f t="shared" si="0"/>
        <v>2016-06</v>
      </c>
      <c r="H29">
        <f t="shared" si="1"/>
        <v>0</v>
      </c>
      <c r="I29">
        <f t="shared" si="2"/>
        <v>0</v>
      </c>
      <c r="L29" s="4" t="s">
        <v>61</v>
      </c>
      <c r="M29">
        <v>34</v>
      </c>
      <c r="N29">
        <v>0</v>
      </c>
    </row>
    <row r="30" spans="1:14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 t="str">
        <f t="shared" si="0"/>
        <v>2016-06</v>
      </c>
      <c r="H30">
        <f t="shared" si="1"/>
        <v>0</v>
      </c>
      <c r="I30">
        <f t="shared" si="2"/>
        <v>0</v>
      </c>
      <c r="L30" s="4" t="s">
        <v>62</v>
      </c>
      <c r="M30">
        <v>0</v>
      </c>
      <c r="N30">
        <v>34</v>
      </c>
    </row>
    <row r="31" spans="1:14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 t="str">
        <f t="shared" si="0"/>
        <v>2016-06</v>
      </c>
      <c r="H31">
        <f t="shared" si="1"/>
        <v>0</v>
      </c>
      <c r="I31">
        <f t="shared" si="2"/>
        <v>0</v>
      </c>
      <c r="L31" s="4" t="s">
        <v>63</v>
      </c>
      <c r="M31">
        <v>5</v>
      </c>
      <c r="N31">
        <v>0</v>
      </c>
    </row>
    <row r="32" spans="1:14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 t="str">
        <f t="shared" si="0"/>
        <v>2016-06</v>
      </c>
      <c r="H32">
        <f t="shared" si="1"/>
        <v>0</v>
      </c>
      <c r="I32">
        <f t="shared" si="2"/>
        <v>0</v>
      </c>
      <c r="L32" s="4" t="s">
        <v>64</v>
      </c>
      <c r="M32">
        <v>0</v>
      </c>
      <c r="N32">
        <v>0</v>
      </c>
    </row>
    <row r="33" spans="1:14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 t="str">
        <f t="shared" si="0"/>
        <v>2016-06</v>
      </c>
      <c r="H33">
        <f t="shared" si="1"/>
        <v>0</v>
      </c>
      <c r="I33">
        <f t="shared" si="2"/>
        <v>0</v>
      </c>
      <c r="L33" s="4" t="s">
        <v>65</v>
      </c>
      <c r="M33">
        <v>95</v>
      </c>
      <c r="N33">
        <v>0</v>
      </c>
    </row>
    <row r="34" spans="1:14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 t="str">
        <f t="shared" si="0"/>
        <v>2016-06</v>
      </c>
      <c r="H34">
        <f t="shared" si="1"/>
        <v>42</v>
      </c>
      <c r="I34">
        <f t="shared" si="2"/>
        <v>0</v>
      </c>
      <c r="L34" s="4" t="s">
        <v>66</v>
      </c>
      <c r="M34">
        <v>25</v>
      </c>
      <c r="N34">
        <v>0</v>
      </c>
    </row>
    <row r="35" spans="1:14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 t="str">
        <f t="shared" si="0"/>
        <v>2016-06</v>
      </c>
      <c r="H35">
        <f t="shared" si="1"/>
        <v>0</v>
      </c>
      <c r="I35">
        <f t="shared" si="2"/>
        <v>0</v>
      </c>
      <c r="L35" s="4" t="s">
        <v>67</v>
      </c>
      <c r="M35">
        <v>22</v>
      </c>
      <c r="N35">
        <v>121</v>
      </c>
    </row>
    <row r="36" spans="1:14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 t="str">
        <f t="shared" si="0"/>
        <v>2016-06</v>
      </c>
      <c r="H36">
        <f t="shared" si="1"/>
        <v>0</v>
      </c>
      <c r="I36">
        <f t="shared" si="2"/>
        <v>0</v>
      </c>
      <c r="L36" s="4" t="s">
        <v>68</v>
      </c>
      <c r="M36">
        <v>0</v>
      </c>
      <c r="N36">
        <v>26</v>
      </c>
    </row>
    <row r="37" spans="1:14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 t="str">
        <f t="shared" si="0"/>
        <v>2016-07</v>
      </c>
      <c r="H37">
        <f t="shared" si="1"/>
        <v>0</v>
      </c>
      <c r="I37">
        <f t="shared" si="2"/>
        <v>0</v>
      </c>
      <c r="L37" s="4" t="s">
        <v>69</v>
      </c>
      <c r="M37">
        <v>20</v>
      </c>
      <c r="N37">
        <v>0</v>
      </c>
    </row>
    <row r="38" spans="1:14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 t="str">
        <f t="shared" si="0"/>
        <v>2016-07</v>
      </c>
      <c r="H38">
        <f t="shared" si="1"/>
        <v>0</v>
      </c>
      <c r="I38">
        <f t="shared" si="2"/>
        <v>0</v>
      </c>
      <c r="L38" s="4" t="s">
        <v>70</v>
      </c>
      <c r="M38">
        <v>48</v>
      </c>
      <c r="N38">
        <v>64</v>
      </c>
    </row>
    <row r="39" spans="1:14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 t="str">
        <f t="shared" si="0"/>
        <v>2016-07</v>
      </c>
      <c r="H39">
        <f t="shared" si="1"/>
        <v>35</v>
      </c>
      <c r="I39">
        <f t="shared" si="2"/>
        <v>0</v>
      </c>
      <c r="L39" s="4" t="s">
        <v>71</v>
      </c>
      <c r="M39">
        <v>0</v>
      </c>
      <c r="N39">
        <v>4</v>
      </c>
    </row>
    <row r="40" spans="1:14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 t="str">
        <f t="shared" si="0"/>
        <v>2016-07</v>
      </c>
      <c r="H40">
        <f t="shared" si="1"/>
        <v>0</v>
      </c>
      <c r="I40">
        <f t="shared" si="2"/>
        <v>0</v>
      </c>
      <c r="L40" s="4" t="s">
        <v>24</v>
      </c>
      <c r="M40">
        <v>784</v>
      </c>
      <c r="N40">
        <v>784</v>
      </c>
    </row>
    <row r="41" spans="1:14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 t="str">
        <f t="shared" si="0"/>
        <v>2016-07</v>
      </c>
      <c r="H41">
        <f t="shared" si="1"/>
        <v>0</v>
      </c>
      <c r="I41">
        <f t="shared" si="2"/>
        <v>0</v>
      </c>
    </row>
    <row r="42" spans="1:14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 t="str">
        <f t="shared" si="0"/>
        <v>2016-07</v>
      </c>
      <c r="H42">
        <f t="shared" si="1"/>
        <v>48</v>
      </c>
      <c r="I42">
        <f t="shared" si="2"/>
        <v>0</v>
      </c>
    </row>
    <row r="43" spans="1:14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 t="str">
        <f t="shared" si="0"/>
        <v>2016-08</v>
      </c>
      <c r="H43">
        <f t="shared" si="1"/>
        <v>0</v>
      </c>
      <c r="I43">
        <f t="shared" si="2"/>
        <v>191</v>
      </c>
    </row>
    <row r="44" spans="1:14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 t="str">
        <f t="shared" si="0"/>
        <v>2016-08</v>
      </c>
      <c r="H44">
        <f t="shared" si="1"/>
        <v>0</v>
      </c>
      <c r="I44">
        <f t="shared" si="2"/>
        <v>0</v>
      </c>
    </row>
    <row r="45" spans="1:14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 t="str">
        <f t="shared" si="0"/>
        <v>2016-08</v>
      </c>
      <c r="H45">
        <f t="shared" si="1"/>
        <v>0</v>
      </c>
      <c r="I45">
        <f t="shared" si="2"/>
        <v>0</v>
      </c>
    </row>
    <row r="46" spans="1:14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 t="str">
        <f t="shared" si="0"/>
        <v>2016-09</v>
      </c>
      <c r="H46">
        <f t="shared" si="1"/>
        <v>0</v>
      </c>
      <c r="I46">
        <f t="shared" si="2"/>
        <v>0</v>
      </c>
    </row>
    <row r="47" spans="1:14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 t="str">
        <f t="shared" si="0"/>
        <v>2016-09</v>
      </c>
      <c r="H47">
        <f t="shared" si="1"/>
        <v>0</v>
      </c>
      <c r="I47">
        <f t="shared" si="2"/>
        <v>4</v>
      </c>
    </row>
    <row r="48" spans="1:14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 t="str">
        <f t="shared" si="0"/>
        <v>2016-09</v>
      </c>
      <c r="H48">
        <f t="shared" si="1"/>
        <v>0</v>
      </c>
      <c r="I48">
        <f t="shared" si="2"/>
        <v>0</v>
      </c>
    </row>
    <row r="49" spans="1:9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 t="str">
        <f t="shared" si="0"/>
        <v>2016-09</v>
      </c>
      <c r="H49">
        <f t="shared" si="1"/>
        <v>0</v>
      </c>
      <c r="I49">
        <f t="shared" si="2"/>
        <v>0</v>
      </c>
    </row>
    <row r="50" spans="1:9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 t="str">
        <f t="shared" si="0"/>
        <v>2016-09</v>
      </c>
      <c r="H50">
        <f t="shared" si="1"/>
        <v>0</v>
      </c>
      <c r="I50">
        <f t="shared" si="2"/>
        <v>0</v>
      </c>
    </row>
    <row r="51" spans="1:9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 t="str">
        <f t="shared" si="0"/>
        <v>2016-09</v>
      </c>
      <c r="H51">
        <f t="shared" si="1"/>
        <v>44</v>
      </c>
      <c r="I51">
        <f t="shared" si="2"/>
        <v>0</v>
      </c>
    </row>
    <row r="52" spans="1:9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 t="str">
        <f t="shared" si="0"/>
        <v>2016-09</v>
      </c>
      <c r="H52">
        <f t="shared" si="1"/>
        <v>0</v>
      </c>
      <c r="I52">
        <f t="shared" si="2"/>
        <v>0</v>
      </c>
    </row>
    <row r="53" spans="1:9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 t="str">
        <f t="shared" si="0"/>
        <v>2016-09</v>
      </c>
      <c r="H53">
        <f t="shared" si="1"/>
        <v>0</v>
      </c>
      <c r="I53">
        <f t="shared" si="2"/>
        <v>0</v>
      </c>
    </row>
    <row r="54" spans="1:9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 t="str">
        <f t="shared" si="0"/>
        <v>2016-09</v>
      </c>
      <c r="H54">
        <f t="shared" si="1"/>
        <v>0</v>
      </c>
      <c r="I54">
        <f t="shared" si="2"/>
        <v>0</v>
      </c>
    </row>
    <row r="55" spans="1:9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 t="str">
        <f t="shared" si="0"/>
        <v>2016-09</v>
      </c>
      <c r="H55">
        <f t="shared" si="1"/>
        <v>0</v>
      </c>
      <c r="I55">
        <f t="shared" si="2"/>
        <v>0</v>
      </c>
    </row>
    <row r="56" spans="1:9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 t="str">
        <f t="shared" si="0"/>
        <v>2016-10</v>
      </c>
      <c r="H56">
        <f t="shared" si="1"/>
        <v>0</v>
      </c>
      <c r="I56">
        <f t="shared" si="2"/>
        <v>0</v>
      </c>
    </row>
    <row r="57" spans="1:9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 t="str">
        <f t="shared" si="0"/>
        <v>2016-10</v>
      </c>
      <c r="H57">
        <f t="shared" si="1"/>
        <v>0</v>
      </c>
      <c r="I57">
        <f t="shared" si="2"/>
        <v>0</v>
      </c>
    </row>
    <row r="58" spans="1:9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 t="str">
        <f t="shared" si="0"/>
        <v>2016-10</v>
      </c>
      <c r="H58">
        <f t="shared" si="1"/>
        <v>0</v>
      </c>
      <c r="I58">
        <f t="shared" si="2"/>
        <v>0</v>
      </c>
    </row>
    <row r="59" spans="1:9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 t="str">
        <f t="shared" si="0"/>
        <v>2016-11</v>
      </c>
      <c r="H59">
        <f t="shared" si="1"/>
        <v>0</v>
      </c>
      <c r="I59">
        <f t="shared" si="2"/>
        <v>0</v>
      </c>
    </row>
    <row r="60" spans="1:9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 t="str">
        <f t="shared" si="0"/>
        <v>2016-11</v>
      </c>
      <c r="H60">
        <f t="shared" si="1"/>
        <v>0</v>
      </c>
      <c r="I60">
        <f t="shared" si="2"/>
        <v>0</v>
      </c>
    </row>
    <row r="61" spans="1:9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 t="str">
        <f t="shared" si="0"/>
        <v>2016-11</v>
      </c>
      <c r="H61">
        <f t="shared" si="1"/>
        <v>30</v>
      </c>
      <c r="I61">
        <f t="shared" si="2"/>
        <v>0</v>
      </c>
    </row>
    <row r="62" spans="1:9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 t="str">
        <f t="shared" si="0"/>
        <v>2016-11</v>
      </c>
      <c r="H62">
        <f t="shared" si="1"/>
        <v>0</v>
      </c>
      <c r="I62">
        <f t="shared" si="2"/>
        <v>0</v>
      </c>
    </row>
    <row r="63" spans="1:9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 t="str">
        <f t="shared" si="0"/>
        <v>2016-11</v>
      </c>
      <c r="H63">
        <f t="shared" si="1"/>
        <v>0</v>
      </c>
      <c r="I63">
        <f t="shared" si="2"/>
        <v>0</v>
      </c>
    </row>
    <row r="64" spans="1:9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 t="str">
        <f t="shared" si="0"/>
        <v>2016-11</v>
      </c>
      <c r="H64">
        <f t="shared" si="1"/>
        <v>0</v>
      </c>
      <c r="I64">
        <f t="shared" si="2"/>
        <v>0</v>
      </c>
    </row>
    <row r="65" spans="1:9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 t="str">
        <f t="shared" si="0"/>
        <v>2016-11</v>
      </c>
      <c r="H65">
        <f t="shared" si="1"/>
        <v>0</v>
      </c>
      <c r="I65">
        <f t="shared" si="2"/>
        <v>0</v>
      </c>
    </row>
    <row r="66" spans="1:9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 t="str">
        <f t="shared" si="0"/>
        <v>2016-12</v>
      </c>
      <c r="H66">
        <f t="shared" si="1"/>
        <v>0</v>
      </c>
      <c r="I66">
        <f t="shared" si="2"/>
        <v>0</v>
      </c>
    </row>
    <row r="67" spans="1:9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 t="str">
        <f t="shared" ref="G67:G130" si="3">_xlfn.CONCAT(YEAR(A67),"-",(TEXT(A67, "MM")))</f>
        <v>2016-12</v>
      </c>
      <c r="H67">
        <f t="shared" ref="H67:H130" si="4">IF(AND(C67="T5",D67="Z"),E67,0)</f>
        <v>0</v>
      </c>
      <c r="I67">
        <f t="shared" ref="I67:I130" si="5">IF(AND(C67="T5",D67="W"),E67,0)</f>
        <v>0</v>
      </c>
    </row>
    <row r="68" spans="1:9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 t="str">
        <f t="shared" si="3"/>
        <v>2016-12</v>
      </c>
      <c r="H68">
        <f t="shared" si="4"/>
        <v>0</v>
      </c>
      <c r="I68">
        <f t="shared" si="5"/>
        <v>0</v>
      </c>
    </row>
    <row r="69" spans="1:9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 t="str">
        <f t="shared" si="3"/>
        <v>2017-01</v>
      </c>
      <c r="H69">
        <f t="shared" si="4"/>
        <v>0</v>
      </c>
      <c r="I69">
        <f t="shared" si="5"/>
        <v>0</v>
      </c>
    </row>
    <row r="70" spans="1:9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 t="str">
        <f t="shared" si="3"/>
        <v>2017-01</v>
      </c>
      <c r="H70">
        <f t="shared" si="4"/>
        <v>0</v>
      </c>
      <c r="I70">
        <f t="shared" si="5"/>
        <v>0</v>
      </c>
    </row>
    <row r="71" spans="1:9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 t="str">
        <f t="shared" si="3"/>
        <v>2017-01</v>
      </c>
      <c r="H71">
        <f t="shared" si="4"/>
        <v>0</v>
      </c>
      <c r="I71">
        <f t="shared" si="5"/>
        <v>0</v>
      </c>
    </row>
    <row r="72" spans="1:9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 t="str">
        <f t="shared" si="3"/>
        <v>2017-01</v>
      </c>
      <c r="H72">
        <f t="shared" si="4"/>
        <v>0</v>
      </c>
      <c r="I72">
        <f t="shared" si="5"/>
        <v>0</v>
      </c>
    </row>
    <row r="73" spans="1:9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 t="str">
        <f t="shared" si="3"/>
        <v>2017-01</v>
      </c>
      <c r="H73">
        <f t="shared" si="4"/>
        <v>39</v>
      </c>
      <c r="I73">
        <f t="shared" si="5"/>
        <v>0</v>
      </c>
    </row>
    <row r="74" spans="1:9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 t="str">
        <f t="shared" si="3"/>
        <v>2017-01</v>
      </c>
      <c r="H74">
        <f t="shared" si="4"/>
        <v>0</v>
      </c>
      <c r="I74">
        <f t="shared" si="5"/>
        <v>112</v>
      </c>
    </row>
    <row r="75" spans="1:9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 t="str">
        <f t="shared" si="3"/>
        <v>2017-01</v>
      </c>
      <c r="H75">
        <f t="shared" si="4"/>
        <v>0</v>
      </c>
      <c r="I75">
        <f t="shared" si="5"/>
        <v>0</v>
      </c>
    </row>
    <row r="76" spans="1:9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 t="str">
        <f t="shared" si="3"/>
        <v>2017-01</v>
      </c>
      <c r="H76">
        <f t="shared" si="4"/>
        <v>0</v>
      </c>
      <c r="I76">
        <f t="shared" si="5"/>
        <v>0</v>
      </c>
    </row>
    <row r="77" spans="1:9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 t="str">
        <f t="shared" si="3"/>
        <v>2017-02</v>
      </c>
      <c r="H77">
        <f t="shared" si="4"/>
        <v>0</v>
      </c>
      <c r="I77">
        <f t="shared" si="5"/>
        <v>0</v>
      </c>
    </row>
    <row r="78" spans="1:9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 t="str">
        <f t="shared" si="3"/>
        <v>2017-02</v>
      </c>
      <c r="H78">
        <f t="shared" si="4"/>
        <v>0</v>
      </c>
      <c r="I78">
        <f t="shared" si="5"/>
        <v>0</v>
      </c>
    </row>
    <row r="79" spans="1:9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 t="str">
        <f t="shared" si="3"/>
        <v>2017-02</v>
      </c>
      <c r="H79">
        <f t="shared" si="4"/>
        <v>0</v>
      </c>
      <c r="I79">
        <f t="shared" si="5"/>
        <v>1</v>
      </c>
    </row>
    <row r="80" spans="1:9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 t="str">
        <f t="shared" si="3"/>
        <v>2017-02</v>
      </c>
      <c r="H80">
        <f t="shared" si="4"/>
        <v>0</v>
      </c>
      <c r="I80">
        <f t="shared" si="5"/>
        <v>0</v>
      </c>
    </row>
    <row r="81" spans="1:9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 t="str">
        <f t="shared" si="3"/>
        <v>2017-02</v>
      </c>
      <c r="H81">
        <f t="shared" si="4"/>
        <v>0</v>
      </c>
      <c r="I81">
        <f t="shared" si="5"/>
        <v>0</v>
      </c>
    </row>
    <row r="82" spans="1:9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 t="str">
        <f t="shared" si="3"/>
        <v>2017-02</v>
      </c>
      <c r="H82">
        <f t="shared" si="4"/>
        <v>0</v>
      </c>
      <c r="I82">
        <f t="shared" si="5"/>
        <v>0</v>
      </c>
    </row>
    <row r="83" spans="1:9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 t="str">
        <f t="shared" si="3"/>
        <v>2017-03</v>
      </c>
      <c r="H83">
        <f t="shared" si="4"/>
        <v>0</v>
      </c>
      <c r="I83">
        <f t="shared" si="5"/>
        <v>0</v>
      </c>
    </row>
    <row r="84" spans="1:9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 t="str">
        <f t="shared" si="3"/>
        <v>2017-03</v>
      </c>
      <c r="H84">
        <f t="shared" si="4"/>
        <v>35</v>
      </c>
      <c r="I84">
        <f t="shared" si="5"/>
        <v>0</v>
      </c>
    </row>
    <row r="85" spans="1:9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 t="str">
        <f t="shared" si="3"/>
        <v>2017-03</v>
      </c>
      <c r="H85">
        <f t="shared" si="4"/>
        <v>0</v>
      </c>
      <c r="I85">
        <f t="shared" si="5"/>
        <v>0</v>
      </c>
    </row>
    <row r="86" spans="1:9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 t="str">
        <f t="shared" si="3"/>
        <v>2017-04</v>
      </c>
      <c r="H86">
        <f t="shared" si="4"/>
        <v>0</v>
      </c>
      <c r="I86">
        <f t="shared" si="5"/>
        <v>0</v>
      </c>
    </row>
    <row r="87" spans="1:9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 t="str">
        <f t="shared" si="3"/>
        <v>2017-04</v>
      </c>
      <c r="H87">
        <f t="shared" si="4"/>
        <v>0</v>
      </c>
      <c r="I87">
        <f t="shared" si="5"/>
        <v>0</v>
      </c>
    </row>
    <row r="88" spans="1:9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 t="str">
        <f t="shared" si="3"/>
        <v>2017-04</v>
      </c>
      <c r="H88">
        <f t="shared" si="4"/>
        <v>0</v>
      </c>
      <c r="I88">
        <f t="shared" si="5"/>
        <v>0</v>
      </c>
    </row>
    <row r="89" spans="1:9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 t="str">
        <f t="shared" si="3"/>
        <v>2017-04</v>
      </c>
      <c r="H89">
        <f t="shared" si="4"/>
        <v>0</v>
      </c>
      <c r="I89">
        <f t="shared" si="5"/>
        <v>0</v>
      </c>
    </row>
    <row r="90" spans="1:9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 t="str">
        <f t="shared" si="3"/>
        <v>2017-04</v>
      </c>
      <c r="H90">
        <f t="shared" si="4"/>
        <v>1</v>
      </c>
      <c r="I90">
        <f t="shared" si="5"/>
        <v>0</v>
      </c>
    </row>
    <row r="91" spans="1:9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 t="str">
        <f t="shared" si="3"/>
        <v>2017-05</v>
      </c>
      <c r="H91">
        <f t="shared" si="4"/>
        <v>0</v>
      </c>
      <c r="I91">
        <f t="shared" si="5"/>
        <v>0</v>
      </c>
    </row>
    <row r="92" spans="1:9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 t="str">
        <f t="shared" si="3"/>
        <v>2017-05</v>
      </c>
      <c r="H92">
        <f t="shared" si="4"/>
        <v>0</v>
      </c>
      <c r="I92">
        <f t="shared" si="5"/>
        <v>0</v>
      </c>
    </row>
    <row r="93" spans="1:9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 t="str">
        <f t="shared" si="3"/>
        <v>2017-05</v>
      </c>
      <c r="H93">
        <f t="shared" si="4"/>
        <v>33</v>
      </c>
      <c r="I93">
        <f t="shared" si="5"/>
        <v>0</v>
      </c>
    </row>
    <row r="94" spans="1:9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 t="str">
        <f t="shared" si="3"/>
        <v>2017-05</v>
      </c>
      <c r="H94">
        <f t="shared" si="4"/>
        <v>0</v>
      </c>
      <c r="I94">
        <f t="shared" si="5"/>
        <v>0</v>
      </c>
    </row>
    <row r="95" spans="1:9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 t="str">
        <f t="shared" si="3"/>
        <v>2017-05</v>
      </c>
      <c r="H95">
        <f t="shared" si="4"/>
        <v>0</v>
      </c>
      <c r="I95">
        <f t="shared" si="5"/>
        <v>0</v>
      </c>
    </row>
    <row r="96" spans="1:9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 t="str">
        <f t="shared" si="3"/>
        <v>2017-05</v>
      </c>
      <c r="H96">
        <f t="shared" si="4"/>
        <v>0</v>
      </c>
      <c r="I96">
        <f t="shared" si="5"/>
        <v>0</v>
      </c>
    </row>
    <row r="97" spans="1:9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 t="str">
        <f t="shared" si="3"/>
        <v>2017-05</v>
      </c>
      <c r="H97">
        <f t="shared" si="4"/>
        <v>0</v>
      </c>
      <c r="I97">
        <f t="shared" si="5"/>
        <v>68</v>
      </c>
    </row>
    <row r="98" spans="1:9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 t="str">
        <f t="shared" si="3"/>
        <v>2017-05</v>
      </c>
      <c r="H98">
        <f t="shared" si="4"/>
        <v>0</v>
      </c>
      <c r="I98">
        <f t="shared" si="5"/>
        <v>0</v>
      </c>
    </row>
    <row r="99" spans="1:9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 t="str">
        <f t="shared" si="3"/>
        <v>2017-05</v>
      </c>
      <c r="H99">
        <f t="shared" si="4"/>
        <v>0</v>
      </c>
      <c r="I99">
        <f t="shared" si="5"/>
        <v>0</v>
      </c>
    </row>
    <row r="100" spans="1:9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 t="str">
        <f t="shared" si="3"/>
        <v>2017-05</v>
      </c>
      <c r="H100">
        <f t="shared" si="4"/>
        <v>0</v>
      </c>
      <c r="I100">
        <f t="shared" si="5"/>
        <v>0</v>
      </c>
    </row>
    <row r="101" spans="1:9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 t="str">
        <f t="shared" si="3"/>
        <v>2017-06</v>
      </c>
      <c r="H101">
        <f t="shared" si="4"/>
        <v>0</v>
      </c>
      <c r="I101">
        <f t="shared" si="5"/>
        <v>0</v>
      </c>
    </row>
    <row r="102" spans="1:9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 t="str">
        <f t="shared" si="3"/>
        <v>2017-06</v>
      </c>
      <c r="H102">
        <f t="shared" si="4"/>
        <v>0</v>
      </c>
      <c r="I102">
        <f t="shared" si="5"/>
        <v>0</v>
      </c>
    </row>
    <row r="103" spans="1:9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 t="str">
        <f t="shared" si="3"/>
        <v>2017-06</v>
      </c>
      <c r="H103">
        <f t="shared" si="4"/>
        <v>0</v>
      </c>
      <c r="I103">
        <f t="shared" si="5"/>
        <v>0</v>
      </c>
    </row>
    <row r="104" spans="1:9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 t="str">
        <f t="shared" si="3"/>
        <v>2017-06</v>
      </c>
      <c r="H104">
        <f t="shared" si="4"/>
        <v>8</v>
      </c>
      <c r="I104">
        <f t="shared" si="5"/>
        <v>0</v>
      </c>
    </row>
    <row r="105" spans="1:9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 t="str">
        <f t="shared" si="3"/>
        <v>2017-06</v>
      </c>
      <c r="H105">
        <f t="shared" si="4"/>
        <v>0</v>
      </c>
      <c r="I105">
        <f t="shared" si="5"/>
        <v>0</v>
      </c>
    </row>
    <row r="106" spans="1:9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 t="str">
        <f t="shared" si="3"/>
        <v>2017-07</v>
      </c>
      <c r="H106">
        <f t="shared" si="4"/>
        <v>0</v>
      </c>
      <c r="I106">
        <f t="shared" si="5"/>
        <v>0</v>
      </c>
    </row>
    <row r="107" spans="1:9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 t="str">
        <f t="shared" si="3"/>
        <v>2017-07</v>
      </c>
      <c r="H107">
        <f t="shared" si="4"/>
        <v>0</v>
      </c>
      <c r="I107">
        <f t="shared" si="5"/>
        <v>0</v>
      </c>
    </row>
    <row r="108" spans="1:9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 t="str">
        <f t="shared" si="3"/>
        <v>2017-07</v>
      </c>
      <c r="H108">
        <f t="shared" si="4"/>
        <v>0</v>
      </c>
      <c r="I108">
        <f t="shared" si="5"/>
        <v>0</v>
      </c>
    </row>
    <row r="109" spans="1:9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 t="str">
        <f t="shared" si="3"/>
        <v>2017-07</v>
      </c>
      <c r="H109">
        <f t="shared" si="4"/>
        <v>0</v>
      </c>
      <c r="I109">
        <f t="shared" si="5"/>
        <v>0</v>
      </c>
    </row>
    <row r="110" spans="1:9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 t="str">
        <f t="shared" si="3"/>
        <v>2017-07</v>
      </c>
      <c r="H110">
        <f t="shared" si="4"/>
        <v>0</v>
      </c>
      <c r="I110">
        <f t="shared" si="5"/>
        <v>0</v>
      </c>
    </row>
    <row r="111" spans="1:9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 t="str">
        <f t="shared" si="3"/>
        <v>2017-07</v>
      </c>
      <c r="H111">
        <f t="shared" si="4"/>
        <v>0</v>
      </c>
      <c r="I111">
        <f t="shared" si="5"/>
        <v>0</v>
      </c>
    </row>
    <row r="112" spans="1:9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 t="str">
        <f t="shared" si="3"/>
        <v>2017-07</v>
      </c>
      <c r="H112">
        <f t="shared" si="4"/>
        <v>42</v>
      </c>
      <c r="I112">
        <f t="shared" si="5"/>
        <v>0</v>
      </c>
    </row>
    <row r="113" spans="1:9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 t="str">
        <f t="shared" si="3"/>
        <v>2017-08</v>
      </c>
      <c r="H113">
        <f t="shared" si="4"/>
        <v>0</v>
      </c>
      <c r="I113">
        <f t="shared" si="5"/>
        <v>0</v>
      </c>
    </row>
    <row r="114" spans="1:9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 t="str">
        <f t="shared" si="3"/>
        <v>2017-08</v>
      </c>
      <c r="H114">
        <f t="shared" si="4"/>
        <v>0</v>
      </c>
      <c r="I114">
        <f t="shared" si="5"/>
        <v>48</v>
      </c>
    </row>
    <row r="115" spans="1:9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 t="str">
        <f t="shared" si="3"/>
        <v>2017-08</v>
      </c>
      <c r="H115">
        <f t="shared" si="4"/>
        <v>0</v>
      </c>
      <c r="I115">
        <f t="shared" si="5"/>
        <v>0</v>
      </c>
    </row>
    <row r="116" spans="1:9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 t="str">
        <f t="shared" si="3"/>
        <v>2017-08</v>
      </c>
      <c r="H116">
        <f t="shared" si="4"/>
        <v>0</v>
      </c>
      <c r="I116">
        <f t="shared" si="5"/>
        <v>0</v>
      </c>
    </row>
    <row r="117" spans="1:9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 t="str">
        <f t="shared" si="3"/>
        <v>2017-08</v>
      </c>
      <c r="H117">
        <f t="shared" si="4"/>
        <v>0</v>
      </c>
      <c r="I117">
        <f t="shared" si="5"/>
        <v>0</v>
      </c>
    </row>
    <row r="118" spans="1:9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 t="str">
        <f t="shared" si="3"/>
        <v>2017-08</v>
      </c>
      <c r="H118">
        <f t="shared" si="4"/>
        <v>0</v>
      </c>
      <c r="I118">
        <f t="shared" si="5"/>
        <v>0</v>
      </c>
    </row>
    <row r="119" spans="1:9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 t="str">
        <f t="shared" si="3"/>
        <v>2017-08</v>
      </c>
      <c r="H119">
        <f t="shared" si="4"/>
        <v>0</v>
      </c>
      <c r="I119">
        <f t="shared" si="5"/>
        <v>0</v>
      </c>
    </row>
    <row r="120" spans="1:9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 t="str">
        <f t="shared" si="3"/>
        <v>2017-08</v>
      </c>
      <c r="H120">
        <f t="shared" si="4"/>
        <v>4</v>
      </c>
      <c r="I120">
        <f t="shared" si="5"/>
        <v>0</v>
      </c>
    </row>
    <row r="121" spans="1:9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 t="str">
        <f t="shared" si="3"/>
        <v>2017-09</v>
      </c>
      <c r="H121">
        <f t="shared" si="4"/>
        <v>0</v>
      </c>
      <c r="I121">
        <f t="shared" si="5"/>
        <v>0</v>
      </c>
    </row>
    <row r="122" spans="1:9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 t="str">
        <f t="shared" si="3"/>
        <v>2017-09</v>
      </c>
      <c r="H122">
        <f t="shared" si="4"/>
        <v>0</v>
      </c>
      <c r="I122">
        <f t="shared" si="5"/>
        <v>0</v>
      </c>
    </row>
    <row r="123" spans="1:9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 t="str">
        <f t="shared" si="3"/>
        <v>2017-10</v>
      </c>
      <c r="H123">
        <f t="shared" si="4"/>
        <v>0</v>
      </c>
      <c r="I123">
        <f t="shared" si="5"/>
        <v>6</v>
      </c>
    </row>
    <row r="124" spans="1:9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 t="str">
        <f t="shared" si="3"/>
        <v>2017-10</v>
      </c>
      <c r="H124">
        <f t="shared" si="4"/>
        <v>0</v>
      </c>
      <c r="I124">
        <f t="shared" si="5"/>
        <v>0</v>
      </c>
    </row>
    <row r="125" spans="1:9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 t="str">
        <f t="shared" si="3"/>
        <v>2017-11</v>
      </c>
      <c r="H125">
        <f t="shared" si="4"/>
        <v>0</v>
      </c>
      <c r="I125">
        <f t="shared" si="5"/>
        <v>1</v>
      </c>
    </row>
    <row r="126" spans="1:9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 t="str">
        <f t="shared" si="3"/>
        <v>2017-11</v>
      </c>
      <c r="H126">
        <f t="shared" si="4"/>
        <v>0</v>
      </c>
      <c r="I126">
        <f t="shared" si="5"/>
        <v>0</v>
      </c>
    </row>
    <row r="127" spans="1:9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 t="str">
        <f t="shared" si="3"/>
        <v>2017-11</v>
      </c>
      <c r="H127">
        <f t="shared" si="4"/>
        <v>0</v>
      </c>
      <c r="I127">
        <f t="shared" si="5"/>
        <v>0</v>
      </c>
    </row>
    <row r="128" spans="1:9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 t="str">
        <f t="shared" si="3"/>
        <v>2017-11</v>
      </c>
      <c r="H128">
        <f t="shared" si="4"/>
        <v>0</v>
      </c>
      <c r="I128">
        <f t="shared" si="5"/>
        <v>0</v>
      </c>
    </row>
    <row r="129" spans="1:9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 t="str">
        <f t="shared" si="3"/>
        <v>2017-11</v>
      </c>
      <c r="H129">
        <f t="shared" si="4"/>
        <v>0</v>
      </c>
      <c r="I129">
        <f t="shared" si="5"/>
        <v>0</v>
      </c>
    </row>
    <row r="130" spans="1:9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 t="str">
        <f t="shared" si="3"/>
        <v>2017-11</v>
      </c>
      <c r="H130">
        <f t="shared" si="4"/>
        <v>0</v>
      </c>
      <c r="I130">
        <f t="shared" si="5"/>
        <v>0</v>
      </c>
    </row>
    <row r="131" spans="1:9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 t="str">
        <f t="shared" ref="G131:G194" si="6">_xlfn.CONCAT(YEAR(A131),"-",(TEXT(A131, "MM")))</f>
        <v>2017-11</v>
      </c>
      <c r="H131">
        <f t="shared" ref="H131:H194" si="7">IF(AND(C131="T5",D131="Z"),E131,0)</f>
        <v>12</v>
      </c>
      <c r="I131">
        <f t="shared" ref="I131:I194" si="8">IF(AND(C131="T5",D131="W"),E131,0)</f>
        <v>0</v>
      </c>
    </row>
    <row r="132" spans="1:9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 t="str">
        <f t="shared" si="6"/>
        <v>2017-12</v>
      </c>
      <c r="H132">
        <f t="shared" si="7"/>
        <v>0</v>
      </c>
      <c r="I132">
        <f t="shared" si="8"/>
        <v>0</v>
      </c>
    </row>
    <row r="133" spans="1:9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 t="str">
        <f t="shared" si="6"/>
        <v>2017-12</v>
      </c>
      <c r="H133">
        <f t="shared" si="7"/>
        <v>0</v>
      </c>
      <c r="I133">
        <f t="shared" si="8"/>
        <v>0</v>
      </c>
    </row>
    <row r="134" spans="1:9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 t="str">
        <f t="shared" si="6"/>
        <v>2017-12</v>
      </c>
      <c r="H134">
        <f t="shared" si="7"/>
        <v>0</v>
      </c>
      <c r="I134">
        <f t="shared" si="8"/>
        <v>0</v>
      </c>
    </row>
    <row r="135" spans="1:9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 t="str">
        <f t="shared" si="6"/>
        <v>2018-01</v>
      </c>
      <c r="H135">
        <f t="shared" si="7"/>
        <v>0</v>
      </c>
      <c r="I135">
        <f t="shared" si="8"/>
        <v>0</v>
      </c>
    </row>
    <row r="136" spans="1:9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 t="str">
        <f t="shared" si="6"/>
        <v>2018-01</v>
      </c>
      <c r="H136">
        <f t="shared" si="7"/>
        <v>0</v>
      </c>
      <c r="I136">
        <f t="shared" si="8"/>
        <v>0</v>
      </c>
    </row>
    <row r="137" spans="1:9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 t="str">
        <f t="shared" si="6"/>
        <v>2018-01</v>
      </c>
      <c r="H137">
        <f t="shared" si="7"/>
        <v>0</v>
      </c>
      <c r="I137">
        <f t="shared" si="8"/>
        <v>0</v>
      </c>
    </row>
    <row r="138" spans="1:9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 t="str">
        <f t="shared" si="6"/>
        <v>2018-01</v>
      </c>
      <c r="H138">
        <f t="shared" si="7"/>
        <v>10</v>
      </c>
      <c r="I138">
        <f t="shared" si="8"/>
        <v>0</v>
      </c>
    </row>
    <row r="139" spans="1:9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 t="str">
        <f t="shared" si="6"/>
        <v>2018-01</v>
      </c>
      <c r="H139">
        <f t="shared" si="7"/>
        <v>0</v>
      </c>
      <c r="I139">
        <f t="shared" si="8"/>
        <v>0</v>
      </c>
    </row>
    <row r="140" spans="1:9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 t="str">
        <f t="shared" si="6"/>
        <v>2018-01</v>
      </c>
      <c r="H140">
        <f t="shared" si="7"/>
        <v>0</v>
      </c>
      <c r="I140">
        <f t="shared" si="8"/>
        <v>22</v>
      </c>
    </row>
    <row r="141" spans="1:9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 t="str">
        <f t="shared" si="6"/>
        <v>2018-01</v>
      </c>
      <c r="H141">
        <f t="shared" si="7"/>
        <v>0</v>
      </c>
      <c r="I141">
        <f t="shared" si="8"/>
        <v>0</v>
      </c>
    </row>
    <row r="142" spans="1:9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 t="str">
        <f t="shared" si="6"/>
        <v>2018-01</v>
      </c>
      <c r="H142">
        <f t="shared" si="7"/>
        <v>0</v>
      </c>
      <c r="I142">
        <f t="shared" si="8"/>
        <v>0</v>
      </c>
    </row>
    <row r="143" spans="1:9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 t="str">
        <f t="shared" si="6"/>
        <v>2018-01</v>
      </c>
      <c r="H143">
        <f t="shared" si="7"/>
        <v>0</v>
      </c>
      <c r="I143">
        <f t="shared" si="8"/>
        <v>0</v>
      </c>
    </row>
    <row r="144" spans="1:9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 t="str">
        <f t="shared" si="6"/>
        <v>2018-01</v>
      </c>
      <c r="H144">
        <f t="shared" si="7"/>
        <v>0</v>
      </c>
      <c r="I144">
        <f t="shared" si="8"/>
        <v>0</v>
      </c>
    </row>
    <row r="145" spans="1:9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 t="str">
        <f t="shared" si="6"/>
        <v>2018-01</v>
      </c>
      <c r="H145">
        <f t="shared" si="7"/>
        <v>0</v>
      </c>
      <c r="I145">
        <f t="shared" si="8"/>
        <v>0</v>
      </c>
    </row>
    <row r="146" spans="1:9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 t="str">
        <f t="shared" si="6"/>
        <v>2018-02</v>
      </c>
      <c r="H146">
        <f t="shared" si="7"/>
        <v>34</v>
      </c>
      <c r="I146">
        <f t="shared" si="8"/>
        <v>0</v>
      </c>
    </row>
    <row r="147" spans="1:9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 t="str">
        <f t="shared" si="6"/>
        <v>2018-02</v>
      </c>
      <c r="H147">
        <f t="shared" si="7"/>
        <v>0</v>
      </c>
      <c r="I147">
        <f t="shared" si="8"/>
        <v>0</v>
      </c>
    </row>
    <row r="148" spans="1:9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 t="str">
        <f t="shared" si="6"/>
        <v>2018-02</v>
      </c>
      <c r="H148">
        <f t="shared" si="7"/>
        <v>0</v>
      </c>
      <c r="I148">
        <f t="shared" si="8"/>
        <v>0</v>
      </c>
    </row>
    <row r="149" spans="1:9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 t="str">
        <f t="shared" si="6"/>
        <v>2018-02</v>
      </c>
      <c r="H149">
        <f t="shared" si="7"/>
        <v>0</v>
      </c>
      <c r="I149">
        <f t="shared" si="8"/>
        <v>0</v>
      </c>
    </row>
    <row r="150" spans="1:9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 t="str">
        <f t="shared" si="6"/>
        <v>2018-02</v>
      </c>
      <c r="H150">
        <f t="shared" si="7"/>
        <v>0</v>
      </c>
      <c r="I150">
        <f t="shared" si="8"/>
        <v>0</v>
      </c>
    </row>
    <row r="151" spans="1:9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 t="str">
        <f t="shared" si="6"/>
        <v>2018-03</v>
      </c>
      <c r="H151">
        <f t="shared" si="7"/>
        <v>0</v>
      </c>
      <c r="I151">
        <f t="shared" si="8"/>
        <v>34</v>
      </c>
    </row>
    <row r="152" spans="1:9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 t="str">
        <f t="shared" si="6"/>
        <v>2018-03</v>
      </c>
      <c r="H152">
        <f t="shared" si="7"/>
        <v>0</v>
      </c>
      <c r="I152">
        <f t="shared" si="8"/>
        <v>0</v>
      </c>
    </row>
    <row r="153" spans="1:9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 t="str">
        <f t="shared" si="6"/>
        <v>2018-03</v>
      </c>
      <c r="H153">
        <f t="shared" si="7"/>
        <v>0</v>
      </c>
      <c r="I153">
        <f t="shared" si="8"/>
        <v>0</v>
      </c>
    </row>
    <row r="154" spans="1:9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 t="str">
        <f t="shared" si="6"/>
        <v>2018-03</v>
      </c>
      <c r="H154">
        <f t="shared" si="7"/>
        <v>0</v>
      </c>
      <c r="I154">
        <f t="shared" si="8"/>
        <v>0</v>
      </c>
    </row>
    <row r="155" spans="1:9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 t="str">
        <f t="shared" si="6"/>
        <v>2018-03</v>
      </c>
      <c r="H155">
        <f t="shared" si="7"/>
        <v>0</v>
      </c>
      <c r="I155">
        <f t="shared" si="8"/>
        <v>0</v>
      </c>
    </row>
    <row r="156" spans="1:9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 t="str">
        <f t="shared" si="6"/>
        <v>2018-04</v>
      </c>
      <c r="H156">
        <f t="shared" si="7"/>
        <v>5</v>
      </c>
      <c r="I156">
        <f t="shared" si="8"/>
        <v>0</v>
      </c>
    </row>
    <row r="157" spans="1:9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 t="str">
        <f t="shared" si="6"/>
        <v>2018-04</v>
      </c>
      <c r="H157">
        <f t="shared" si="7"/>
        <v>0</v>
      </c>
      <c r="I157">
        <f t="shared" si="8"/>
        <v>0</v>
      </c>
    </row>
    <row r="158" spans="1:9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 t="str">
        <f t="shared" si="6"/>
        <v>2018-04</v>
      </c>
      <c r="H158">
        <f t="shared" si="7"/>
        <v>0</v>
      </c>
      <c r="I158">
        <f t="shared" si="8"/>
        <v>0</v>
      </c>
    </row>
    <row r="159" spans="1:9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 t="str">
        <f t="shared" si="6"/>
        <v>2018-04</v>
      </c>
      <c r="H159">
        <f t="shared" si="7"/>
        <v>0</v>
      </c>
      <c r="I159">
        <f t="shared" si="8"/>
        <v>0</v>
      </c>
    </row>
    <row r="160" spans="1:9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 t="str">
        <f t="shared" si="6"/>
        <v>2018-05</v>
      </c>
      <c r="H160">
        <f t="shared" si="7"/>
        <v>0</v>
      </c>
      <c r="I160">
        <f t="shared" si="8"/>
        <v>0</v>
      </c>
    </row>
    <row r="161" spans="1:9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 t="str">
        <f t="shared" si="6"/>
        <v>2018-05</v>
      </c>
      <c r="H161">
        <f t="shared" si="7"/>
        <v>0</v>
      </c>
      <c r="I161">
        <f t="shared" si="8"/>
        <v>0</v>
      </c>
    </row>
    <row r="162" spans="1:9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 t="str">
        <f t="shared" si="6"/>
        <v>2018-05</v>
      </c>
      <c r="H162">
        <f t="shared" si="7"/>
        <v>0</v>
      </c>
      <c r="I162">
        <f t="shared" si="8"/>
        <v>0</v>
      </c>
    </row>
    <row r="163" spans="1:9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 t="str">
        <f t="shared" si="6"/>
        <v>2018-06</v>
      </c>
      <c r="H163">
        <f t="shared" si="7"/>
        <v>0</v>
      </c>
      <c r="I163">
        <f t="shared" si="8"/>
        <v>0</v>
      </c>
    </row>
    <row r="164" spans="1:9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 t="str">
        <f t="shared" si="6"/>
        <v>2018-06</v>
      </c>
      <c r="H164">
        <f t="shared" si="7"/>
        <v>48</v>
      </c>
      <c r="I164">
        <f t="shared" si="8"/>
        <v>0</v>
      </c>
    </row>
    <row r="165" spans="1:9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 t="str">
        <f t="shared" si="6"/>
        <v>2018-06</v>
      </c>
      <c r="H165">
        <f t="shared" si="7"/>
        <v>0</v>
      </c>
      <c r="I165">
        <f t="shared" si="8"/>
        <v>0</v>
      </c>
    </row>
    <row r="166" spans="1:9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 t="str">
        <f t="shared" si="6"/>
        <v>2018-06</v>
      </c>
      <c r="H166">
        <f t="shared" si="7"/>
        <v>0</v>
      </c>
      <c r="I166">
        <f t="shared" si="8"/>
        <v>0</v>
      </c>
    </row>
    <row r="167" spans="1:9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 t="str">
        <f t="shared" si="6"/>
        <v>2018-06</v>
      </c>
      <c r="H167">
        <f t="shared" si="7"/>
        <v>0</v>
      </c>
      <c r="I167">
        <f t="shared" si="8"/>
        <v>0</v>
      </c>
    </row>
    <row r="168" spans="1:9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 t="str">
        <f t="shared" si="6"/>
        <v>2018-06</v>
      </c>
      <c r="H168">
        <f t="shared" si="7"/>
        <v>47</v>
      </c>
      <c r="I168">
        <f t="shared" si="8"/>
        <v>0</v>
      </c>
    </row>
    <row r="169" spans="1:9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 t="str">
        <f t="shared" si="6"/>
        <v>2018-07</v>
      </c>
      <c r="H169">
        <f t="shared" si="7"/>
        <v>0</v>
      </c>
      <c r="I169">
        <f t="shared" si="8"/>
        <v>0</v>
      </c>
    </row>
    <row r="170" spans="1:9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 t="str">
        <f t="shared" si="6"/>
        <v>2018-07</v>
      </c>
      <c r="H170">
        <f t="shared" si="7"/>
        <v>0</v>
      </c>
      <c r="I170">
        <f t="shared" si="8"/>
        <v>0</v>
      </c>
    </row>
    <row r="171" spans="1:9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 t="str">
        <f t="shared" si="6"/>
        <v>2018-07</v>
      </c>
      <c r="H171">
        <f t="shared" si="7"/>
        <v>0</v>
      </c>
      <c r="I171">
        <f t="shared" si="8"/>
        <v>0</v>
      </c>
    </row>
    <row r="172" spans="1:9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 t="str">
        <f t="shared" si="6"/>
        <v>2018-07</v>
      </c>
      <c r="H172">
        <f t="shared" si="7"/>
        <v>25</v>
      </c>
      <c r="I172">
        <f t="shared" si="8"/>
        <v>0</v>
      </c>
    </row>
    <row r="173" spans="1:9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 t="str">
        <f t="shared" si="6"/>
        <v>2018-07</v>
      </c>
      <c r="H173">
        <f t="shared" si="7"/>
        <v>0</v>
      </c>
      <c r="I173">
        <f t="shared" si="8"/>
        <v>0</v>
      </c>
    </row>
    <row r="174" spans="1:9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 t="str">
        <f t="shared" si="6"/>
        <v>2018-08</v>
      </c>
      <c r="H174">
        <f t="shared" si="7"/>
        <v>0</v>
      </c>
      <c r="I174">
        <f t="shared" si="8"/>
        <v>0</v>
      </c>
    </row>
    <row r="175" spans="1:9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 t="str">
        <f t="shared" si="6"/>
        <v>2018-08</v>
      </c>
      <c r="H175">
        <f t="shared" si="7"/>
        <v>0</v>
      </c>
      <c r="I175">
        <f t="shared" si="8"/>
        <v>121</v>
      </c>
    </row>
    <row r="176" spans="1:9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 t="str">
        <f t="shared" si="6"/>
        <v>2018-08</v>
      </c>
      <c r="H176">
        <f t="shared" si="7"/>
        <v>0</v>
      </c>
      <c r="I176">
        <f t="shared" si="8"/>
        <v>0</v>
      </c>
    </row>
    <row r="177" spans="1:9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 t="str">
        <f t="shared" si="6"/>
        <v>2018-08</v>
      </c>
      <c r="H177">
        <f t="shared" si="7"/>
        <v>0</v>
      </c>
      <c r="I177">
        <f t="shared" si="8"/>
        <v>0</v>
      </c>
    </row>
    <row r="178" spans="1:9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 t="str">
        <f t="shared" si="6"/>
        <v>2018-08</v>
      </c>
      <c r="H178">
        <f t="shared" si="7"/>
        <v>0</v>
      </c>
      <c r="I178">
        <f t="shared" si="8"/>
        <v>0</v>
      </c>
    </row>
    <row r="179" spans="1:9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 t="str">
        <f t="shared" si="6"/>
        <v>2018-08</v>
      </c>
      <c r="H179">
        <f t="shared" si="7"/>
        <v>0</v>
      </c>
      <c r="I179">
        <f t="shared" si="8"/>
        <v>0</v>
      </c>
    </row>
    <row r="180" spans="1:9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 t="str">
        <f t="shared" si="6"/>
        <v>2018-08</v>
      </c>
      <c r="H180">
        <f t="shared" si="7"/>
        <v>0</v>
      </c>
      <c r="I180">
        <f t="shared" si="8"/>
        <v>0</v>
      </c>
    </row>
    <row r="181" spans="1:9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 t="str">
        <f t="shared" si="6"/>
        <v>2018-08</v>
      </c>
      <c r="H181">
        <f t="shared" si="7"/>
        <v>22</v>
      </c>
      <c r="I181">
        <f t="shared" si="8"/>
        <v>0</v>
      </c>
    </row>
    <row r="182" spans="1:9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 t="str">
        <f t="shared" si="6"/>
        <v>2018-09</v>
      </c>
      <c r="H182">
        <f t="shared" si="7"/>
        <v>0</v>
      </c>
      <c r="I182">
        <f t="shared" si="8"/>
        <v>0</v>
      </c>
    </row>
    <row r="183" spans="1:9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 t="str">
        <f t="shared" si="6"/>
        <v>2018-09</v>
      </c>
      <c r="H183">
        <f t="shared" si="7"/>
        <v>0</v>
      </c>
      <c r="I183">
        <f t="shared" si="8"/>
        <v>0</v>
      </c>
    </row>
    <row r="184" spans="1:9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 t="str">
        <f t="shared" si="6"/>
        <v>2018-09</v>
      </c>
      <c r="H184">
        <f t="shared" si="7"/>
        <v>0</v>
      </c>
      <c r="I184">
        <f t="shared" si="8"/>
        <v>0</v>
      </c>
    </row>
    <row r="185" spans="1:9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 t="str">
        <f t="shared" si="6"/>
        <v>2018-09</v>
      </c>
      <c r="H185">
        <f t="shared" si="7"/>
        <v>0</v>
      </c>
      <c r="I185">
        <f t="shared" si="8"/>
        <v>0</v>
      </c>
    </row>
    <row r="186" spans="1:9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 t="str">
        <f t="shared" si="6"/>
        <v>2018-09</v>
      </c>
      <c r="H186">
        <f t="shared" si="7"/>
        <v>0</v>
      </c>
      <c r="I186">
        <f t="shared" si="8"/>
        <v>0</v>
      </c>
    </row>
    <row r="187" spans="1:9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 t="str">
        <f t="shared" si="6"/>
        <v>2018-09</v>
      </c>
      <c r="H187">
        <f t="shared" si="7"/>
        <v>0</v>
      </c>
      <c r="I187">
        <f t="shared" si="8"/>
        <v>26</v>
      </c>
    </row>
    <row r="188" spans="1:9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 t="str">
        <f t="shared" si="6"/>
        <v>2018-09</v>
      </c>
      <c r="H188">
        <f t="shared" si="7"/>
        <v>0</v>
      </c>
      <c r="I188">
        <f t="shared" si="8"/>
        <v>0</v>
      </c>
    </row>
    <row r="189" spans="1:9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 t="str">
        <f t="shared" si="6"/>
        <v>2018-09</v>
      </c>
      <c r="H189">
        <f t="shared" si="7"/>
        <v>0</v>
      </c>
      <c r="I189">
        <f t="shared" si="8"/>
        <v>0</v>
      </c>
    </row>
    <row r="190" spans="1:9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 t="str">
        <f t="shared" si="6"/>
        <v>2018-09</v>
      </c>
      <c r="H190">
        <f t="shared" si="7"/>
        <v>0</v>
      </c>
      <c r="I190">
        <f t="shared" si="8"/>
        <v>0</v>
      </c>
    </row>
    <row r="191" spans="1:9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 t="str">
        <f t="shared" si="6"/>
        <v>2018-10</v>
      </c>
      <c r="H191">
        <f t="shared" si="7"/>
        <v>0</v>
      </c>
      <c r="I191">
        <f t="shared" si="8"/>
        <v>0</v>
      </c>
    </row>
    <row r="192" spans="1:9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 t="str">
        <f t="shared" si="6"/>
        <v>2018-10</v>
      </c>
      <c r="H192">
        <f t="shared" si="7"/>
        <v>0</v>
      </c>
      <c r="I192">
        <f t="shared" si="8"/>
        <v>0</v>
      </c>
    </row>
    <row r="193" spans="1:9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 t="str">
        <f t="shared" si="6"/>
        <v>2018-10</v>
      </c>
      <c r="H193">
        <f t="shared" si="7"/>
        <v>20</v>
      </c>
      <c r="I193">
        <f t="shared" si="8"/>
        <v>0</v>
      </c>
    </row>
    <row r="194" spans="1:9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 t="str">
        <f t="shared" si="6"/>
        <v>2018-11</v>
      </c>
      <c r="H194">
        <f t="shared" si="7"/>
        <v>0</v>
      </c>
      <c r="I194">
        <f t="shared" si="8"/>
        <v>0</v>
      </c>
    </row>
    <row r="195" spans="1:9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 t="str">
        <f t="shared" ref="G195:G203" si="9">_xlfn.CONCAT(YEAR(A195),"-",(TEXT(A195, "MM")))</f>
        <v>2018-11</v>
      </c>
      <c r="H195">
        <f t="shared" ref="H195:H203" si="10">IF(AND(C195="T5",D195="Z"),E195,0)</f>
        <v>48</v>
      </c>
      <c r="I195">
        <f t="shared" ref="I195:I203" si="11">IF(AND(C195="T5",D195="W"),E195,0)</f>
        <v>0</v>
      </c>
    </row>
    <row r="196" spans="1:9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 t="str">
        <f t="shared" si="9"/>
        <v>2018-11</v>
      </c>
      <c r="H196">
        <f t="shared" si="10"/>
        <v>0</v>
      </c>
      <c r="I196">
        <f t="shared" si="11"/>
        <v>64</v>
      </c>
    </row>
    <row r="197" spans="1:9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 t="str">
        <f t="shared" si="9"/>
        <v>2018-11</v>
      </c>
      <c r="H197">
        <f t="shared" si="10"/>
        <v>0</v>
      </c>
      <c r="I197">
        <f t="shared" si="11"/>
        <v>0</v>
      </c>
    </row>
    <row r="198" spans="1:9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 t="str">
        <f t="shared" si="9"/>
        <v>2018-11</v>
      </c>
      <c r="H198">
        <f t="shared" si="10"/>
        <v>0</v>
      </c>
      <c r="I198">
        <f t="shared" si="11"/>
        <v>0</v>
      </c>
    </row>
    <row r="199" spans="1:9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 t="str">
        <f t="shared" si="9"/>
        <v>2018-12</v>
      </c>
      <c r="H199">
        <f t="shared" si="10"/>
        <v>0</v>
      </c>
      <c r="I199">
        <f t="shared" si="11"/>
        <v>4</v>
      </c>
    </row>
    <row r="200" spans="1:9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 t="str">
        <f t="shared" si="9"/>
        <v>2018-12</v>
      </c>
      <c r="H200">
        <f t="shared" si="10"/>
        <v>0</v>
      </c>
      <c r="I200">
        <f t="shared" si="11"/>
        <v>0</v>
      </c>
    </row>
    <row r="201" spans="1:9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 t="str">
        <f t="shared" si="9"/>
        <v>2018-12</v>
      </c>
      <c r="H201">
        <f t="shared" si="10"/>
        <v>0</v>
      </c>
      <c r="I201">
        <f t="shared" si="11"/>
        <v>0</v>
      </c>
    </row>
    <row r="202" spans="1:9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 t="str">
        <f t="shared" si="9"/>
        <v>2018-12</v>
      </c>
      <c r="H202">
        <f t="shared" si="10"/>
        <v>0</v>
      </c>
      <c r="I202">
        <f t="shared" si="11"/>
        <v>0</v>
      </c>
    </row>
    <row r="203" spans="1:9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 t="str">
        <f t="shared" si="9"/>
        <v>2018-12</v>
      </c>
      <c r="H203">
        <f t="shared" si="10"/>
        <v>0</v>
      </c>
      <c r="I203">
        <f t="shared" si="11"/>
        <v>0</v>
      </c>
    </row>
  </sheetData>
  <autoFilter ref="A1:F203" xr:uid="{E0B90A7C-A5E8-470C-92CA-B258F4CEF2CA}">
    <sortState xmlns:xlrd2="http://schemas.microsoft.com/office/spreadsheetml/2017/richdata2" ref="A2:F203">
      <sortCondition ref="A2:A203"/>
    </sortState>
  </autoFilter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C242-E0DD-4AC1-AFDC-C9C05D629CFC}">
  <dimension ref="A1:N203"/>
  <sheetViews>
    <sheetView tabSelected="1" topLeftCell="C1" zoomScale="145" zoomScaleNormal="145" workbookViewId="0">
      <selection activeCell="J5" sqref="J5"/>
    </sheetView>
  </sheetViews>
  <sheetFormatPr defaultRowHeight="15" x14ac:dyDescent="0.25"/>
  <cols>
    <col min="1" max="1" width="14.7109375" customWidth="1"/>
    <col min="2" max="2" width="13" customWidth="1"/>
    <col min="3" max="3" width="8.28515625" customWidth="1"/>
    <col min="4" max="4" width="6.42578125" customWidth="1"/>
    <col min="5" max="5" width="10" customWidth="1"/>
    <col min="6" max="6" width="22.140625" bestFit="1" customWidth="1"/>
    <col min="7" max="7" width="16.7109375" customWidth="1"/>
    <col min="8" max="8" width="24.28515625" customWidth="1"/>
    <col min="9" max="9" width="15.85546875" customWidth="1"/>
    <col min="11" max="11" width="32.7109375" bestFit="1" customWidth="1"/>
    <col min="12" max="12" width="29.85546875" customWidth="1"/>
    <col min="13" max="13" width="18.85546875" customWidth="1"/>
    <col min="14" max="14" width="51.7109375" customWidth="1"/>
    <col min="15" max="15" width="20.42578125" customWidth="1"/>
    <col min="16" max="16" width="14.42578125" bestFit="1" customWidth="1"/>
    <col min="17" max="17" width="16.7109375" customWidth="1"/>
    <col min="18" max="18" width="18.140625" customWidth="1"/>
    <col min="19" max="19" width="20" customWidth="1"/>
  </cols>
  <sheetData>
    <row r="1" spans="1:14" x14ac:dyDescent="0.25">
      <c r="A1" s="2" t="s">
        <v>28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74</v>
      </c>
      <c r="H1" s="2" t="s">
        <v>75</v>
      </c>
      <c r="I1" s="2" t="s">
        <v>76</v>
      </c>
      <c r="J1" s="2" t="s">
        <v>80</v>
      </c>
      <c r="K1" s="2" t="s">
        <v>81</v>
      </c>
      <c r="L1" s="2" t="s">
        <v>82</v>
      </c>
      <c r="M1" s="2" t="s">
        <v>83</v>
      </c>
      <c r="N1" s="2"/>
    </row>
    <row r="2" spans="1:14" x14ac:dyDescent="0.25">
      <c r="A2" s="1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>
        <f>K2</f>
        <v>6399</v>
      </c>
      <c r="H2">
        <f>G2-IF(D2="Z",E2*F2,E2*F2*(-1))</f>
        <v>6159</v>
      </c>
      <c r="I2" t="str">
        <f t="shared" ref="I2:I65" si="0">IF(A2&lt;&gt;A3,H2,"")</f>
        <v/>
      </c>
      <c r="J2">
        <v>6413</v>
      </c>
      <c r="K2">
        <v>6399</v>
      </c>
      <c r="L2">
        <v>6413</v>
      </c>
      <c r="M2" t="str">
        <f>IF(MIN(H:H)&gt;=0,"TAK","NIE")</f>
        <v>TAK</v>
      </c>
    </row>
    <row r="3" spans="1:14" x14ac:dyDescent="0.25">
      <c r="A3" s="1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>
        <f>H2</f>
        <v>6159</v>
      </c>
      <c r="H3">
        <f>G3-IF(D3="Z",E3*F3,E3*F3*(-1))</f>
        <v>4559</v>
      </c>
      <c r="I3" t="str">
        <f t="shared" si="0"/>
        <v/>
      </c>
      <c r="N3" s="2" t="s">
        <v>77</v>
      </c>
    </row>
    <row r="4" spans="1:14" x14ac:dyDescent="0.25">
      <c r="A4" s="1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>
        <f t="shared" ref="G4:G67" si="1">H3</f>
        <v>4559</v>
      </c>
      <c r="H4">
        <f t="shared" ref="H4:H67" si="2">G4-IF(D4="Z",E4*F4,E4*F4*(-1))</f>
        <v>4179</v>
      </c>
      <c r="I4" t="str">
        <f t="shared" si="0"/>
        <v/>
      </c>
      <c r="N4">
        <v>545844</v>
      </c>
    </row>
    <row r="5" spans="1:14" x14ac:dyDescent="0.25">
      <c r="A5" s="1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>
        <f t="shared" si="1"/>
        <v>4179</v>
      </c>
      <c r="H5">
        <f t="shared" si="2"/>
        <v>3189</v>
      </c>
      <c r="I5" t="str">
        <f t="shared" si="0"/>
        <v/>
      </c>
    </row>
    <row r="6" spans="1:14" x14ac:dyDescent="0.25">
      <c r="A6" s="1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>
        <f t="shared" si="1"/>
        <v>3189</v>
      </c>
      <c r="H6">
        <f t="shared" si="2"/>
        <v>2114</v>
      </c>
      <c r="I6">
        <f t="shared" si="0"/>
        <v>2114</v>
      </c>
    </row>
    <row r="7" spans="1:14" x14ac:dyDescent="0.25">
      <c r="A7" s="1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>
        <f t="shared" si="1"/>
        <v>2114</v>
      </c>
      <c r="H7">
        <f t="shared" si="2"/>
        <v>3970</v>
      </c>
      <c r="I7" t="str">
        <f t="shared" si="0"/>
        <v/>
      </c>
    </row>
    <row r="8" spans="1:14" x14ac:dyDescent="0.25">
      <c r="A8" s="1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>
        <f t="shared" si="1"/>
        <v>3970</v>
      </c>
      <c r="H8">
        <f t="shared" si="2"/>
        <v>3606</v>
      </c>
      <c r="I8">
        <f t="shared" si="0"/>
        <v>3606</v>
      </c>
      <c r="N8" s="2" t="s">
        <v>78</v>
      </c>
    </row>
    <row r="9" spans="1:14" x14ac:dyDescent="0.25">
      <c r="A9" s="1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>
        <f t="shared" si="1"/>
        <v>3606</v>
      </c>
      <c r="H9">
        <f t="shared" si="2"/>
        <v>1582</v>
      </c>
      <c r="I9" t="str">
        <f t="shared" si="0"/>
        <v/>
      </c>
      <c r="N9" s="1" t="s">
        <v>79</v>
      </c>
    </row>
    <row r="10" spans="1:14" x14ac:dyDescent="0.25">
      <c r="A10" s="1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>
        <f t="shared" si="1"/>
        <v>1582</v>
      </c>
      <c r="H10">
        <f t="shared" si="2"/>
        <v>1554</v>
      </c>
      <c r="I10" t="str">
        <f t="shared" si="0"/>
        <v/>
      </c>
    </row>
    <row r="11" spans="1:14" x14ac:dyDescent="0.25">
      <c r="A11" s="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>
        <f t="shared" si="1"/>
        <v>1554</v>
      </c>
      <c r="H11">
        <f t="shared" si="2"/>
        <v>0</v>
      </c>
      <c r="I11">
        <f t="shared" si="0"/>
        <v>0</v>
      </c>
    </row>
    <row r="12" spans="1:14" x14ac:dyDescent="0.25">
      <c r="A12" s="1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>
        <f t="shared" si="1"/>
        <v>0</v>
      </c>
      <c r="H12">
        <f t="shared" si="2"/>
        <v>1376</v>
      </c>
      <c r="I12" t="str">
        <f t="shared" si="0"/>
        <v/>
      </c>
      <c r="N12" s="2" t="s">
        <v>84</v>
      </c>
    </row>
    <row r="13" spans="1:14" x14ac:dyDescent="0.25">
      <c r="A13" s="1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>
        <f t="shared" si="1"/>
        <v>1376</v>
      </c>
      <c r="H13">
        <f t="shared" si="2"/>
        <v>1870</v>
      </c>
      <c r="I13" t="str">
        <f t="shared" si="0"/>
        <v/>
      </c>
      <c r="N13">
        <v>6399</v>
      </c>
    </row>
    <row r="14" spans="1:14" x14ac:dyDescent="0.25">
      <c r="A14" s="1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>
        <f t="shared" si="1"/>
        <v>1870</v>
      </c>
      <c r="H14">
        <f t="shared" si="2"/>
        <v>1339</v>
      </c>
      <c r="I14" t="str">
        <f t="shared" si="0"/>
        <v/>
      </c>
    </row>
    <row r="15" spans="1:14" x14ac:dyDescent="0.25">
      <c r="A15" s="1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>
        <f t="shared" si="1"/>
        <v>1339</v>
      </c>
      <c r="H15">
        <f t="shared" si="2"/>
        <v>1043</v>
      </c>
      <c r="I15">
        <f t="shared" si="0"/>
        <v>1043</v>
      </c>
    </row>
    <row r="16" spans="1:14" x14ac:dyDescent="0.25">
      <c r="A16" s="1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>
        <f t="shared" si="1"/>
        <v>1043</v>
      </c>
      <c r="H16">
        <f t="shared" si="2"/>
        <v>4093</v>
      </c>
      <c r="I16" t="str">
        <f t="shared" si="0"/>
        <v/>
      </c>
    </row>
    <row r="17" spans="1:14" x14ac:dyDescent="0.25">
      <c r="A17" s="1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>
        <f t="shared" si="1"/>
        <v>4093</v>
      </c>
      <c r="H17">
        <f t="shared" si="2"/>
        <v>3453</v>
      </c>
      <c r="I17" t="str">
        <f t="shared" si="0"/>
        <v/>
      </c>
    </row>
    <row r="18" spans="1:14" x14ac:dyDescent="0.25">
      <c r="A18" s="1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>
        <f t="shared" si="1"/>
        <v>3453</v>
      </c>
      <c r="H18">
        <f t="shared" si="2"/>
        <v>3397</v>
      </c>
      <c r="I18" t="str">
        <f t="shared" si="0"/>
        <v/>
      </c>
    </row>
    <row r="19" spans="1:14" x14ac:dyDescent="0.25">
      <c r="A19" s="1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>
        <f t="shared" si="1"/>
        <v>3397</v>
      </c>
      <c r="H19">
        <f t="shared" si="2"/>
        <v>3157</v>
      </c>
      <c r="I19">
        <f t="shared" si="0"/>
        <v>3157</v>
      </c>
      <c r="N19" s="2"/>
    </row>
    <row r="20" spans="1:14" x14ac:dyDescent="0.25">
      <c r="A20" s="1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>
        <f t="shared" si="1"/>
        <v>3157</v>
      </c>
      <c r="H20">
        <f t="shared" si="2"/>
        <v>3241</v>
      </c>
      <c r="I20" t="str">
        <f t="shared" si="0"/>
        <v/>
      </c>
    </row>
    <row r="21" spans="1:14" x14ac:dyDescent="0.25">
      <c r="A21" s="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>
        <f t="shared" si="1"/>
        <v>3241</v>
      </c>
      <c r="H21">
        <f t="shared" si="2"/>
        <v>2766</v>
      </c>
      <c r="I21" t="str">
        <f t="shared" si="0"/>
        <v/>
      </c>
    </row>
    <row r="22" spans="1:14" x14ac:dyDescent="0.25">
      <c r="A22" s="1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>
        <f t="shared" si="1"/>
        <v>2766</v>
      </c>
      <c r="H22">
        <f t="shared" si="2"/>
        <v>1512</v>
      </c>
      <c r="I22">
        <f t="shared" si="0"/>
        <v>1512</v>
      </c>
    </row>
    <row r="23" spans="1:14" x14ac:dyDescent="0.25">
      <c r="A23" s="1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>
        <f t="shared" si="1"/>
        <v>1512</v>
      </c>
      <c r="H23">
        <f t="shared" si="2"/>
        <v>2772</v>
      </c>
      <c r="I23" t="str">
        <f t="shared" si="0"/>
        <v/>
      </c>
    </row>
    <row r="24" spans="1:14" x14ac:dyDescent="0.25">
      <c r="A24" s="1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>
        <f t="shared" si="1"/>
        <v>2772</v>
      </c>
      <c r="H24">
        <f t="shared" si="2"/>
        <v>2442</v>
      </c>
      <c r="I24" t="str">
        <f t="shared" si="0"/>
        <v/>
      </c>
    </row>
    <row r="25" spans="1:14" x14ac:dyDescent="0.25">
      <c r="A25" s="1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>
        <f t="shared" si="1"/>
        <v>2442</v>
      </c>
      <c r="H25">
        <f t="shared" si="2"/>
        <v>1007</v>
      </c>
      <c r="I25">
        <f t="shared" si="0"/>
        <v>1007</v>
      </c>
    </row>
    <row r="26" spans="1:14" x14ac:dyDescent="0.25">
      <c r="A26" s="1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>
        <f t="shared" si="1"/>
        <v>1007</v>
      </c>
      <c r="H26">
        <f t="shared" si="2"/>
        <v>4731</v>
      </c>
      <c r="I26" t="str">
        <f t="shared" si="0"/>
        <v/>
      </c>
    </row>
    <row r="27" spans="1:14" x14ac:dyDescent="0.25">
      <c r="A27" s="1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>
        <f t="shared" si="1"/>
        <v>4731</v>
      </c>
      <c r="H27">
        <f t="shared" si="2"/>
        <v>4501</v>
      </c>
      <c r="I27">
        <f t="shared" si="0"/>
        <v>4501</v>
      </c>
    </row>
    <row r="28" spans="1:14" x14ac:dyDescent="0.25">
      <c r="A28" s="1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>
        <f t="shared" si="1"/>
        <v>4501</v>
      </c>
      <c r="H28">
        <f t="shared" si="2"/>
        <v>4653</v>
      </c>
      <c r="I28" t="str">
        <f t="shared" si="0"/>
        <v/>
      </c>
    </row>
    <row r="29" spans="1:14" x14ac:dyDescent="0.25">
      <c r="A29" s="1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>
        <f t="shared" si="1"/>
        <v>4653</v>
      </c>
      <c r="H29">
        <f t="shared" si="2"/>
        <v>2133</v>
      </c>
      <c r="I29" t="str">
        <f t="shared" si="0"/>
        <v/>
      </c>
    </row>
    <row r="30" spans="1:14" x14ac:dyDescent="0.25">
      <c r="A30" s="1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>
        <f t="shared" si="1"/>
        <v>2133</v>
      </c>
      <c r="H30">
        <f t="shared" si="2"/>
        <v>1909</v>
      </c>
      <c r="I30" t="str">
        <f t="shared" si="0"/>
        <v/>
      </c>
    </row>
    <row r="31" spans="1:14" x14ac:dyDescent="0.25">
      <c r="A31" s="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>
        <f t="shared" si="1"/>
        <v>1909</v>
      </c>
      <c r="H31">
        <f t="shared" si="2"/>
        <v>1548</v>
      </c>
      <c r="I31">
        <f t="shared" si="0"/>
        <v>1548</v>
      </c>
    </row>
    <row r="32" spans="1:14" x14ac:dyDescent="0.25">
      <c r="A32" s="1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>
        <f t="shared" si="1"/>
        <v>1548</v>
      </c>
      <c r="H32">
        <f t="shared" si="2"/>
        <v>3564</v>
      </c>
      <c r="I32" t="str">
        <f t="shared" si="0"/>
        <v/>
      </c>
    </row>
    <row r="33" spans="1:9" x14ac:dyDescent="0.25">
      <c r="A33" s="1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>
        <f t="shared" si="1"/>
        <v>3564</v>
      </c>
      <c r="H33">
        <f t="shared" si="2"/>
        <v>7344</v>
      </c>
      <c r="I33" t="str">
        <f t="shared" si="0"/>
        <v/>
      </c>
    </row>
    <row r="34" spans="1:9" x14ac:dyDescent="0.25">
      <c r="A34" s="1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>
        <f t="shared" si="1"/>
        <v>7344</v>
      </c>
      <c r="H34">
        <f t="shared" si="2"/>
        <v>5496</v>
      </c>
      <c r="I34" t="str">
        <f t="shared" si="0"/>
        <v/>
      </c>
    </row>
    <row r="35" spans="1:9" x14ac:dyDescent="0.25">
      <c r="A35" s="1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>
        <f t="shared" si="1"/>
        <v>5496</v>
      </c>
      <c r="H35">
        <f t="shared" si="2"/>
        <v>4638</v>
      </c>
      <c r="I35" t="str">
        <f t="shared" si="0"/>
        <v/>
      </c>
    </row>
    <row r="36" spans="1:9" x14ac:dyDescent="0.25">
      <c r="A36" s="1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>
        <f t="shared" si="1"/>
        <v>4638</v>
      </c>
      <c r="H36">
        <f t="shared" si="2"/>
        <v>4557</v>
      </c>
      <c r="I36">
        <f t="shared" si="0"/>
        <v>4557</v>
      </c>
    </row>
    <row r="37" spans="1:9" x14ac:dyDescent="0.25">
      <c r="A37" s="1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>
        <f t="shared" si="1"/>
        <v>4557</v>
      </c>
      <c r="H37">
        <f t="shared" si="2"/>
        <v>4673</v>
      </c>
      <c r="I37" t="str">
        <f t="shared" si="0"/>
        <v/>
      </c>
    </row>
    <row r="38" spans="1:9" x14ac:dyDescent="0.25">
      <c r="A38" s="1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>
        <f t="shared" si="1"/>
        <v>4673</v>
      </c>
      <c r="H38">
        <f t="shared" si="2"/>
        <v>5117</v>
      </c>
      <c r="I38" t="str">
        <f t="shared" si="0"/>
        <v/>
      </c>
    </row>
    <row r="39" spans="1:9" x14ac:dyDescent="0.25">
      <c r="A39" s="1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>
        <f t="shared" si="1"/>
        <v>5117</v>
      </c>
      <c r="H39">
        <f t="shared" si="2"/>
        <v>3647</v>
      </c>
      <c r="I39" t="str">
        <f t="shared" si="0"/>
        <v/>
      </c>
    </row>
    <row r="40" spans="1:9" x14ac:dyDescent="0.25">
      <c r="A40" s="1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>
        <f t="shared" si="1"/>
        <v>3647</v>
      </c>
      <c r="H40">
        <f t="shared" si="2"/>
        <v>1535</v>
      </c>
      <c r="I40">
        <f t="shared" si="0"/>
        <v>1535</v>
      </c>
    </row>
    <row r="41" spans="1:9" x14ac:dyDescent="0.25">
      <c r="A41" s="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>
        <f t="shared" si="1"/>
        <v>1535</v>
      </c>
      <c r="H41">
        <f t="shared" si="2"/>
        <v>4479</v>
      </c>
      <c r="I41" t="str">
        <f t="shared" si="0"/>
        <v/>
      </c>
    </row>
    <row r="42" spans="1:9" x14ac:dyDescent="0.25">
      <c r="A42" s="1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>
        <f t="shared" si="1"/>
        <v>4479</v>
      </c>
      <c r="H42">
        <f t="shared" si="2"/>
        <v>2415</v>
      </c>
      <c r="I42">
        <f t="shared" si="0"/>
        <v>2415</v>
      </c>
    </row>
    <row r="43" spans="1:9" x14ac:dyDescent="0.25">
      <c r="A43" s="1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>
        <f t="shared" si="1"/>
        <v>2415</v>
      </c>
      <c r="H43">
        <f t="shared" si="2"/>
        <v>13875</v>
      </c>
      <c r="I43" t="str">
        <f t="shared" si="0"/>
        <v/>
      </c>
    </row>
    <row r="44" spans="1:9" x14ac:dyDescent="0.25">
      <c r="A44" s="1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>
        <f t="shared" si="1"/>
        <v>13875</v>
      </c>
      <c r="H44">
        <f t="shared" si="2"/>
        <v>13659</v>
      </c>
      <c r="I44" t="str">
        <f t="shared" si="0"/>
        <v/>
      </c>
    </row>
    <row r="45" spans="1:9" x14ac:dyDescent="0.25">
      <c r="A45" s="1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>
        <f t="shared" si="1"/>
        <v>13659</v>
      </c>
      <c r="H45">
        <f t="shared" si="2"/>
        <v>11319</v>
      </c>
      <c r="I45">
        <f t="shared" si="0"/>
        <v>11319</v>
      </c>
    </row>
    <row r="46" spans="1:9" x14ac:dyDescent="0.25">
      <c r="A46" s="1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>
        <f t="shared" si="1"/>
        <v>11319</v>
      </c>
      <c r="H46">
        <f t="shared" si="2"/>
        <v>10990</v>
      </c>
      <c r="I46" t="str">
        <f t="shared" si="0"/>
        <v/>
      </c>
    </row>
    <row r="47" spans="1:9" x14ac:dyDescent="0.25">
      <c r="A47" s="1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>
        <f t="shared" si="1"/>
        <v>10990</v>
      </c>
      <c r="H47">
        <f t="shared" si="2"/>
        <v>11242</v>
      </c>
      <c r="I47" t="str">
        <f t="shared" si="0"/>
        <v/>
      </c>
    </row>
    <row r="48" spans="1:9" x14ac:dyDescent="0.25">
      <c r="A48" s="1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>
        <f t="shared" si="1"/>
        <v>11242</v>
      </c>
      <c r="H48">
        <f t="shared" si="2"/>
        <v>11090</v>
      </c>
      <c r="I48" t="str">
        <f t="shared" si="0"/>
        <v/>
      </c>
    </row>
    <row r="49" spans="1:9" x14ac:dyDescent="0.25">
      <c r="A49" s="1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>
        <f t="shared" si="1"/>
        <v>11090</v>
      </c>
      <c r="H49">
        <f t="shared" si="2"/>
        <v>11024</v>
      </c>
      <c r="I49" t="str">
        <f t="shared" si="0"/>
        <v/>
      </c>
    </row>
    <row r="50" spans="1:9" x14ac:dyDescent="0.25">
      <c r="A50" s="1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>
        <f t="shared" si="1"/>
        <v>11024</v>
      </c>
      <c r="H50">
        <f t="shared" si="2"/>
        <v>8605</v>
      </c>
      <c r="I50">
        <f t="shared" si="0"/>
        <v>8605</v>
      </c>
    </row>
    <row r="51" spans="1:9" x14ac:dyDescent="0.25">
      <c r="A51" s="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>
        <f t="shared" si="1"/>
        <v>8605</v>
      </c>
      <c r="H51">
        <f t="shared" si="2"/>
        <v>6845</v>
      </c>
      <c r="I51" t="str">
        <f t="shared" si="0"/>
        <v/>
      </c>
    </row>
    <row r="52" spans="1:9" x14ac:dyDescent="0.25">
      <c r="A52" s="1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>
        <f t="shared" si="1"/>
        <v>6845</v>
      </c>
      <c r="H52">
        <f t="shared" si="2"/>
        <v>7385</v>
      </c>
      <c r="I52" t="str">
        <f t="shared" si="0"/>
        <v/>
      </c>
    </row>
    <row r="53" spans="1:9" x14ac:dyDescent="0.25">
      <c r="A53" s="1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>
        <f t="shared" si="1"/>
        <v>7385</v>
      </c>
      <c r="H53">
        <f t="shared" si="2"/>
        <v>6585</v>
      </c>
      <c r="I53" t="str">
        <f t="shared" si="0"/>
        <v/>
      </c>
    </row>
    <row r="54" spans="1:9" x14ac:dyDescent="0.25">
      <c r="A54" s="1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>
        <f t="shared" si="1"/>
        <v>6585</v>
      </c>
      <c r="H54">
        <f t="shared" si="2"/>
        <v>6396</v>
      </c>
      <c r="I54" t="str">
        <f t="shared" si="0"/>
        <v/>
      </c>
    </row>
    <row r="55" spans="1:9" x14ac:dyDescent="0.25">
      <c r="A55" s="1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>
        <f t="shared" si="1"/>
        <v>6396</v>
      </c>
      <c r="H55">
        <f t="shared" si="2"/>
        <v>5988</v>
      </c>
      <c r="I55">
        <f t="shared" si="0"/>
        <v>5988</v>
      </c>
    </row>
    <row r="56" spans="1:9" x14ac:dyDescent="0.25">
      <c r="A56" s="1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>
        <f t="shared" si="1"/>
        <v>5988</v>
      </c>
      <c r="H56">
        <f t="shared" si="2"/>
        <v>6012</v>
      </c>
      <c r="I56" t="str">
        <f t="shared" si="0"/>
        <v/>
      </c>
    </row>
    <row r="57" spans="1:9" x14ac:dyDescent="0.25">
      <c r="A57" s="1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>
        <f t="shared" si="1"/>
        <v>6012</v>
      </c>
      <c r="H57">
        <f t="shared" si="2"/>
        <v>5746</v>
      </c>
      <c r="I57" t="str">
        <f t="shared" si="0"/>
        <v/>
      </c>
    </row>
    <row r="58" spans="1:9" x14ac:dyDescent="0.25">
      <c r="A58" s="1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>
        <f t="shared" si="1"/>
        <v>5746</v>
      </c>
      <c r="H58">
        <f t="shared" si="2"/>
        <v>5217</v>
      </c>
      <c r="I58">
        <f t="shared" si="0"/>
        <v>5217</v>
      </c>
    </row>
    <row r="59" spans="1:9" x14ac:dyDescent="0.25">
      <c r="A59" s="1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>
        <f t="shared" si="1"/>
        <v>5217</v>
      </c>
      <c r="H59">
        <f t="shared" si="2"/>
        <v>5129</v>
      </c>
      <c r="I59" t="str">
        <f t="shared" si="0"/>
        <v/>
      </c>
    </row>
    <row r="60" spans="1:9" x14ac:dyDescent="0.25">
      <c r="A60" s="1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>
        <f t="shared" si="1"/>
        <v>5129</v>
      </c>
      <c r="H60">
        <f t="shared" si="2"/>
        <v>4007</v>
      </c>
      <c r="I60" t="str">
        <f t="shared" si="0"/>
        <v/>
      </c>
    </row>
    <row r="61" spans="1:9" x14ac:dyDescent="0.25">
      <c r="A61" s="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>
        <f t="shared" si="1"/>
        <v>4007</v>
      </c>
      <c r="H61">
        <f t="shared" si="2"/>
        <v>2777</v>
      </c>
      <c r="I61">
        <f t="shared" si="0"/>
        <v>2777</v>
      </c>
    </row>
    <row r="62" spans="1:9" x14ac:dyDescent="0.25">
      <c r="A62" s="1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>
        <f t="shared" si="1"/>
        <v>2777</v>
      </c>
      <c r="H62">
        <f t="shared" si="2"/>
        <v>12283</v>
      </c>
      <c r="I62" t="str">
        <f t="shared" si="0"/>
        <v/>
      </c>
    </row>
    <row r="63" spans="1:9" x14ac:dyDescent="0.25">
      <c r="A63" s="1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>
        <f t="shared" si="1"/>
        <v>12283</v>
      </c>
      <c r="H63">
        <f t="shared" si="2"/>
        <v>12415</v>
      </c>
      <c r="I63" t="str">
        <f t="shared" si="0"/>
        <v/>
      </c>
    </row>
    <row r="64" spans="1:9" x14ac:dyDescent="0.25">
      <c r="A64" s="1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>
        <f t="shared" si="1"/>
        <v>12415</v>
      </c>
      <c r="H64">
        <f t="shared" si="2"/>
        <v>12075</v>
      </c>
      <c r="I64" t="str">
        <f t="shared" si="0"/>
        <v/>
      </c>
    </row>
    <row r="65" spans="1:9" x14ac:dyDescent="0.25">
      <c r="A65" s="1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>
        <f t="shared" si="1"/>
        <v>12075</v>
      </c>
      <c r="H65">
        <f t="shared" si="2"/>
        <v>11983</v>
      </c>
      <c r="I65">
        <f t="shared" si="0"/>
        <v>11983</v>
      </c>
    </row>
    <row r="66" spans="1:9" x14ac:dyDescent="0.25">
      <c r="A66" s="1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>
        <f t="shared" si="1"/>
        <v>11983</v>
      </c>
      <c r="H66">
        <f t="shared" si="2"/>
        <v>14432</v>
      </c>
      <c r="I66" t="str">
        <f t="shared" ref="I66:I129" si="3">IF(A66&lt;&gt;A67,H66,"")</f>
        <v/>
      </c>
    </row>
    <row r="67" spans="1:9" x14ac:dyDescent="0.25">
      <c r="A67" s="1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>
        <f t="shared" si="1"/>
        <v>14432</v>
      </c>
      <c r="H67">
        <f t="shared" si="2"/>
        <v>12452</v>
      </c>
      <c r="I67" t="str">
        <f t="shared" si="3"/>
        <v/>
      </c>
    </row>
    <row r="68" spans="1:9" x14ac:dyDescent="0.25">
      <c r="A68" s="1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>
        <f t="shared" ref="G68:G131" si="4">H67</f>
        <v>12452</v>
      </c>
      <c r="H68">
        <f t="shared" ref="H68:H131" si="5">G68-IF(D68="Z",E68*F68,E68*F68*(-1))</f>
        <v>11854</v>
      </c>
      <c r="I68">
        <f t="shared" si="3"/>
        <v>11854</v>
      </c>
    </row>
    <row r="69" spans="1:9" x14ac:dyDescent="0.25">
      <c r="A69" s="1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>
        <f t="shared" si="4"/>
        <v>11854</v>
      </c>
      <c r="H69">
        <f t="shared" si="5"/>
        <v>10974</v>
      </c>
      <c r="I69" t="str">
        <f t="shared" si="3"/>
        <v/>
      </c>
    </row>
    <row r="70" spans="1:9" x14ac:dyDescent="0.25">
      <c r="A70" s="1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>
        <f t="shared" si="4"/>
        <v>10974</v>
      </c>
      <c r="H70">
        <f t="shared" si="5"/>
        <v>10596</v>
      </c>
      <c r="I70" t="str">
        <f t="shared" si="3"/>
        <v/>
      </c>
    </row>
    <row r="71" spans="1:9" x14ac:dyDescent="0.25">
      <c r="A71" s="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>
        <f t="shared" si="4"/>
        <v>10596</v>
      </c>
      <c r="H71">
        <f t="shared" si="5"/>
        <v>9504</v>
      </c>
      <c r="I71" t="str">
        <f t="shared" si="3"/>
        <v/>
      </c>
    </row>
    <row r="72" spans="1:9" x14ac:dyDescent="0.25">
      <c r="A72" s="1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>
        <f t="shared" si="4"/>
        <v>9504</v>
      </c>
      <c r="H72">
        <f t="shared" si="5"/>
        <v>8874</v>
      </c>
      <c r="I72" t="str">
        <f t="shared" si="3"/>
        <v/>
      </c>
    </row>
    <row r="73" spans="1:9" x14ac:dyDescent="0.25">
      <c r="A73" s="1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>
        <f t="shared" si="4"/>
        <v>8874</v>
      </c>
      <c r="H73">
        <f t="shared" si="5"/>
        <v>7158</v>
      </c>
      <c r="I73">
        <f t="shared" si="3"/>
        <v>7158</v>
      </c>
    </row>
    <row r="74" spans="1:9" x14ac:dyDescent="0.25">
      <c r="A74" s="1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>
        <f t="shared" si="4"/>
        <v>7158</v>
      </c>
      <c r="H74">
        <f t="shared" si="5"/>
        <v>13766</v>
      </c>
      <c r="I74" t="str">
        <f t="shared" si="3"/>
        <v/>
      </c>
    </row>
    <row r="75" spans="1:9" x14ac:dyDescent="0.25">
      <c r="A75" s="1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>
        <f t="shared" si="4"/>
        <v>13766</v>
      </c>
      <c r="H75">
        <f t="shared" si="5"/>
        <v>11522</v>
      </c>
      <c r="I75" t="str">
        <f t="shared" si="3"/>
        <v/>
      </c>
    </row>
    <row r="76" spans="1:9" x14ac:dyDescent="0.25">
      <c r="A76" s="1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>
        <f t="shared" si="4"/>
        <v>11522</v>
      </c>
      <c r="H76">
        <f t="shared" si="5"/>
        <v>11417</v>
      </c>
      <c r="I76">
        <f t="shared" si="3"/>
        <v>11417</v>
      </c>
    </row>
    <row r="77" spans="1:9" x14ac:dyDescent="0.25">
      <c r="A77" s="1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>
        <f t="shared" si="4"/>
        <v>11417</v>
      </c>
      <c r="H77">
        <f t="shared" si="5"/>
        <v>18225</v>
      </c>
      <c r="I77" t="str">
        <f t="shared" si="3"/>
        <v/>
      </c>
    </row>
    <row r="78" spans="1:9" x14ac:dyDescent="0.25">
      <c r="A78" s="1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>
        <f t="shared" si="4"/>
        <v>18225</v>
      </c>
      <c r="H78">
        <f t="shared" si="5"/>
        <v>17861</v>
      </c>
      <c r="I78">
        <f t="shared" si="3"/>
        <v>17861</v>
      </c>
    </row>
    <row r="79" spans="1:9" x14ac:dyDescent="0.25">
      <c r="A79" s="1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>
        <f t="shared" si="4"/>
        <v>17861</v>
      </c>
      <c r="H79">
        <f t="shared" si="5"/>
        <v>17921</v>
      </c>
      <c r="I79" t="str">
        <f t="shared" si="3"/>
        <v/>
      </c>
    </row>
    <row r="80" spans="1:9" x14ac:dyDescent="0.25">
      <c r="A80" s="1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>
        <f t="shared" si="4"/>
        <v>17921</v>
      </c>
      <c r="H80">
        <f t="shared" si="5"/>
        <v>19469</v>
      </c>
      <c r="I80" t="str">
        <f t="shared" si="3"/>
        <v/>
      </c>
    </row>
    <row r="81" spans="1:9" x14ac:dyDescent="0.25">
      <c r="A81" s="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>
        <f t="shared" si="4"/>
        <v>19469</v>
      </c>
      <c r="H81">
        <f t="shared" si="5"/>
        <v>19229</v>
      </c>
      <c r="I81" t="str">
        <f t="shared" si="3"/>
        <v/>
      </c>
    </row>
    <row r="82" spans="1:9" x14ac:dyDescent="0.25">
      <c r="A82" s="1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>
        <f t="shared" si="4"/>
        <v>19229</v>
      </c>
      <c r="H82">
        <f t="shared" si="5"/>
        <v>18949</v>
      </c>
      <c r="I82">
        <f t="shared" si="3"/>
        <v>18949</v>
      </c>
    </row>
    <row r="83" spans="1:9" x14ac:dyDescent="0.25">
      <c r="A83" s="1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>
        <f t="shared" si="4"/>
        <v>18949</v>
      </c>
      <c r="H83">
        <f t="shared" si="5"/>
        <v>20203</v>
      </c>
      <c r="I83" t="str">
        <f t="shared" si="3"/>
        <v/>
      </c>
    </row>
    <row r="84" spans="1:9" x14ac:dyDescent="0.25">
      <c r="A84" s="1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>
        <f t="shared" si="4"/>
        <v>20203</v>
      </c>
      <c r="H84">
        <f t="shared" si="5"/>
        <v>18908</v>
      </c>
      <c r="I84" t="str">
        <f t="shared" si="3"/>
        <v/>
      </c>
    </row>
    <row r="85" spans="1:9" x14ac:dyDescent="0.25">
      <c r="A85" s="1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>
        <f t="shared" si="4"/>
        <v>18908</v>
      </c>
      <c r="H85">
        <f t="shared" si="5"/>
        <v>18148</v>
      </c>
      <c r="I85">
        <f t="shared" si="3"/>
        <v>18148</v>
      </c>
    </row>
    <row r="86" spans="1:9" x14ac:dyDescent="0.25">
      <c r="A86" s="1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>
        <f t="shared" si="4"/>
        <v>18148</v>
      </c>
      <c r="H86">
        <f t="shared" si="5"/>
        <v>18904</v>
      </c>
      <c r="I86" t="str">
        <f t="shared" si="3"/>
        <v/>
      </c>
    </row>
    <row r="87" spans="1:9" x14ac:dyDescent="0.25">
      <c r="A87" s="1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>
        <f t="shared" si="4"/>
        <v>18904</v>
      </c>
      <c r="H87">
        <f t="shared" si="5"/>
        <v>19098</v>
      </c>
      <c r="I87" t="str">
        <f t="shared" si="3"/>
        <v/>
      </c>
    </row>
    <row r="88" spans="1:9" x14ac:dyDescent="0.25">
      <c r="A88" s="1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>
        <f t="shared" si="4"/>
        <v>19098</v>
      </c>
      <c r="H88">
        <f t="shared" si="5"/>
        <v>18858</v>
      </c>
      <c r="I88" t="str">
        <f t="shared" si="3"/>
        <v/>
      </c>
    </row>
    <row r="89" spans="1:9" x14ac:dyDescent="0.25">
      <c r="A89" s="1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>
        <f t="shared" si="4"/>
        <v>18858</v>
      </c>
      <c r="H89">
        <f t="shared" si="5"/>
        <v>18738</v>
      </c>
      <c r="I89" t="str">
        <f t="shared" si="3"/>
        <v/>
      </c>
    </row>
    <row r="90" spans="1:9" x14ac:dyDescent="0.25">
      <c r="A90" s="1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>
        <f t="shared" si="4"/>
        <v>18738</v>
      </c>
      <c r="H90">
        <f t="shared" si="5"/>
        <v>18698</v>
      </c>
      <c r="I90">
        <f t="shared" si="3"/>
        <v>18698</v>
      </c>
    </row>
    <row r="91" spans="1:9" x14ac:dyDescent="0.25">
      <c r="A91" s="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>
        <f t="shared" si="4"/>
        <v>18698</v>
      </c>
      <c r="H91">
        <f t="shared" si="5"/>
        <v>19730</v>
      </c>
      <c r="I91" t="str">
        <f t="shared" si="3"/>
        <v/>
      </c>
    </row>
    <row r="92" spans="1:9" x14ac:dyDescent="0.25">
      <c r="A92" s="1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>
        <f t="shared" si="4"/>
        <v>19730</v>
      </c>
      <c r="H92">
        <f t="shared" si="5"/>
        <v>23140</v>
      </c>
      <c r="I92" t="str">
        <f t="shared" si="3"/>
        <v/>
      </c>
    </row>
    <row r="93" spans="1:9" x14ac:dyDescent="0.25">
      <c r="A93" s="1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>
        <f t="shared" si="4"/>
        <v>23140</v>
      </c>
      <c r="H93">
        <f t="shared" si="5"/>
        <v>21886</v>
      </c>
      <c r="I93" t="str">
        <f t="shared" si="3"/>
        <v/>
      </c>
    </row>
    <row r="94" spans="1:9" x14ac:dyDescent="0.25">
      <c r="A94" s="1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>
        <f t="shared" si="4"/>
        <v>21886</v>
      </c>
      <c r="H94">
        <f t="shared" si="5"/>
        <v>21587</v>
      </c>
      <c r="I94" t="str">
        <f t="shared" si="3"/>
        <v/>
      </c>
    </row>
    <row r="95" spans="1:9" x14ac:dyDescent="0.25">
      <c r="A95" s="1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>
        <f t="shared" si="4"/>
        <v>21587</v>
      </c>
      <c r="H95">
        <f t="shared" si="5"/>
        <v>19330</v>
      </c>
      <c r="I95">
        <f t="shared" si="3"/>
        <v>19330</v>
      </c>
    </row>
    <row r="96" spans="1:9" x14ac:dyDescent="0.25">
      <c r="A96" s="1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>
        <f t="shared" si="4"/>
        <v>19330</v>
      </c>
      <c r="H96">
        <f t="shared" si="5"/>
        <v>19342</v>
      </c>
      <c r="I96" t="str">
        <f t="shared" si="3"/>
        <v/>
      </c>
    </row>
    <row r="97" spans="1:9" x14ac:dyDescent="0.25">
      <c r="A97" s="1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>
        <f t="shared" si="4"/>
        <v>19342</v>
      </c>
      <c r="H97">
        <f t="shared" si="5"/>
        <v>23354</v>
      </c>
      <c r="I97" t="str">
        <f t="shared" si="3"/>
        <v/>
      </c>
    </row>
    <row r="98" spans="1:9" x14ac:dyDescent="0.25">
      <c r="A98" s="1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>
        <f t="shared" si="4"/>
        <v>23354</v>
      </c>
      <c r="H98">
        <f t="shared" si="5"/>
        <v>21044</v>
      </c>
      <c r="I98" t="str">
        <f t="shared" si="3"/>
        <v/>
      </c>
    </row>
    <row r="99" spans="1:9" x14ac:dyDescent="0.25">
      <c r="A99" s="1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>
        <f t="shared" si="4"/>
        <v>21044</v>
      </c>
      <c r="H99">
        <f t="shared" si="5"/>
        <v>20519</v>
      </c>
      <c r="I99" t="str">
        <f t="shared" si="3"/>
        <v/>
      </c>
    </row>
    <row r="100" spans="1:9" x14ac:dyDescent="0.25">
      <c r="A100" s="1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>
        <f t="shared" si="4"/>
        <v>20519</v>
      </c>
      <c r="H100">
        <f t="shared" si="5"/>
        <v>20269</v>
      </c>
      <c r="I100">
        <f t="shared" si="3"/>
        <v>20269</v>
      </c>
    </row>
    <row r="101" spans="1:9" x14ac:dyDescent="0.25">
      <c r="A101" s="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>
        <f t="shared" si="4"/>
        <v>20269</v>
      </c>
      <c r="H101">
        <f t="shared" si="5"/>
        <v>21675</v>
      </c>
      <c r="I101" t="str">
        <f t="shared" si="3"/>
        <v/>
      </c>
    </row>
    <row r="102" spans="1:9" x14ac:dyDescent="0.25">
      <c r="A102" s="1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>
        <f t="shared" si="4"/>
        <v>21675</v>
      </c>
      <c r="H102">
        <f t="shared" si="5"/>
        <v>21499</v>
      </c>
      <c r="I102" t="str">
        <f t="shared" si="3"/>
        <v/>
      </c>
    </row>
    <row r="103" spans="1:9" x14ac:dyDescent="0.25">
      <c r="A103" s="1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>
        <f t="shared" si="4"/>
        <v>21499</v>
      </c>
      <c r="H103">
        <f t="shared" si="5"/>
        <v>20999</v>
      </c>
      <c r="I103" t="str">
        <f t="shared" si="3"/>
        <v/>
      </c>
    </row>
    <row r="104" spans="1:9" x14ac:dyDescent="0.25">
      <c r="A104" s="1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>
        <f t="shared" si="4"/>
        <v>20999</v>
      </c>
      <c r="H104">
        <f t="shared" si="5"/>
        <v>20687</v>
      </c>
      <c r="I104" t="str">
        <f t="shared" si="3"/>
        <v/>
      </c>
    </row>
    <row r="105" spans="1:9" x14ac:dyDescent="0.25">
      <c r="A105" s="1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>
        <f t="shared" si="4"/>
        <v>20687</v>
      </c>
      <c r="H105">
        <f t="shared" si="5"/>
        <v>17897</v>
      </c>
      <c r="I105">
        <f t="shared" si="3"/>
        <v>17897</v>
      </c>
    </row>
    <row r="106" spans="1:9" x14ac:dyDescent="0.25">
      <c r="A106" s="1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>
        <f t="shared" si="4"/>
        <v>17897</v>
      </c>
      <c r="H106">
        <f t="shared" si="5"/>
        <v>29497</v>
      </c>
      <c r="I106" t="str">
        <f t="shared" si="3"/>
        <v/>
      </c>
    </row>
    <row r="107" spans="1:9" x14ac:dyDescent="0.25">
      <c r="A107" s="1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>
        <f t="shared" si="4"/>
        <v>29497</v>
      </c>
      <c r="H107">
        <f t="shared" si="5"/>
        <v>28946</v>
      </c>
      <c r="I107">
        <f t="shared" si="3"/>
        <v>28946</v>
      </c>
    </row>
    <row r="108" spans="1:9" x14ac:dyDescent="0.25">
      <c r="A108" s="1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>
        <f t="shared" si="4"/>
        <v>28946</v>
      </c>
      <c r="H108">
        <f t="shared" si="5"/>
        <v>29116</v>
      </c>
      <c r="I108" t="str">
        <f t="shared" si="3"/>
        <v/>
      </c>
    </row>
    <row r="109" spans="1:9" x14ac:dyDescent="0.25">
      <c r="A109" s="1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>
        <f t="shared" si="4"/>
        <v>29116</v>
      </c>
      <c r="H109">
        <f t="shared" si="5"/>
        <v>29358</v>
      </c>
      <c r="I109" t="str">
        <f t="shared" si="3"/>
        <v/>
      </c>
    </row>
    <row r="110" spans="1:9" x14ac:dyDescent="0.25">
      <c r="A110" s="1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>
        <f t="shared" si="4"/>
        <v>29358</v>
      </c>
      <c r="H110">
        <f t="shared" si="5"/>
        <v>28544</v>
      </c>
      <c r="I110" t="str">
        <f t="shared" si="3"/>
        <v/>
      </c>
    </row>
    <row r="111" spans="1:9" x14ac:dyDescent="0.25">
      <c r="A111" s="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>
        <f t="shared" si="4"/>
        <v>28544</v>
      </c>
      <c r="H111">
        <f t="shared" si="5"/>
        <v>27844</v>
      </c>
      <c r="I111" t="str">
        <f t="shared" si="3"/>
        <v/>
      </c>
    </row>
    <row r="112" spans="1:9" x14ac:dyDescent="0.25">
      <c r="A112" s="1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>
        <f t="shared" si="4"/>
        <v>27844</v>
      </c>
      <c r="H112">
        <f t="shared" si="5"/>
        <v>25996</v>
      </c>
      <c r="I112">
        <f t="shared" si="3"/>
        <v>25996</v>
      </c>
    </row>
    <row r="113" spans="1:9" x14ac:dyDescent="0.25">
      <c r="A113" s="1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>
        <f t="shared" si="4"/>
        <v>25996</v>
      </c>
      <c r="H113">
        <f t="shared" si="5"/>
        <v>27030</v>
      </c>
      <c r="I113" t="str">
        <f t="shared" si="3"/>
        <v/>
      </c>
    </row>
    <row r="114" spans="1:9" x14ac:dyDescent="0.25">
      <c r="A114" s="1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>
        <f t="shared" si="4"/>
        <v>27030</v>
      </c>
      <c r="H114">
        <f t="shared" si="5"/>
        <v>29862</v>
      </c>
      <c r="I114" t="str">
        <f t="shared" si="3"/>
        <v/>
      </c>
    </row>
    <row r="115" spans="1:9" x14ac:dyDescent="0.25">
      <c r="A115" s="1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>
        <f t="shared" si="4"/>
        <v>29862</v>
      </c>
      <c r="H115">
        <f t="shared" si="5"/>
        <v>29442</v>
      </c>
      <c r="I115" t="str">
        <f t="shared" si="3"/>
        <v/>
      </c>
    </row>
    <row r="116" spans="1:9" x14ac:dyDescent="0.25">
      <c r="A116" s="1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>
        <f t="shared" si="4"/>
        <v>29442</v>
      </c>
      <c r="H116">
        <f t="shared" si="5"/>
        <v>28792</v>
      </c>
      <c r="I116">
        <f t="shared" si="3"/>
        <v>28792</v>
      </c>
    </row>
    <row r="117" spans="1:9" x14ac:dyDescent="0.25">
      <c r="A117" s="1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>
        <f t="shared" si="4"/>
        <v>28792</v>
      </c>
      <c r="H117">
        <f t="shared" si="5"/>
        <v>28576</v>
      </c>
      <c r="I117" t="str">
        <f t="shared" si="3"/>
        <v/>
      </c>
    </row>
    <row r="118" spans="1:9" x14ac:dyDescent="0.25">
      <c r="A118" s="1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>
        <f t="shared" si="4"/>
        <v>28576</v>
      </c>
      <c r="H118">
        <f t="shared" si="5"/>
        <v>25992</v>
      </c>
      <c r="I118" t="str">
        <f t="shared" si="3"/>
        <v/>
      </c>
    </row>
    <row r="119" spans="1:9" x14ac:dyDescent="0.25">
      <c r="A119" s="1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>
        <f t="shared" si="4"/>
        <v>25992</v>
      </c>
      <c r="H119">
        <f t="shared" si="5"/>
        <v>25698</v>
      </c>
      <c r="I119" t="str">
        <f t="shared" si="3"/>
        <v/>
      </c>
    </row>
    <row r="120" spans="1:9" x14ac:dyDescent="0.25">
      <c r="A120" s="1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>
        <f t="shared" si="4"/>
        <v>25698</v>
      </c>
      <c r="H120">
        <f t="shared" si="5"/>
        <v>25526</v>
      </c>
      <c r="I120">
        <f t="shared" si="3"/>
        <v>25526</v>
      </c>
    </row>
    <row r="121" spans="1:9" x14ac:dyDescent="0.25">
      <c r="A121" s="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>
        <f t="shared" si="4"/>
        <v>25526</v>
      </c>
      <c r="H121">
        <f t="shared" si="5"/>
        <v>26210</v>
      </c>
      <c r="I121" t="str">
        <f t="shared" si="3"/>
        <v/>
      </c>
    </row>
    <row r="122" spans="1:9" x14ac:dyDescent="0.25">
      <c r="A122" s="1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>
        <f t="shared" si="4"/>
        <v>26210</v>
      </c>
      <c r="H122">
        <f t="shared" si="5"/>
        <v>24260</v>
      </c>
      <c r="I122">
        <f t="shared" si="3"/>
        <v>24260</v>
      </c>
    </row>
    <row r="123" spans="1:9" x14ac:dyDescent="0.25">
      <c r="A123" s="1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>
        <f t="shared" si="4"/>
        <v>24260</v>
      </c>
      <c r="H123">
        <f t="shared" si="5"/>
        <v>24638</v>
      </c>
      <c r="I123" t="str">
        <f t="shared" si="3"/>
        <v/>
      </c>
    </row>
    <row r="124" spans="1:9" x14ac:dyDescent="0.25">
      <c r="A124" s="1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>
        <f t="shared" si="4"/>
        <v>24638</v>
      </c>
      <c r="H124">
        <f t="shared" si="5"/>
        <v>22101</v>
      </c>
      <c r="I124">
        <f t="shared" si="3"/>
        <v>22101</v>
      </c>
    </row>
    <row r="125" spans="1:9" x14ac:dyDescent="0.25">
      <c r="A125" s="1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>
        <f t="shared" si="4"/>
        <v>22101</v>
      </c>
      <c r="H125">
        <f t="shared" si="5"/>
        <v>22162</v>
      </c>
      <c r="I125" t="str">
        <f t="shared" si="3"/>
        <v/>
      </c>
    </row>
    <row r="126" spans="1:9" x14ac:dyDescent="0.25">
      <c r="A126" s="1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>
        <f t="shared" si="4"/>
        <v>22162</v>
      </c>
      <c r="H126">
        <f t="shared" si="5"/>
        <v>26572</v>
      </c>
      <c r="I126" t="str">
        <f t="shared" si="3"/>
        <v/>
      </c>
    </row>
    <row r="127" spans="1:9" x14ac:dyDescent="0.25">
      <c r="A127" s="1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>
        <f t="shared" si="4"/>
        <v>26572</v>
      </c>
      <c r="H127">
        <f t="shared" si="5"/>
        <v>26452</v>
      </c>
      <c r="I127" t="str">
        <f t="shared" si="3"/>
        <v/>
      </c>
    </row>
    <row r="128" spans="1:9" x14ac:dyDescent="0.25">
      <c r="A128" s="1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>
        <f t="shared" si="4"/>
        <v>26452</v>
      </c>
      <c r="H128">
        <f t="shared" si="5"/>
        <v>24940</v>
      </c>
      <c r="I128" t="str">
        <f t="shared" si="3"/>
        <v/>
      </c>
    </row>
    <row r="129" spans="1:9" x14ac:dyDescent="0.25">
      <c r="A129" s="1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>
        <f t="shared" si="4"/>
        <v>24940</v>
      </c>
      <c r="H129">
        <f t="shared" si="5"/>
        <v>24484</v>
      </c>
      <c r="I129">
        <f t="shared" si="3"/>
        <v>24484</v>
      </c>
    </row>
    <row r="130" spans="1:9" x14ac:dyDescent="0.25">
      <c r="A130" s="1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>
        <f t="shared" si="4"/>
        <v>24484</v>
      </c>
      <c r="H130">
        <f t="shared" si="5"/>
        <v>37750</v>
      </c>
      <c r="I130" t="str">
        <f t="shared" ref="I130:I193" si="6">IF(A130&lt;&gt;A131,H130,"")</f>
        <v/>
      </c>
    </row>
    <row r="131" spans="1:9" x14ac:dyDescent="0.25">
      <c r="A131" s="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>
        <f t="shared" si="4"/>
        <v>37750</v>
      </c>
      <c r="H131">
        <f t="shared" si="5"/>
        <v>37294</v>
      </c>
      <c r="I131">
        <f t="shared" si="6"/>
        <v>37294</v>
      </c>
    </row>
    <row r="132" spans="1:9" x14ac:dyDescent="0.25">
      <c r="A132" s="1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>
        <f t="shared" ref="G132:G195" si="7">H131</f>
        <v>37294</v>
      </c>
      <c r="H132">
        <f t="shared" ref="H132:H195" si="8">G132-IF(D132="Z",E132*F132,E132*F132*(-1))</f>
        <v>37414</v>
      </c>
      <c r="I132" t="str">
        <f t="shared" si="6"/>
        <v/>
      </c>
    </row>
    <row r="133" spans="1:9" x14ac:dyDescent="0.25">
      <c r="A133" s="1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>
        <f t="shared" si="7"/>
        <v>37414</v>
      </c>
      <c r="H133">
        <f t="shared" si="8"/>
        <v>37206</v>
      </c>
      <c r="I133" t="str">
        <f t="shared" si="6"/>
        <v/>
      </c>
    </row>
    <row r="134" spans="1:9" x14ac:dyDescent="0.25">
      <c r="A134" s="1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>
        <f t="shared" si="7"/>
        <v>37206</v>
      </c>
      <c r="H134">
        <f t="shared" si="8"/>
        <v>34698</v>
      </c>
      <c r="I134">
        <f t="shared" si="6"/>
        <v>34698</v>
      </c>
    </row>
    <row r="135" spans="1:9" x14ac:dyDescent="0.25">
      <c r="A135" s="1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>
        <f t="shared" si="7"/>
        <v>34698</v>
      </c>
      <c r="H135">
        <f t="shared" si="8"/>
        <v>38422</v>
      </c>
      <c r="I135" t="str">
        <f t="shared" si="6"/>
        <v/>
      </c>
    </row>
    <row r="136" spans="1:9" x14ac:dyDescent="0.25">
      <c r="A136" s="1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>
        <f t="shared" si="7"/>
        <v>38422</v>
      </c>
      <c r="H136">
        <f t="shared" si="8"/>
        <v>40050</v>
      </c>
      <c r="I136" t="str">
        <f t="shared" si="6"/>
        <v/>
      </c>
    </row>
    <row r="137" spans="1:9" x14ac:dyDescent="0.25">
      <c r="A137" s="1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>
        <f t="shared" si="7"/>
        <v>40050</v>
      </c>
      <c r="H137">
        <f t="shared" si="8"/>
        <v>39882</v>
      </c>
      <c r="I137" t="str">
        <f t="shared" si="6"/>
        <v/>
      </c>
    </row>
    <row r="138" spans="1:9" x14ac:dyDescent="0.25">
      <c r="A138" s="1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>
        <f t="shared" si="7"/>
        <v>39882</v>
      </c>
      <c r="H138">
        <f t="shared" si="8"/>
        <v>39492</v>
      </c>
      <c r="I138">
        <f t="shared" si="6"/>
        <v>39492</v>
      </c>
    </row>
    <row r="139" spans="1:9" x14ac:dyDescent="0.25">
      <c r="A139" s="1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>
        <f t="shared" si="7"/>
        <v>39492</v>
      </c>
      <c r="H139">
        <f t="shared" si="8"/>
        <v>40062</v>
      </c>
      <c r="I139" t="str">
        <f t="shared" si="6"/>
        <v/>
      </c>
    </row>
    <row r="140" spans="1:9" x14ac:dyDescent="0.25">
      <c r="A140" s="1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>
        <f t="shared" si="7"/>
        <v>40062</v>
      </c>
      <c r="H140">
        <f t="shared" si="8"/>
        <v>41448</v>
      </c>
      <c r="I140" t="str">
        <f t="shared" si="6"/>
        <v/>
      </c>
    </row>
    <row r="141" spans="1:9" x14ac:dyDescent="0.25">
      <c r="A141" s="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>
        <f t="shared" si="7"/>
        <v>41448</v>
      </c>
      <c r="H141">
        <f t="shared" si="8"/>
        <v>40908</v>
      </c>
      <c r="I141" t="str">
        <f t="shared" si="6"/>
        <v/>
      </c>
    </row>
    <row r="142" spans="1:9" x14ac:dyDescent="0.25">
      <c r="A142" s="1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>
        <f t="shared" si="7"/>
        <v>40908</v>
      </c>
      <c r="H142">
        <f t="shared" si="8"/>
        <v>40794</v>
      </c>
      <c r="I142" t="str">
        <f t="shared" si="6"/>
        <v/>
      </c>
    </row>
    <row r="143" spans="1:9" x14ac:dyDescent="0.25">
      <c r="A143" s="1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>
        <f t="shared" si="7"/>
        <v>40794</v>
      </c>
      <c r="H143">
        <f t="shared" si="8"/>
        <v>40762</v>
      </c>
      <c r="I143">
        <f t="shared" si="6"/>
        <v>40762</v>
      </c>
    </row>
    <row r="144" spans="1:9" x14ac:dyDescent="0.25">
      <c r="A144" s="1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>
        <f t="shared" si="7"/>
        <v>40762</v>
      </c>
      <c r="H144">
        <f t="shared" si="8"/>
        <v>40912</v>
      </c>
      <c r="I144" t="str">
        <f t="shared" si="6"/>
        <v/>
      </c>
    </row>
    <row r="145" spans="1:9" x14ac:dyDescent="0.25">
      <c r="A145" s="1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>
        <f t="shared" si="7"/>
        <v>40912</v>
      </c>
      <c r="H145">
        <f t="shared" si="8"/>
        <v>37120</v>
      </c>
      <c r="I145">
        <f t="shared" si="6"/>
        <v>37120</v>
      </c>
    </row>
    <row r="146" spans="1:9" x14ac:dyDescent="0.25">
      <c r="A146" s="1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>
        <f t="shared" si="7"/>
        <v>37120</v>
      </c>
      <c r="H146">
        <f t="shared" si="8"/>
        <v>35692</v>
      </c>
      <c r="I146" t="str">
        <f t="shared" si="6"/>
        <v/>
      </c>
    </row>
    <row r="147" spans="1:9" x14ac:dyDescent="0.25">
      <c r="A147" s="1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>
        <f t="shared" si="7"/>
        <v>35692</v>
      </c>
      <c r="H147">
        <f t="shared" si="8"/>
        <v>37407</v>
      </c>
      <c r="I147" t="str">
        <f t="shared" si="6"/>
        <v/>
      </c>
    </row>
    <row r="148" spans="1:9" x14ac:dyDescent="0.25">
      <c r="A148" s="1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>
        <f t="shared" si="7"/>
        <v>37407</v>
      </c>
      <c r="H148">
        <f t="shared" si="8"/>
        <v>37327</v>
      </c>
      <c r="I148" t="str">
        <f t="shared" si="6"/>
        <v/>
      </c>
    </row>
    <row r="149" spans="1:9" x14ac:dyDescent="0.25">
      <c r="A149" s="1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>
        <f t="shared" si="7"/>
        <v>37327</v>
      </c>
      <c r="H149">
        <f t="shared" si="8"/>
        <v>36340</v>
      </c>
      <c r="I149" t="str">
        <f t="shared" si="6"/>
        <v/>
      </c>
    </row>
    <row r="150" spans="1:9" x14ac:dyDescent="0.25">
      <c r="A150" s="1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>
        <f t="shared" si="7"/>
        <v>36340</v>
      </c>
      <c r="H150">
        <f t="shared" si="8"/>
        <v>33172</v>
      </c>
      <c r="I150">
        <f t="shared" si="6"/>
        <v>33172</v>
      </c>
    </row>
    <row r="151" spans="1:9" x14ac:dyDescent="0.25">
      <c r="A151" s="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>
        <f t="shared" si="7"/>
        <v>33172</v>
      </c>
      <c r="H151">
        <f t="shared" si="8"/>
        <v>35144</v>
      </c>
      <c r="I151" t="str">
        <f t="shared" si="6"/>
        <v/>
      </c>
    </row>
    <row r="152" spans="1:9" x14ac:dyDescent="0.25">
      <c r="A152" s="1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>
        <f t="shared" si="7"/>
        <v>35144</v>
      </c>
      <c r="H152">
        <f t="shared" si="8"/>
        <v>35099</v>
      </c>
      <c r="I152">
        <f t="shared" si="6"/>
        <v>35099</v>
      </c>
    </row>
    <row r="153" spans="1:9" x14ac:dyDescent="0.25">
      <c r="A153" s="1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>
        <f t="shared" si="7"/>
        <v>35099</v>
      </c>
      <c r="H153">
        <f t="shared" si="8"/>
        <v>36479</v>
      </c>
      <c r="I153" t="str">
        <f t="shared" si="6"/>
        <v/>
      </c>
    </row>
    <row r="154" spans="1:9" x14ac:dyDescent="0.25">
      <c r="A154" s="1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>
        <f t="shared" si="7"/>
        <v>36479</v>
      </c>
      <c r="H154">
        <f t="shared" si="8"/>
        <v>33294</v>
      </c>
      <c r="I154" t="str">
        <f t="shared" si="6"/>
        <v/>
      </c>
    </row>
    <row r="155" spans="1:9" x14ac:dyDescent="0.25">
      <c r="A155" s="1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>
        <f t="shared" si="7"/>
        <v>33294</v>
      </c>
      <c r="H155">
        <f t="shared" si="8"/>
        <v>33166</v>
      </c>
      <c r="I155">
        <f t="shared" si="6"/>
        <v>33166</v>
      </c>
    </row>
    <row r="156" spans="1:9" x14ac:dyDescent="0.25">
      <c r="A156" s="1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>
        <f t="shared" si="7"/>
        <v>33166</v>
      </c>
      <c r="H156">
        <f t="shared" si="8"/>
        <v>32981</v>
      </c>
      <c r="I156" t="str">
        <f t="shared" si="6"/>
        <v/>
      </c>
    </row>
    <row r="157" spans="1:9" x14ac:dyDescent="0.25">
      <c r="A157" s="1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>
        <f t="shared" si="7"/>
        <v>32981</v>
      </c>
      <c r="H157">
        <f t="shared" si="8"/>
        <v>33013</v>
      </c>
      <c r="I157" t="str">
        <f t="shared" si="6"/>
        <v/>
      </c>
    </row>
    <row r="158" spans="1:9" x14ac:dyDescent="0.25">
      <c r="A158" s="1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>
        <f t="shared" si="7"/>
        <v>33013</v>
      </c>
      <c r="H158">
        <f t="shared" si="8"/>
        <v>32775</v>
      </c>
      <c r="I158" t="str">
        <f t="shared" si="6"/>
        <v/>
      </c>
    </row>
    <row r="159" spans="1:9" x14ac:dyDescent="0.25">
      <c r="A159" s="1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>
        <f t="shared" si="7"/>
        <v>32775</v>
      </c>
      <c r="H159">
        <f t="shared" si="8"/>
        <v>31064</v>
      </c>
      <c r="I159">
        <f t="shared" si="6"/>
        <v>31064</v>
      </c>
    </row>
    <row r="160" spans="1:9" x14ac:dyDescent="0.25">
      <c r="A160" s="1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>
        <f t="shared" si="7"/>
        <v>31064</v>
      </c>
      <c r="H160">
        <f t="shared" si="8"/>
        <v>30248</v>
      </c>
      <c r="I160" t="str">
        <f t="shared" si="6"/>
        <v/>
      </c>
    </row>
    <row r="161" spans="1:9" x14ac:dyDescent="0.25">
      <c r="A161" s="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>
        <f t="shared" si="7"/>
        <v>30248</v>
      </c>
      <c r="H161">
        <f t="shared" si="8"/>
        <v>29708</v>
      </c>
      <c r="I161" t="str">
        <f t="shared" si="6"/>
        <v/>
      </c>
    </row>
    <row r="162" spans="1:9" x14ac:dyDescent="0.25">
      <c r="A162" s="1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>
        <f t="shared" si="7"/>
        <v>29708</v>
      </c>
      <c r="H162">
        <f t="shared" si="8"/>
        <v>29388</v>
      </c>
      <c r="I162">
        <f t="shared" si="6"/>
        <v>29388</v>
      </c>
    </row>
    <row r="163" spans="1:9" x14ac:dyDescent="0.25">
      <c r="A163" s="1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>
        <f t="shared" si="7"/>
        <v>29388</v>
      </c>
      <c r="H163">
        <f t="shared" si="8"/>
        <v>47604</v>
      </c>
      <c r="I163" t="str">
        <f t="shared" si="6"/>
        <v/>
      </c>
    </row>
    <row r="164" spans="1:9" x14ac:dyDescent="0.25">
      <c r="A164" s="1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>
        <f t="shared" si="7"/>
        <v>47604</v>
      </c>
      <c r="H164">
        <f t="shared" si="8"/>
        <v>45780</v>
      </c>
      <c r="I164" t="str">
        <f t="shared" si="6"/>
        <v/>
      </c>
    </row>
    <row r="165" spans="1:9" x14ac:dyDescent="0.25">
      <c r="A165" s="1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>
        <f t="shared" si="7"/>
        <v>45780</v>
      </c>
      <c r="H165">
        <f t="shared" si="8"/>
        <v>45297</v>
      </c>
      <c r="I165">
        <f t="shared" si="6"/>
        <v>45297</v>
      </c>
    </row>
    <row r="166" spans="1:9" x14ac:dyDescent="0.25">
      <c r="A166" s="1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>
        <f t="shared" si="7"/>
        <v>45297</v>
      </c>
      <c r="H166">
        <f t="shared" si="8"/>
        <v>42195</v>
      </c>
      <c r="I166" t="str">
        <f t="shared" si="6"/>
        <v/>
      </c>
    </row>
    <row r="167" spans="1:9" x14ac:dyDescent="0.25">
      <c r="A167" s="1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>
        <f t="shared" si="7"/>
        <v>42195</v>
      </c>
      <c r="H167">
        <f t="shared" si="8"/>
        <v>42045</v>
      </c>
      <c r="I167" t="str">
        <f t="shared" si="6"/>
        <v/>
      </c>
    </row>
    <row r="168" spans="1:9" x14ac:dyDescent="0.25">
      <c r="A168" s="1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>
        <f t="shared" si="7"/>
        <v>42045</v>
      </c>
      <c r="H168">
        <f t="shared" si="8"/>
        <v>40118</v>
      </c>
      <c r="I168">
        <f t="shared" si="6"/>
        <v>40118</v>
      </c>
    </row>
    <row r="169" spans="1:9" x14ac:dyDescent="0.25">
      <c r="A169" s="1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>
        <f t="shared" si="7"/>
        <v>40118</v>
      </c>
      <c r="H169">
        <f t="shared" si="8"/>
        <v>42422</v>
      </c>
      <c r="I169" t="str">
        <f t="shared" si="6"/>
        <v/>
      </c>
    </row>
    <row r="170" spans="1:9" x14ac:dyDescent="0.25">
      <c r="A170" s="1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>
        <f t="shared" si="7"/>
        <v>42422</v>
      </c>
      <c r="H170">
        <f t="shared" si="8"/>
        <v>44198</v>
      </c>
      <c r="I170" t="str">
        <f t="shared" si="6"/>
        <v/>
      </c>
    </row>
    <row r="171" spans="1:9" x14ac:dyDescent="0.25">
      <c r="A171" s="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>
        <f t="shared" si="7"/>
        <v>44198</v>
      </c>
      <c r="H171">
        <f t="shared" si="8"/>
        <v>43082</v>
      </c>
      <c r="I171" t="str">
        <f t="shared" si="6"/>
        <v/>
      </c>
    </row>
    <row r="172" spans="1:9" x14ac:dyDescent="0.25">
      <c r="A172" s="1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>
        <f t="shared" si="7"/>
        <v>43082</v>
      </c>
      <c r="H172">
        <f t="shared" si="8"/>
        <v>42107</v>
      </c>
      <c r="I172" t="str">
        <f t="shared" si="6"/>
        <v/>
      </c>
    </row>
    <row r="173" spans="1:9" x14ac:dyDescent="0.25">
      <c r="A173" s="1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>
        <f t="shared" si="7"/>
        <v>42107</v>
      </c>
      <c r="H173">
        <f t="shared" si="8"/>
        <v>42067</v>
      </c>
      <c r="I173">
        <f t="shared" si="6"/>
        <v>42067</v>
      </c>
    </row>
    <row r="174" spans="1:9" x14ac:dyDescent="0.25">
      <c r="A174" s="1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>
        <f t="shared" si="7"/>
        <v>42067</v>
      </c>
      <c r="H174">
        <f t="shared" si="8"/>
        <v>42561</v>
      </c>
      <c r="I174" t="str">
        <f t="shared" si="6"/>
        <v/>
      </c>
    </row>
    <row r="175" spans="1:9" x14ac:dyDescent="0.25">
      <c r="A175" s="1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>
        <f t="shared" si="7"/>
        <v>42561</v>
      </c>
      <c r="H175">
        <f t="shared" si="8"/>
        <v>50184</v>
      </c>
      <c r="I175" t="str">
        <f t="shared" si="6"/>
        <v/>
      </c>
    </row>
    <row r="176" spans="1:9" x14ac:dyDescent="0.25">
      <c r="A176" s="1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>
        <f t="shared" si="7"/>
        <v>50184</v>
      </c>
      <c r="H176">
        <f t="shared" si="8"/>
        <v>49614</v>
      </c>
      <c r="I176" t="str">
        <f t="shared" si="6"/>
        <v/>
      </c>
    </row>
    <row r="177" spans="1:9" x14ac:dyDescent="0.25">
      <c r="A177" s="1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>
        <f t="shared" si="7"/>
        <v>49614</v>
      </c>
      <c r="H177">
        <f t="shared" si="8"/>
        <v>49246</v>
      </c>
      <c r="I177">
        <f t="shared" si="6"/>
        <v>49246</v>
      </c>
    </row>
    <row r="178" spans="1:9" x14ac:dyDescent="0.25">
      <c r="A178" s="1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>
        <f t="shared" si="7"/>
        <v>49246</v>
      </c>
      <c r="H178">
        <f t="shared" si="8"/>
        <v>49785</v>
      </c>
      <c r="I178" t="str">
        <f t="shared" si="6"/>
        <v/>
      </c>
    </row>
    <row r="179" spans="1:9" x14ac:dyDescent="0.25">
      <c r="A179" s="1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>
        <f t="shared" si="7"/>
        <v>49785</v>
      </c>
      <c r="H179">
        <f t="shared" si="8"/>
        <v>55275</v>
      </c>
      <c r="I179" t="str">
        <f t="shared" si="6"/>
        <v/>
      </c>
    </row>
    <row r="180" spans="1:9" x14ac:dyDescent="0.25">
      <c r="A180" s="1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>
        <f t="shared" si="7"/>
        <v>55275</v>
      </c>
      <c r="H180">
        <f t="shared" si="8"/>
        <v>54857</v>
      </c>
      <c r="I180" t="str">
        <f t="shared" si="6"/>
        <v/>
      </c>
    </row>
    <row r="181" spans="1:9" x14ac:dyDescent="0.25">
      <c r="A181" s="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>
        <f t="shared" si="7"/>
        <v>54857</v>
      </c>
      <c r="H181">
        <f t="shared" si="8"/>
        <v>53889</v>
      </c>
      <c r="I181">
        <f t="shared" si="6"/>
        <v>53889</v>
      </c>
    </row>
    <row r="182" spans="1:9" x14ac:dyDescent="0.25">
      <c r="A182" s="1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>
        <f t="shared" si="7"/>
        <v>53889</v>
      </c>
      <c r="H182">
        <f t="shared" si="8"/>
        <v>53664</v>
      </c>
      <c r="I182" t="str">
        <f t="shared" si="6"/>
        <v/>
      </c>
    </row>
    <row r="183" spans="1:9" x14ac:dyDescent="0.25">
      <c r="A183" s="1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>
        <f t="shared" si="7"/>
        <v>53664</v>
      </c>
      <c r="H183">
        <f t="shared" si="8"/>
        <v>54040</v>
      </c>
      <c r="I183" t="str">
        <f t="shared" si="6"/>
        <v/>
      </c>
    </row>
    <row r="184" spans="1:9" x14ac:dyDescent="0.25">
      <c r="A184" s="1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>
        <f t="shared" si="7"/>
        <v>54040</v>
      </c>
      <c r="H184">
        <f t="shared" si="8"/>
        <v>53872</v>
      </c>
      <c r="I184" t="str">
        <f t="shared" si="6"/>
        <v/>
      </c>
    </row>
    <row r="185" spans="1:9" x14ac:dyDescent="0.25">
      <c r="A185" s="1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>
        <f t="shared" si="7"/>
        <v>53872</v>
      </c>
      <c r="H185">
        <f t="shared" si="8"/>
        <v>53496</v>
      </c>
      <c r="I185">
        <f t="shared" si="6"/>
        <v>53496</v>
      </c>
    </row>
    <row r="186" spans="1:9" x14ac:dyDescent="0.25">
      <c r="A186" s="1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>
        <f t="shared" si="7"/>
        <v>53496</v>
      </c>
      <c r="H186">
        <f t="shared" si="8"/>
        <v>55874</v>
      </c>
      <c r="I186" t="str">
        <f t="shared" si="6"/>
        <v/>
      </c>
    </row>
    <row r="187" spans="1:9" x14ac:dyDescent="0.25">
      <c r="A187" s="1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>
        <f t="shared" si="7"/>
        <v>55874</v>
      </c>
      <c r="H187">
        <f t="shared" si="8"/>
        <v>57382</v>
      </c>
      <c r="I187" t="str">
        <f t="shared" si="6"/>
        <v/>
      </c>
    </row>
    <row r="188" spans="1:9" x14ac:dyDescent="0.25">
      <c r="A188" s="1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>
        <f t="shared" si="7"/>
        <v>57382</v>
      </c>
      <c r="H188">
        <f t="shared" si="8"/>
        <v>57166</v>
      </c>
      <c r="I188" t="str">
        <f t="shared" si="6"/>
        <v/>
      </c>
    </row>
    <row r="189" spans="1:9" x14ac:dyDescent="0.25">
      <c r="A189" s="1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>
        <f t="shared" si="7"/>
        <v>57166</v>
      </c>
      <c r="H189">
        <f t="shared" si="8"/>
        <v>56230</v>
      </c>
      <c r="I189" t="str">
        <f t="shared" si="6"/>
        <v/>
      </c>
    </row>
    <row r="190" spans="1:9" x14ac:dyDescent="0.25">
      <c r="A190" s="1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>
        <f t="shared" si="7"/>
        <v>56230</v>
      </c>
      <c r="H190">
        <f t="shared" si="8"/>
        <v>55822</v>
      </c>
      <c r="I190">
        <f t="shared" si="6"/>
        <v>55822</v>
      </c>
    </row>
    <row r="191" spans="1:9" x14ac:dyDescent="0.25">
      <c r="A191" s="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>
        <f t="shared" si="7"/>
        <v>55822</v>
      </c>
      <c r="H191">
        <f t="shared" si="8"/>
        <v>57442</v>
      </c>
      <c r="I191" t="str">
        <f t="shared" si="6"/>
        <v/>
      </c>
    </row>
    <row r="192" spans="1:9" x14ac:dyDescent="0.25">
      <c r="A192" s="1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>
        <f t="shared" si="7"/>
        <v>57442</v>
      </c>
      <c r="H192">
        <f t="shared" si="8"/>
        <v>57298</v>
      </c>
      <c r="I192" t="str">
        <f t="shared" si="6"/>
        <v/>
      </c>
    </row>
    <row r="193" spans="1:9" x14ac:dyDescent="0.25">
      <c r="A193" s="1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>
        <f t="shared" si="7"/>
        <v>57298</v>
      </c>
      <c r="H193">
        <f t="shared" si="8"/>
        <v>56478</v>
      </c>
      <c r="I193">
        <f t="shared" si="6"/>
        <v>56478</v>
      </c>
    </row>
    <row r="194" spans="1:9" x14ac:dyDescent="0.25">
      <c r="A194" s="1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>
        <f t="shared" si="7"/>
        <v>56478</v>
      </c>
      <c r="H194">
        <f t="shared" si="8"/>
        <v>56606</v>
      </c>
      <c r="I194" t="str">
        <f t="shared" ref="I194:I257" si="9">IF(A194&lt;&gt;A195,H194,"")</f>
        <v/>
      </c>
    </row>
    <row r="195" spans="1:9" x14ac:dyDescent="0.25">
      <c r="A195" s="1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>
        <f t="shared" si="7"/>
        <v>56606</v>
      </c>
      <c r="H195">
        <f t="shared" si="8"/>
        <v>54830</v>
      </c>
      <c r="I195">
        <f t="shared" si="9"/>
        <v>54830</v>
      </c>
    </row>
    <row r="196" spans="1:9" x14ac:dyDescent="0.25">
      <c r="A196" s="1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>
        <f t="shared" ref="G196:G203" si="10">H195</f>
        <v>54830</v>
      </c>
      <c r="H196">
        <f t="shared" ref="H196:H203" si="11">G196-IF(D196="Z",E196*F196,E196*F196*(-1))</f>
        <v>58734</v>
      </c>
      <c r="I196" t="str">
        <f t="shared" si="9"/>
        <v/>
      </c>
    </row>
    <row r="197" spans="1:9" x14ac:dyDescent="0.25">
      <c r="A197" s="1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>
        <f t="shared" si="10"/>
        <v>58734</v>
      </c>
      <c r="H197">
        <f t="shared" si="11"/>
        <v>56025</v>
      </c>
      <c r="I197" t="str">
        <f t="shared" si="9"/>
        <v/>
      </c>
    </row>
    <row r="198" spans="1:9" x14ac:dyDescent="0.25">
      <c r="A198" s="1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>
        <f t="shared" si="10"/>
        <v>56025</v>
      </c>
      <c r="H198">
        <f t="shared" si="11"/>
        <v>55449</v>
      </c>
      <c r="I198">
        <f t="shared" si="9"/>
        <v>55449</v>
      </c>
    </row>
    <row r="199" spans="1:9" x14ac:dyDescent="0.25">
      <c r="A199" s="1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>
        <f t="shared" si="10"/>
        <v>55449</v>
      </c>
      <c r="H199">
        <f t="shared" si="11"/>
        <v>55697</v>
      </c>
      <c r="I199" t="str">
        <f t="shared" si="9"/>
        <v/>
      </c>
    </row>
    <row r="200" spans="1:9" x14ac:dyDescent="0.25">
      <c r="A200" s="1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>
        <f t="shared" si="10"/>
        <v>55697</v>
      </c>
      <c r="H200">
        <f t="shared" si="11"/>
        <v>55032</v>
      </c>
      <c r="I200" t="str">
        <f t="shared" si="9"/>
        <v/>
      </c>
    </row>
    <row r="201" spans="1:9" x14ac:dyDescent="0.25">
      <c r="A201" s="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>
        <f t="shared" si="10"/>
        <v>55032</v>
      </c>
      <c r="H201">
        <f t="shared" si="11"/>
        <v>54704</v>
      </c>
      <c r="I201" t="str">
        <f t="shared" si="9"/>
        <v/>
      </c>
    </row>
    <row r="202" spans="1:9" x14ac:dyDescent="0.25">
      <c r="A202" s="1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>
        <f t="shared" si="10"/>
        <v>54704</v>
      </c>
      <c r="H202">
        <f t="shared" si="11"/>
        <v>53301</v>
      </c>
      <c r="I202" t="str">
        <f t="shared" si="9"/>
        <v/>
      </c>
    </row>
    <row r="203" spans="1:9" x14ac:dyDescent="0.25">
      <c r="A203" s="1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>
        <f t="shared" si="10"/>
        <v>53301</v>
      </c>
      <c r="H203">
        <f t="shared" si="11"/>
        <v>52243</v>
      </c>
      <c r="I203">
        <f t="shared" si="9"/>
        <v>52243</v>
      </c>
    </row>
  </sheetData>
  <autoFilter ref="A1:H205" xr:uid="{97B0C242-E0DD-4AC1-AFDC-C9C05D629CFC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6</vt:i4>
      </vt:variant>
    </vt:vector>
  </HeadingPairs>
  <TitlesOfParts>
    <vt:vector size="12" baseType="lpstr">
      <vt:lpstr>Arkusz1</vt:lpstr>
      <vt:lpstr>6.1</vt:lpstr>
      <vt:lpstr>6.2</vt:lpstr>
      <vt:lpstr>6.3</vt:lpstr>
      <vt:lpstr>6.4</vt:lpstr>
      <vt:lpstr>6.5</vt:lpstr>
      <vt:lpstr>'6.1'!statek</vt:lpstr>
      <vt:lpstr>'6.2'!statek</vt:lpstr>
      <vt:lpstr>'6.3'!statek</vt:lpstr>
      <vt:lpstr>'6.4'!statek</vt:lpstr>
      <vt:lpstr>'6.5'!statek</vt:lpstr>
      <vt:lpstr>Arkusz1!statek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Bogumił Gąsowski</dc:creator>
  <cp:lastModifiedBy>Bogumił Gąsowski</cp:lastModifiedBy>
  <dcterms:created xsi:type="dcterms:W3CDTF">2026-09-14T11:54:16Z</dcterms:created>
  <dcterms:modified xsi:type="dcterms:W3CDTF">2026-09-14T15:30:05Z</dcterms:modified>
</cp:coreProperties>
</file>