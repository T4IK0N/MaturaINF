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queryTables/queryTable3.xml" ContentType="application/vnd.openxmlformats-officedocument.spreadsheetml.query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owanie\inf_matura\Maj2016\"/>
    </mc:Choice>
  </mc:AlternateContent>
  <xr:revisionPtr revIDLastSave="0" documentId="8_{1895D7CE-74BB-4E63-939F-965520C5FA89}" xr6:coauthVersionLast="47" xr6:coauthVersionMax="47" xr10:uidLastSave="{00000000-0000-0000-0000-000000000000}"/>
  <bookViews>
    <workbookView xWindow="-120" yWindow="-120" windowWidth="38640" windowHeight="21120" activeTab="3" xr2:uid="{C51774FD-0DDE-4DAD-8568-9F7E5C103757}"/>
  </bookViews>
  <sheets>
    <sheet name="4.1" sheetId="1" r:id="rId1"/>
    <sheet name="4.2" sheetId="3" r:id="rId2"/>
    <sheet name="4.3" sheetId="5" r:id="rId3"/>
    <sheet name="4.4" sheetId="6" r:id="rId4"/>
  </sheets>
  <definedNames>
    <definedName name="_xlnm._FilterDatabase" localSheetId="1" hidden="1">'4.2'!$A$1:$G$380</definedName>
    <definedName name="_xlnm._FilterDatabase" localSheetId="2" hidden="1">'4.3'!$A$1:$G$380</definedName>
    <definedName name="_xlnm._FilterDatabase" localSheetId="3" hidden="1">'4.4'!$A$1:$G$380</definedName>
    <definedName name="demografia_1" localSheetId="0">'4.1'!$A$1:$F$380</definedName>
    <definedName name="demografia_1" localSheetId="1">'4.2'!$A$1:$F$380</definedName>
    <definedName name="demografia_1" localSheetId="2">'4.3'!$A$1:$F$380</definedName>
    <definedName name="demografia_1" localSheetId="3">'4.4'!$A$1:$F$380</definedName>
  </definedNames>
  <calcPr calcId="191029"/>
  <pivotCaches>
    <pivotCache cacheId="13" r:id="rId5"/>
    <pivotCache cacheId="20" r:id="rId6"/>
    <pivotCache cacheId="3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48" i="6" l="1"/>
  <c r="G120" i="6"/>
  <c r="G224" i="6"/>
  <c r="G262" i="6"/>
  <c r="G46" i="6"/>
  <c r="G199" i="6"/>
  <c r="G26" i="6"/>
  <c r="G270" i="6"/>
  <c r="G271" i="6"/>
  <c r="G108" i="6"/>
  <c r="G327" i="6"/>
  <c r="G342" i="6"/>
  <c r="G214" i="6"/>
  <c r="G30" i="6"/>
  <c r="G226" i="6"/>
  <c r="G333" i="6"/>
  <c r="G52" i="6"/>
  <c r="G227" i="6"/>
  <c r="G49" i="6"/>
  <c r="G251" i="6"/>
  <c r="G356" i="6"/>
  <c r="G117" i="6"/>
  <c r="G229" i="6"/>
  <c r="G170" i="6"/>
  <c r="G217" i="6"/>
  <c r="G260" i="6"/>
  <c r="G41" i="6"/>
  <c r="G69" i="6"/>
  <c r="G360" i="6"/>
  <c r="G7" i="6"/>
  <c r="G13" i="6"/>
  <c r="G61" i="6"/>
  <c r="G290" i="6"/>
  <c r="G310" i="6"/>
  <c r="G111" i="6"/>
  <c r="G180" i="6"/>
  <c r="G338" i="6"/>
  <c r="G223" i="6"/>
  <c r="G306" i="6"/>
  <c r="G44" i="6"/>
  <c r="G363" i="6"/>
  <c r="G261" i="6"/>
  <c r="G358" i="6"/>
  <c r="G25" i="6"/>
  <c r="G136" i="6"/>
  <c r="G16" i="6"/>
  <c r="G39" i="6"/>
  <c r="G359" i="6"/>
  <c r="G373" i="6"/>
  <c r="G19" i="6"/>
  <c r="G162" i="6"/>
  <c r="G59" i="6"/>
  <c r="G114" i="6"/>
  <c r="G282" i="6"/>
  <c r="G23" i="6"/>
  <c r="G35" i="6"/>
  <c r="G37" i="6"/>
  <c r="G51" i="6"/>
  <c r="G186" i="6"/>
  <c r="G167" i="6"/>
  <c r="G55" i="6"/>
  <c r="G336" i="6"/>
  <c r="G164" i="6"/>
  <c r="G109" i="6"/>
  <c r="G375" i="6"/>
  <c r="G255" i="6"/>
  <c r="G168" i="6"/>
  <c r="G300" i="6"/>
  <c r="G197" i="6"/>
  <c r="G11" i="6"/>
  <c r="G57" i="6"/>
  <c r="G106" i="6"/>
  <c r="G178" i="6"/>
  <c r="G203" i="6"/>
  <c r="G205" i="6"/>
  <c r="G207" i="6"/>
  <c r="G20" i="6"/>
  <c r="G298" i="6"/>
  <c r="G304" i="6"/>
  <c r="G231" i="6"/>
  <c r="G137" i="6"/>
  <c r="G151" i="6"/>
  <c r="G72" i="6"/>
  <c r="G132" i="6"/>
  <c r="G193" i="6"/>
  <c r="G317" i="6"/>
  <c r="G331" i="6"/>
  <c r="G14" i="6"/>
  <c r="G235" i="6"/>
  <c r="G243" i="6"/>
  <c r="G252" i="6"/>
  <c r="G341" i="6"/>
  <c r="G64" i="6"/>
  <c r="G113" i="6"/>
  <c r="G179" i="6"/>
  <c r="G221" i="6"/>
  <c r="G6" i="6"/>
  <c r="G27" i="6"/>
  <c r="G182" i="6"/>
  <c r="G324" i="6"/>
  <c r="G326" i="6"/>
  <c r="G340" i="6"/>
  <c r="G95" i="6"/>
  <c r="G134" i="6"/>
  <c r="G212" i="6"/>
  <c r="G45" i="6"/>
  <c r="G206" i="6"/>
  <c r="G230" i="6"/>
  <c r="G323" i="6"/>
  <c r="G339" i="6"/>
  <c r="G121" i="6"/>
  <c r="G349" i="6"/>
  <c r="G53" i="6"/>
  <c r="G98" i="6"/>
  <c r="G116" i="6"/>
  <c r="G208" i="6"/>
  <c r="G241" i="6"/>
  <c r="G276" i="6"/>
  <c r="G54" i="6"/>
  <c r="G65" i="6"/>
  <c r="G313" i="6"/>
  <c r="G321" i="6"/>
  <c r="G29" i="6"/>
  <c r="G84" i="6"/>
  <c r="G86" i="6"/>
  <c r="G118" i="6"/>
  <c r="G157" i="6"/>
  <c r="G240" i="6"/>
  <c r="G92" i="6"/>
  <c r="G104" i="6"/>
  <c r="G201" i="6"/>
  <c r="G204" i="6"/>
  <c r="G219" i="6"/>
  <c r="G245" i="6"/>
  <c r="G96" i="6"/>
  <c r="G149" i="6"/>
  <c r="G274" i="6"/>
  <c r="G299" i="6"/>
  <c r="G309" i="6"/>
  <c r="G40" i="6"/>
  <c r="G62" i="6"/>
  <c r="G66" i="6"/>
  <c r="G218" i="6"/>
  <c r="G322" i="6"/>
  <c r="G43" i="6"/>
  <c r="G100" i="6"/>
  <c r="G222" i="6"/>
  <c r="G256" i="6"/>
  <c r="G265" i="6"/>
  <c r="G286" i="6"/>
  <c r="G376" i="6"/>
  <c r="G192" i="6"/>
  <c r="G280" i="6"/>
  <c r="G344" i="6"/>
  <c r="G225" i="6"/>
  <c r="G283" i="6"/>
  <c r="G355" i="6"/>
  <c r="G8" i="6"/>
  <c r="G18" i="6"/>
  <c r="G31" i="6"/>
  <c r="G47" i="6"/>
  <c r="G90" i="6"/>
  <c r="G173" i="6"/>
  <c r="G233" i="6"/>
  <c r="G247" i="6"/>
  <c r="G288" i="6"/>
  <c r="G337" i="6"/>
  <c r="G165" i="6"/>
  <c r="G366" i="6"/>
  <c r="G73" i="6"/>
  <c r="G332" i="6"/>
  <c r="G345" i="6"/>
  <c r="G78" i="6"/>
  <c r="G146" i="6"/>
  <c r="G174" i="6"/>
  <c r="G246" i="6"/>
  <c r="G190" i="6"/>
  <c r="G17" i="6"/>
  <c r="G156" i="6"/>
  <c r="G21" i="6"/>
  <c r="G91" i="6"/>
  <c r="G115" i="6"/>
  <c r="G119" i="6"/>
  <c r="G267" i="6"/>
  <c r="G301" i="6"/>
  <c r="G351" i="6"/>
  <c r="G34" i="6"/>
  <c r="G38" i="6"/>
  <c r="G60" i="6"/>
  <c r="G63" i="6"/>
  <c r="G123" i="6"/>
  <c r="G141" i="6"/>
  <c r="G215" i="6"/>
  <c r="G365" i="6"/>
  <c r="G198" i="6"/>
  <c r="G268" i="6"/>
  <c r="G305" i="6"/>
  <c r="G316" i="6"/>
  <c r="G368" i="6"/>
  <c r="G93" i="6"/>
  <c r="G159" i="6"/>
  <c r="G237" i="6"/>
  <c r="G361" i="6"/>
  <c r="G138" i="6"/>
  <c r="G145" i="6"/>
  <c r="G176" i="6"/>
  <c r="G328" i="6"/>
  <c r="G379" i="6"/>
  <c r="G160" i="6"/>
  <c r="G279" i="6"/>
  <c r="G128" i="6"/>
  <c r="G169" i="6"/>
  <c r="G307" i="6"/>
  <c r="G58" i="6"/>
  <c r="G74" i="6"/>
  <c r="G4" i="6"/>
  <c r="G70" i="6"/>
  <c r="G297" i="6"/>
  <c r="G315" i="6"/>
  <c r="G325" i="6"/>
  <c r="G105" i="6"/>
  <c r="G150" i="6"/>
  <c r="G158" i="6"/>
  <c r="G191" i="6"/>
  <c r="G200" i="6"/>
  <c r="G210" i="6"/>
  <c r="G234" i="6"/>
  <c r="G147" i="6"/>
  <c r="G166" i="6"/>
  <c r="G213" i="6"/>
  <c r="G285" i="6"/>
  <c r="G357" i="6"/>
  <c r="G346" i="6"/>
  <c r="G175" i="6"/>
  <c r="G196" i="6"/>
  <c r="G48" i="6"/>
  <c r="G101" i="6"/>
  <c r="G257" i="6"/>
  <c r="G311" i="6"/>
  <c r="G33" i="6"/>
  <c r="G80" i="6"/>
  <c r="G125" i="6"/>
  <c r="G319" i="6"/>
  <c r="G380" i="6"/>
  <c r="G2" i="6"/>
  <c r="G131" i="6"/>
  <c r="G258" i="6"/>
  <c r="G273" i="6"/>
  <c r="G329" i="6"/>
  <c r="G3" i="6"/>
  <c r="G209" i="6"/>
  <c r="G318" i="6"/>
  <c r="G281" i="6"/>
  <c r="G350" i="6"/>
  <c r="G133" i="6"/>
  <c r="G148" i="6"/>
  <c r="G238" i="6"/>
  <c r="G330" i="6"/>
  <c r="G99" i="6"/>
  <c r="G312" i="6"/>
  <c r="G377" i="6"/>
  <c r="G56" i="6"/>
  <c r="G124" i="6"/>
  <c r="G266" i="6"/>
  <c r="G284" i="6"/>
  <c r="G320" i="6"/>
  <c r="G370" i="6"/>
  <c r="G85" i="6"/>
  <c r="G139" i="6"/>
  <c r="G152" i="6"/>
  <c r="G172" i="6"/>
  <c r="G177" i="6"/>
  <c r="G220" i="6"/>
  <c r="G228" i="6"/>
  <c r="G15" i="6"/>
  <c r="G188" i="6"/>
  <c r="G244" i="6"/>
  <c r="G275" i="6"/>
  <c r="G278" i="6"/>
  <c r="G161" i="6"/>
  <c r="G183" i="6"/>
  <c r="G32" i="6"/>
  <c r="G194" i="6"/>
  <c r="G195" i="6"/>
  <c r="G250" i="6"/>
  <c r="G263" i="6"/>
  <c r="G79" i="6"/>
  <c r="G308" i="6"/>
  <c r="G378" i="6"/>
  <c r="G89" i="6"/>
  <c r="G130" i="6"/>
  <c r="G232" i="6"/>
  <c r="G291" i="6"/>
  <c r="G87" i="6"/>
  <c r="G171" i="6"/>
  <c r="G293" i="6"/>
  <c r="G364" i="6"/>
  <c r="G372" i="6"/>
  <c r="G9" i="6"/>
  <c r="G140" i="6"/>
  <c r="G254" i="6"/>
  <c r="G352" i="6"/>
  <c r="G10" i="6"/>
  <c r="G76" i="6"/>
  <c r="G143" i="6"/>
  <c r="G334" i="6"/>
  <c r="G102" i="6"/>
  <c r="G189" i="6"/>
  <c r="G289" i="6"/>
  <c r="G272" i="6"/>
  <c r="G314" i="6"/>
  <c r="G127" i="6"/>
  <c r="G242" i="6"/>
  <c r="G362" i="6"/>
  <c r="G374" i="6"/>
  <c r="G28" i="6"/>
  <c r="G144" i="6"/>
  <c r="G269" i="6"/>
  <c r="G347" i="6"/>
  <c r="G371" i="6"/>
  <c r="G187" i="6"/>
  <c r="G129" i="6"/>
  <c r="G154" i="6"/>
  <c r="G294" i="6"/>
  <c r="G353" i="6"/>
  <c r="G75" i="6"/>
  <c r="G110" i="6"/>
  <c r="G335" i="6"/>
  <c r="G264" i="6"/>
  <c r="G83" i="6"/>
  <c r="G239" i="6"/>
  <c r="G295" i="6"/>
  <c r="G94" i="6"/>
  <c r="G287" i="6"/>
  <c r="G88" i="6"/>
  <c r="G142" i="6"/>
  <c r="G155" i="6"/>
  <c r="G216" i="6"/>
  <c r="G36" i="6"/>
  <c r="G50" i="6"/>
  <c r="G296" i="6"/>
  <c r="G22" i="6"/>
  <c r="G24" i="6"/>
  <c r="G68" i="6"/>
  <c r="G181" i="6"/>
  <c r="G277" i="6"/>
  <c r="G112" i="6"/>
  <c r="G71" i="6"/>
  <c r="G354" i="6"/>
  <c r="G185" i="6"/>
  <c r="G77" i="6"/>
  <c r="G135" i="6"/>
  <c r="G12" i="6"/>
  <c r="G302" i="6"/>
  <c r="G303" i="6"/>
  <c r="G126" i="6"/>
  <c r="G248" i="6"/>
  <c r="G249" i="6"/>
  <c r="G369" i="6"/>
  <c r="G367" i="6"/>
  <c r="G5" i="6"/>
  <c r="G153" i="6"/>
  <c r="G343" i="6"/>
  <c r="G42" i="6"/>
  <c r="G107" i="6"/>
  <c r="G236" i="6"/>
  <c r="G292" i="6"/>
  <c r="G259" i="6"/>
  <c r="G211" i="6"/>
  <c r="G82" i="6"/>
  <c r="G202" i="6"/>
  <c r="G253" i="6"/>
  <c r="G103" i="6"/>
  <c r="G122" i="6"/>
  <c r="G163" i="6"/>
  <c r="G184" i="6"/>
  <c r="G67" i="6"/>
  <c r="G97" i="6"/>
  <c r="G81" i="6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G253" i="3"/>
  <c r="G219" i="3"/>
  <c r="G364" i="3"/>
  <c r="G100" i="3"/>
  <c r="G33" i="3"/>
  <c r="G161" i="3"/>
  <c r="G302" i="3"/>
  <c r="G306" i="3"/>
  <c r="G356" i="3"/>
  <c r="G73" i="3"/>
  <c r="G34" i="3"/>
  <c r="G91" i="3"/>
  <c r="G278" i="3"/>
  <c r="G49" i="3"/>
  <c r="G181" i="3"/>
  <c r="G162" i="3"/>
  <c r="G53" i="3"/>
  <c r="G80" i="3"/>
  <c r="G183" i="3"/>
  <c r="G345" i="3"/>
  <c r="G58" i="3"/>
  <c r="G346" i="3"/>
  <c r="G47" i="3"/>
  <c r="G10" i="3"/>
  <c r="G101" i="3"/>
  <c r="G319" i="3"/>
  <c r="G126" i="3"/>
  <c r="G17" i="3"/>
  <c r="G163" i="3"/>
  <c r="G285" i="3"/>
  <c r="G243" i="3"/>
  <c r="G190" i="3"/>
  <c r="G59" i="3"/>
  <c r="G342" i="3"/>
  <c r="G60" i="3"/>
  <c r="G191" i="3"/>
  <c r="G50" i="3"/>
  <c r="G143" i="3"/>
  <c r="G30" i="3"/>
  <c r="G367" i="3"/>
  <c r="G148" i="3"/>
  <c r="G43" i="3"/>
  <c r="G109" i="3"/>
  <c r="G8" i="3"/>
  <c r="G164" i="3"/>
  <c r="G239" i="3"/>
  <c r="G22" i="3"/>
  <c r="G343" i="3"/>
  <c r="G61" i="3"/>
  <c r="G20" i="3"/>
  <c r="G116" i="3"/>
  <c r="G122" i="3"/>
  <c r="G64" i="3"/>
  <c r="G265" i="3"/>
  <c r="G74" i="3"/>
  <c r="G217" i="3"/>
  <c r="G55" i="3"/>
  <c r="G192" i="3"/>
  <c r="G144" i="3"/>
  <c r="G35" i="3"/>
  <c r="G193" i="3"/>
  <c r="G96" i="3"/>
  <c r="G123" i="3"/>
  <c r="G145" i="3"/>
  <c r="G380" i="3"/>
  <c r="G347" i="3"/>
  <c r="G31" i="3"/>
  <c r="G220" i="3"/>
  <c r="G351" i="3"/>
  <c r="G86" i="3"/>
  <c r="G173" i="3"/>
  <c r="G218" i="3"/>
  <c r="G329" i="3"/>
  <c r="G307" i="3"/>
  <c r="G354" i="3"/>
  <c r="G176" i="3"/>
  <c r="G290" i="3"/>
  <c r="G244" i="3"/>
  <c r="G2" i="3"/>
  <c r="G373" i="3"/>
  <c r="G333" i="3"/>
  <c r="G127" i="3"/>
  <c r="G271" i="3"/>
  <c r="G128" i="3"/>
  <c r="G297" i="3"/>
  <c r="G338" i="3"/>
  <c r="G293" i="3"/>
  <c r="G165" i="3"/>
  <c r="G184" i="3"/>
  <c r="G132" i="3"/>
  <c r="G203" i="3"/>
  <c r="G336" i="3"/>
  <c r="G106" i="3"/>
  <c r="G138" i="3"/>
  <c r="G3" i="3"/>
  <c r="G117" i="3"/>
  <c r="G262" i="3"/>
  <c r="G149" i="3"/>
  <c r="G240" i="3"/>
  <c r="G310" i="3"/>
  <c r="G376" i="3"/>
  <c r="G224" i="3"/>
  <c r="G133" i="3"/>
  <c r="G75" i="3"/>
  <c r="G368" i="3"/>
  <c r="G13" i="3"/>
  <c r="G67" i="3"/>
  <c r="G330" i="3"/>
  <c r="G38" i="3"/>
  <c r="G350" i="3"/>
  <c r="G97" i="3"/>
  <c r="G56" i="3"/>
  <c r="G185" i="3"/>
  <c r="G118" i="3"/>
  <c r="G25" i="3"/>
  <c r="G129" i="3"/>
  <c r="G186" i="3"/>
  <c r="G5" i="3"/>
  <c r="G114" i="3"/>
  <c r="G377" i="3"/>
  <c r="G194" i="3"/>
  <c r="G266" i="3"/>
  <c r="G245" i="3"/>
  <c r="G359" i="3"/>
  <c r="G315" i="3"/>
  <c r="G214" i="3"/>
  <c r="G325" i="3"/>
  <c r="G294" i="3"/>
  <c r="G249" i="3"/>
  <c r="G87" i="3"/>
  <c r="G258" i="3"/>
  <c r="G107" i="3"/>
  <c r="G355" i="3"/>
  <c r="G48" i="3"/>
  <c r="G84" i="3"/>
  <c r="G207" i="3"/>
  <c r="G272" i="3"/>
  <c r="G303" i="3"/>
  <c r="G195" i="3"/>
  <c r="G339" i="3"/>
  <c r="G308" i="3"/>
  <c r="G320" i="3"/>
  <c r="G208" i="3"/>
  <c r="G177" i="3"/>
  <c r="G231" i="3"/>
  <c r="G259" i="3"/>
  <c r="G139" i="3"/>
  <c r="G225" i="3"/>
  <c r="G85" i="3"/>
  <c r="G273" i="3"/>
  <c r="G365" i="3"/>
  <c r="G326" i="3"/>
  <c r="G340" i="3"/>
  <c r="G182" i="3"/>
  <c r="G130" i="3"/>
  <c r="G226" i="3"/>
  <c r="G204" i="3"/>
  <c r="G212" i="3"/>
  <c r="G283" i="3"/>
  <c r="G54" i="3"/>
  <c r="G378" i="3"/>
  <c r="G66" i="3"/>
  <c r="G171" i="3"/>
  <c r="G232" i="3"/>
  <c r="G63" i="3"/>
  <c r="G70" i="3"/>
  <c r="G215" i="3"/>
  <c r="G27" i="3"/>
  <c r="G298" i="3"/>
  <c r="G274" i="3"/>
  <c r="G166" i="3"/>
  <c r="G178" i="3"/>
  <c r="G237" i="3"/>
  <c r="G209" i="3"/>
  <c r="G275" i="3"/>
  <c r="G76" i="3"/>
  <c r="G98" i="3"/>
  <c r="G39" i="3"/>
  <c r="G348" i="3"/>
  <c r="G102" i="3"/>
  <c r="G284" i="3"/>
  <c r="G379" i="3"/>
  <c r="G353" i="3"/>
  <c r="G62" i="3"/>
  <c r="G324" i="3"/>
  <c r="G279" i="3"/>
  <c r="G311" i="3"/>
  <c r="G180" i="3"/>
  <c r="G227" i="3"/>
  <c r="G155" i="3"/>
  <c r="G88" i="3"/>
  <c r="G286" i="3"/>
  <c r="G287" i="3"/>
  <c r="G238" i="3"/>
  <c r="G72" i="3"/>
  <c r="G198" i="3"/>
  <c r="G9" i="3"/>
  <c r="G228" i="3"/>
  <c r="G134" i="3"/>
  <c r="G374" i="3"/>
  <c r="G77" i="3"/>
  <c r="G135" i="3"/>
  <c r="G78" i="3"/>
  <c r="G110" i="3"/>
  <c r="G79" i="3"/>
  <c r="G119" i="3"/>
  <c r="G254" i="3"/>
  <c r="G229" i="3"/>
  <c r="G372" i="3"/>
  <c r="G108" i="3"/>
  <c r="G233" i="3"/>
  <c r="G16" i="3"/>
  <c r="G196" i="3"/>
  <c r="G341" i="3"/>
  <c r="G28" i="3"/>
  <c r="G146" i="3"/>
  <c r="G136" i="3"/>
  <c r="G276" i="3"/>
  <c r="G150" i="3"/>
  <c r="G99" i="3"/>
  <c r="G41" i="3"/>
  <c r="G6" i="3"/>
  <c r="G158" i="3"/>
  <c r="G18" i="3"/>
  <c r="G21" i="3"/>
  <c r="G277" i="3"/>
  <c r="G26" i="3"/>
  <c r="G111" i="3"/>
  <c r="G83" i="3"/>
  <c r="G295" i="3"/>
  <c r="G167" i="3"/>
  <c r="G230" i="3"/>
  <c r="G92" i="3"/>
  <c r="G369" i="3"/>
  <c r="G205" i="3"/>
  <c r="G334" i="3"/>
  <c r="G260" i="3"/>
  <c r="G131" i="3"/>
  <c r="G120" i="3"/>
  <c r="G316" i="3"/>
  <c r="G280" i="3"/>
  <c r="G93" i="3"/>
  <c r="G137" i="3"/>
  <c r="G179" i="3"/>
  <c r="G168" i="3"/>
  <c r="G360" i="3"/>
  <c r="G361" i="3"/>
  <c r="G288" i="3"/>
  <c r="G23" i="3"/>
  <c r="G94" i="3"/>
  <c r="G375" i="3"/>
  <c r="G304" i="3"/>
  <c r="G69" i="3"/>
  <c r="G151" i="3"/>
  <c r="G241" i="3"/>
  <c r="G250" i="3"/>
  <c r="G371" i="3"/>
  <c r="G29" i="3"/>
  <c r="G45" i="3"/>
  <c r="G7" i="3"/>
  <c r="G289" i="3"/>
  <c r="G332" i="3"/>
  <c r="G152" i="3"/>
  <c r="G267" i="3"/>
  <c r="G187" i="3"/>
  <c r="G199" i="3"/>
  <c r="G321" i="3"/>
  <c r="G11" i="3"/>
  <c r="G12" i="3"/>
  <c r="G313" i="3"/>
  <c r="G251" i="3"/>
  <c r="G140" i="3"/>
  <c r="G281" i="3"/>
  <c r="G121" i="3"/>
  <c r="G349" i="3"/>
  <c r="G282" i="3"/>
  <c r="G213" i="3"/>
  <c r="G156" i="3"/>
  <c r="G256" i="3"/>
  <c r="G57" i="3"/>
  <c r="G159" i="3"/>
  <c r="G268" i="3"/>
  <c r="G234" i="3"/>
  <c r="G153" i="3"/>
  <c r="G337" i="3"/>
  <c r="G169" i="3"/>
  <c r="G312" i="3"/>
  <c r="G36" i="3"/>
  <c r="G296" i="3"/>
  <c r="G370" i="3"/>
  <c r="G299" i="3"/>
  <c r="G327" i="3"/>
  <c r="G335" i="3"/>
  <c r="G344" i="3"/>
  <c r="G221" i="3"/>
  <c r="G81" i="3"/>
  <c r="G141" i="3"/>
  <c r="G71" i="3"/>
  <c r="G188" i="3"/>
  <c r="G357" i="3"/>
  <c r="G358" i="3"/>
  <c r="G200" i="3"/>
  <c r="G82" i="3"/>
  <c r="G42" i="3"/>
  <c r="G216" i="3"/>
  <c r="G291" i="3"/>
  <c r="G142" i="3"/>
  <c r="G37" i="3"/>
  <c r="G242" i="3"/>
  <c r="G263" i="3"/>
  <c r="G124" i="3"/>
  <c r="G314" i="3"/>
  <c r="G222" i="3"/>
  <c r="G201" i="3"/>
  <c r="G89" i="3"/>
  <c r="G255" i="3"/>
  <c r="G246" i="3"/>
  <c r="G269" i="3"/>
  <c r="G125" i="3"/>
  <c r="G147" i="3"/>
  <c r="G112" i="3"/>
  <c r="G103" i="3"/>
  <c r="G223" i="3"/>
  <c r="G104" i="3"/>
  <c r="G14" i="3"/>
  <c r="G210" i="3"/>
  <c r="G252" i="3"/>
  <c r="G261" i="3"/>
  <c r="G90" i="3"/>
  <c r="G174" i="3"/>
  <c r="G19" i="3"/>
  <c r="G309" i="3"/>
  <c r="G331" i="3"/>
  <c r="G65" i="3"/>
  <c r="G170" i="3"/>
  <c r="G40" i="3"/>
  <c r="G113" i="3"/>
  <c r="G105" i="3"/>
  <c r="G95" i="3"/>
  <c r="G15" i="3"/>
  <c r="G366" i="3"/>
  <c r="G157" i="3"/>
  <c r="G175" i="3"/>
  <c r="G236" i="3"/>
  <c r="G322" i="3"/>
  <c r="G4" i="3"/>
  <c r="G115" i="3"/>
  <c r="G257" i="3"/>
  <c r="G189" i="3"/>
  <c r="G305" i="3"/>
  <c r="G328" i="3"/>
  <c r="G352" i="3"/>
  <c r="G160" i="3"/>
  <c r="G24" i="3"/>
  <c r="G235" i="3"/>
  <c r="G46" i="3"/>
  <c r="G51" i="3"/>
  <c r="G32" i="3"/>
  <c r="G206" i="3"/>
  <c r="G317" i="3"/>
  <c r="G44" i="3"/>
  <c r="G300" i="3"/>
  <c r="G197" i="3"/>
  <c r="G172" i="3"/>
  <c r="G363" i="3"/>
  <c r="G202" i="3"/>
  <c r="G362" i="3"/>
  <c r="G270" i="3"/>
  <c r="G323" i="3"/>
  <c r="G301" i="3"/>
  <c r="G52" i="3"/>
  <c r="G318" i="3"/>
  <c r="G68" i="3"/>
  <c r="G154" i="3"/>
  <c r="G264" i="3"/>
  <c r="G292" i="3"/>
  <c r="G211" i="3"/>
  <c r="G247" i="3"/>
  <c r="G248" i="3"/>
  <c r="G38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9501A7-BFA7-491C-A61C-CA5928DB2C24}" name="demografia" type="6" refreshedVersion="8" background="1" saveData="1">
    <textPr codePage="1250" sourceFile="D:\Programowanie\inf_matura\Maj2016\INFORMATYKA DANE Maj 2016 poziom podstawowy\demografia.txt" decimal="," thousands=".">
      <textFields count="6">
        <textField/>
        <textField/>
        <textField/>
        <textField/>
        <textField/>
        <textField/>
      </textFields>
    </textPr>
  </connection>
  <connection id="2" xr16:uid="{776F197F-9D33-48BE-988B-A48297902FBF}" name="demografia1" type="6" refreshedVersion="8" background="1" saveData="1">
    <textPr codePage="1250" sourceFile="D:\Programowanie\inf_matura\Maj2016\INFORMATYKA DANE Maj 2016 poziom podstawowy\demografia.txt" decimal="," thousands=".">
      <textFields count="6">
        <textField/>
        <textField/>
        <textField/>
        <textField/>
        <textField/>
        <textField/>
      </textFields>
    </textPr>
  </connection>
  <connection id="3" xr16:uid="{502A15A2-DF16-4D13-BBDC-A84E94E185D6}" name="demografia11" type="6" refreshedVersion="8" background="1" saveData="1">
    <textPr codePage="1250" sourceFile="D:\Programowanie\inf_matura\Maj2016\INFORMATYKA DANE Maj 2016 poziom podstawowy\demografia.txt" decimal="," thousands=".">
      <textFields count="6">
        <textField/>
        <textField/>
        <textField/>
        <textField/>
        <textField/>
        <textField/>
      </textFields>
    </textPr>
  </connection>
  <connection id="4" xr16:uid="{C566C2E2-AB23-4182-84FB-7B731DDFBF95}" name="demografia111" type="6" refreshedVersion="8" background="1" saveData="1">
    <textPr codePage="1250" sourceFile="D:\Programowanie\inf_matura\Maj2016\INFORMATYKA DANE Maj 2016 poziom podstawowy\demografia.txt" decimal="," thousands=".">
      <textFields count="6">
        <textField/>
        <textField/>
        <textField/>
        <textField/>
        <textField/>
        <textField/>
      </textFields>
    </textPr>
  </connection>
  <connection id="5" xr16:uid="{CF4044A6-1056-4EB8-9D9C-B7905B379992}" keepAlive="1" name="Zapytanie — demografia" description="Połączenie z zapytaniem „demografia” w skoroszycie." type="5" refreshedVersion="0" background="1">
    <dbPr connection="Provider=Microsoft.Mashup.OleDb.1;Data Source=$Workbook$;Location=demografia;Extended Properties=&quot;&quot;" command="SELECT * FROM [demografia]"/>
  </connection>
</connections>
</file>

<file path=xl/sharedStrings.xml><?xml version="1.0" encoding="utf-8"?>
<sst xmlns="http://schemas.openxmlformats.org/spreadsheetml/2006/main" count="3142" uniqueCount="400">
  <si>
    <t>powiat</t>
  </si>
  <si>
    <t>wojewodztwo</t>
  </si>
  <si>
    <t>ludnosc_ogolem</t>
  </si>
  <si>
    <t>wsp_urodzen</t>
  </si>
  <si>
    <t>wsp_zgonow</t>
  </si>
  <si>
    <t>saldo_migracji</t>
  </si>
  <si>
    <t>aleksandrowski</t>
  </si>
  <si>
    <t>kujawsko-pomorskie</t>
  </si>
  <si>
    <t>augustowski</t>
  </si>
  <si>
    <t>podlaskie</t>
  </si>
  <si>
    <t>bartoszycki</t>
  </si>
  <si>
    <t>warminsko-mazurskie</t>
  </si>
  <si>
    <t>bedzinski</t>
  </si>
  <si>
    <t>slaskie</t>
  </si>
  <si>
    <t>belchatowski</t>
  </si>
  <si>
    <t>lodzkie</t>
  </si>
  <si>
    <t>bialobrzeski</t>
  </si>
  <si>
    <t>mazowieckie</t>
  </si>
  <si>
    <t>bialogardzki</t>
  </si>
  <si>
    <t>zachodniopomorskie</t>
  </si>
  <si>
    <t>bialostocki</t>
  </si>
  <si>
    <t>bialski</t>
  </si>
  <si>
    <t>lubelskie</t>
  </si>
  <si>
    <t>bielski</t>
  </si>
  <si>
    <t>bierunsko-ledzinski</t>
  </si>
  <si>
    <t>bieszczadzki</t>
  </si>
  <si>
    <t>podkarpackie</t>
  </si>
  <si>
    <t>bilgorajski</t>
  </si>
  <si>
    <t>bochenski</t>
  </si>
  <si>
    <t>malopolskie</t>
  </si>
  <si>
    <t>boleslawiecki</t>
  </si>
  <si>
    <t>dolnoslaskie</t>
  </si>
  <si>
    <t>braniewski</t>
  </si>
  <si>
    <t>brodnicki</t>
  </si>
  <si>
    <t>brzeski</t>
  </si>
  <si>
    <t>opolskie</t>
  </si>
  <si>
    <t>brzezinski</t>
  </si>
  <si>
    <t>brzozowski</t>
  </si>
  <si>
    <t>buski</t>
  </si>
  <si>
    <t>swietokrzyskie</t>
  </si>
  <si>
    <t>bydgoski</t>
  </si>
  <si>
    <t>bytowski</t>
  </si>
  <si>
    <t>pomorskie</t>
  </si>
  <si>
    <t>chelminski</t>
  </si>
  <si>
    <t>chelmski</t>
  </si>
  <si>
    <t>chodzieski</t>
  </si>
  <si>
    <t>wielkopolskie</t>
  </si>
  <si>
    <t>chojnicki</t>
  </si>
  <si>
    <t>choszczenski</t>
  </si>
  <si>
    <t>chrzanowski</t>
  </si>
  <si>
    <t>ciechanowski</t>
  </si>
  <si>
    <t>cieszynski</t>
  </si>
  <si>
    <t>czarnkowsko-trzcianecki</t>
  </si>
  <si>
    <t>czestochowski</t>
  </si>
  <si>
    <t>czluchowski</t>
  </si>
  <si>
    <t>dabrowski</t>
  </si>
  <si>
    <t>debicki</t>
  </si>
  <si>
    <t>drawski</t>
  </si>
  <si>
    <t>dzialdowski</t>
  </si>
  <si>
    <t>dzierzoniowski</t>
  </si>
  <si>
    <t>elblaski</t>
  </si>
  <si>
    <t>elcki</t>
  </si>
  <si>
    <t>garwolinski</t>
  </si>
  <si>
    <t>gdanski</t>
  </si>
  <si>
    <t>gizycki</t>
  </si>
  <si>
    <t>gliwicki</t>
  </si>
  <si>
    <t>glogowski</t>
  </si>
  <si>
    <t>glubczycki</t>
  </si>
  <si>
    <t>gnieznienski</t>
  </si>
  <si>
    <t>goldapski</t>
  </si>
  <si>
    <t>goleniowski</t>
  </si>
  <si>
    <t>golubsko-dobrzynski</t>
  </si>
  <si>
    <t>gorlicki</t>
  </si>
  <si>
    <t>gorowski</t>
  </si>
  <si>
    <t>gorzowski</t>
  </si>
  <si>
    <t>lubuskie</t>
  </si>
  <si>
    <t>gostyninski</t>
  </si>
  <si>
    <t>gostynski</t>
  </si>
  <si>
    <t>grajewski</t>
  </si>
  <si>
    <t>grodziski</t>
  </si>
  <si>
    <t>grojecki</t>
  </si>
  <si>
    <t>grudziadzki</t>
  </si>
  <si>
    <t>gryficki</t>
  </si>
  <si>
    <t>gryfinski</t>
  </si>
  <si>
    <t>hajnowski</t>
  </si>
  <si>
    <t>hrubieszowski</t>
  </si>
  <si>
    <t>ilawski</t>
  </si>
  <si>
    <t>inowroclawski</t>
  </si>
  <si>
    <t>janowski</t>
  </si>
  <si>
    <t>jarocinski</t>
  </si>
  <si>
    <t>jaroslawski</t>
  </si>
  <si>
    <t>jasielski</t>
  </si>
  <si>
    <t>jaworski</t>
  </si>
  <si>
    <t>jedrzejowski</t>
  </si>
  <si>
    <t>jeleniogorski</t>
  </si>
  <si>
    <t>kaliski</t>
  </si>
  <si>
    <t>kamiennogorski</t>
  </si>
  <si>
    <t>kamienski</t>
  </si>
  <si>
    <t>kartuski</t>
  </si>
  <si>
    <t>kazimierski</t>
  </si>
  <si>
    <t>kedzierzynsko-kozielski</t>
  </si>
  <si>
    <t>kepinski</t>
  </si>
  <si>
    <t>ketrzynski</t>
  </si>
  <si>
    <t>kielecki</t>
  </si>
  <si>
    <t>klobucki</t>
  </si>
  <si>
    <t>klodzki</t>
  </si>
  <si>
    <t>kluczborski</t>
  </si>
  <si>
    <t>kolbuszowski</t>
  </si>
  <si>
    <t>kolnenski</t>
  </si>
  <si>
    <t>kolobrzeski</t>
  </si>
  <si>
    <t>kolski</t>
  </si>
  <si>
    <t>konecki</t>
  </si>
  <si>
    <t>koninski</t>
  </si>
  <si>
    <t>koscianski</t>
  </si>
  <si>
    <t>koscierski</t>
  </si>
  <si>
    <t>koszalinski</t>
  </si>
  <si>
    <t>kozienicki</t>
  </si>
  <si>
    <t>krakowski</t>
  </si>
  <si>
    <t>krapkowicki</t>
  </si>
  <si>
    <t>krasnicki</t>
  </si>
  <si>
    <t>krasnostawski</t>
  </si>
  <si>
    <t>krosnienski</t>
  </si>
  <si>
    <t>krotoszynski</t>
  </si>
  <si>
    <t>kutnowski</t>
  </si>
  <si>
    <t>kwidzynski</t>
  </si>
  <si>
    <t>lancucki</t>
  </si>
  <si>
    <t>laski</t>
  </si>
  <si>
    <t>leborski</t>
  </si>
  <si>
    <t>leczycki</t>
  </si>
  <si>
    <t>leczynski</t>
  </si>
  <si>
    <t>legionowski</t>
  </si>
  <si>
    <t>legnicki</t>
  </si>
  <si>
    <t>leski</t>
  </si>
  <si>
    <t>leszczynski</t>
  </si>
  <si>
    <t>lezajski</t>
  </si>
  <si>
    <t>lidzbarski</t>
  </si>
  <si>
    <t>limanowski</t>
  </si>
  <si>
    <t>lipnowski</t>
  </si>
  <si>
    <t>lipski</t>
  </si>
  <si>
    <t>lobeski</t>
  </si>
  <si>
    <t>lodzki wschodni</t>
  </si>
  <si>
    <t>lomzynski</t>
  </si>
  <si>
    <t>losicki</t>
  </si>
  <si>
    <t>lowicki</t>
  </si>
  <si>
    <t>lubaczowski</t>
  </si>
  <si>
    <t>lubanski</t>
  </si>
  <si>
    <t>lubartowski</t>
  </si>
  <si>
    <t>lubelski</t>
  </si>
  <si>
    <t>lubinski</t>
  </si>
  <si>
    <t>lubliniecki</t>
  </si>
  <si>
    <t>lukowski</t>
  </si>
  <si>
    <t>lwowecki</t>
  </si>
  <si>
    <t>m Biala Podlaska</t>
  </si>
  <si>
    <t>m Bialystok</t>
  </si>
  <si>
    <t>m Bielsko-Biala</t>
  </si>
  <si>
    <t>m Bydgoszcz</t>
  </si>
  <si>
    <t>m Bytom</t>
  </si>
  <si>
    <t>m Chelm</t>
  </si>
  <si>
    <t>m Chorzow</t>
  </si>
  <si>
    <t>m Czestochowa</t>
  </si>
  <si>
    <t>m Dabrowa Gornicza</t>
  </si>
  <si>
    <t>m Elblag</t>
  </si>
  <si>
    <t>m Gdansk</t>
  </si>
  <si>
    <t>m Gdynia</t>
  </si>
  <si>
    <t>m Gliwice</t>
  </si>
  <si>
    <t>m Gorzow Wielkopolski</t>
  </si>
  <si>
    <t>m Grudziadz</t>
  </si>
  <si>
    <t>m Jastrzebie-Zdroj</t>
  </si>
  <si>
    <t>m Jaworzno</t>
  </si>
  <si>
    <t>m Jelenia Gora</t>
  </si>
  <si>
    <t>m Kalisz</t>
  </si>
  <si>
    <t>m Katowice</t>
  </si>
  <si>
    <t>m Kielce</t>
  </si>
  <si>
    <t>m Konin</t>
  </si>
  <si>
    <t>m Koszalin</t>
  </si>
  <si>
    <t>m Krakow</t>
  </si>
  <si>
    <t>m Krosno</t>
  </si>
  <si>
    <t>m Legnica</t>
  </si>
  <si>
    <t>m Leszno</t>
  </si>
  <si>
    <t>m Lodz</t>
  </si>
  <si>
    <t>m Lomza</t>
  </si>
  <si>
    <t>m Lublin</t>
  </si>
  <si>
    <t>m Myslowice</t>
  </si>
  <si>
    <t>m Nowy Sacz</t>
  </si>
  <si>
    <t>m Olsztyn</t>
  </si>
  <si>
    <t>m Opole</t>
  </si>
  <si>
    <t>m Ostroleka</t>
  </si>
  <si>
    <t>m Piekary Slaskie</t>
  </si>
  <si>
    <t>m Piotrkow Trybunalski</t>
  </si>
  <si>
    <t>m Plock</t>
  </si>
  <si>
    <t>m Poznan</t>
  </si>
  <si>
    <t>m PrzemySl</t>
  </si>
  <si>
    <t>m Radom</t>
  </si>
  <si>
    <t>m Ruda Slaska</t>
  </si>
  <si>
    <t>m Rybnik</t>
  </si>
  <si>
    <t>m Rzeszow</t>
  </si>
  <si>
    <t>m Siedlce</t>
  </si>
  <si>
    <t>m Siemianowice Slaskie</t>
  </si>
  <si>
    <t>m Skierniewice</t>
  </si>
  <si>
    <t>m Slupsk</t>
  </si>
  <si>
    <t>m Sopot</t>
  </si>
  <si>
    <t>m Sosnowiec</t>
  </si>
  <si>
    <t>m Suwalki</t>
  </si>
  <si>
    <t>m Swietochlowice</t>
  </si>
  <si>
    <t>m Swinoujscie</t>
  </si>
  <si>
    <t>m Szczecin</t>
  </si>
  <si>
    <t>m Tarnobrzeg</t>
  </si>
  <si>
    <t>m Tarnow</t>
  </si>
  <si>
    <t>m Torun</t>
  </si>
  <si>
    <t>m Tychy</t>
  </si>
  <si>
    <t>m Wloclawek</t>
  </si>
  <si>
    <t>m Wroclaw</t>
  </si>
  <si>
    <t>m Zabrze</t>
  </si>
  <si>
    <t>m ZamoSc</t>
  </si>
  <si>
    <t>m Zielona Gora</t>
  </si>
  <si>
    <t>m Zory</t>
  </si>
  <si>
    <t>makowski</t>
  </si>
  <si>
    <t>malborski</t>
  </si>
  <si>
    <t>miechowski</t>
  </si>
  <si>
    <t>miedzychodzki</t>
  </si>
  <si>
    <t>miedzyrzecki</t>
  </si>
  <si>
    <t>mielecki</t>
  </si>
  <si>
    <t>mikolowski</t>
  </si>
  <si>
    <t>milicki</t>
  </si>
  <si>
    <t>minski</t>
  </si>
  <si>
    <t>mlawski</t>
  </si>
  <si>
    <t>mogilenski</t>
  </si>
  <si>
    <t>moniecki</t>
  </si>
  <si>
    <t>mragowski</t>
  </si>
  <si>
    <t>mst Warszawa</t>
  </si>
  <si>
    <t>myslenicki</t>
  </si>
  <si>
    <t>mySliborski</t>
  </si>
  <si>
    <t>myszkowski</t>
  </si>
  <si>
    <t>nakielski</t>
  </si>
  <si>
    <t>namyslowski</t>
  </si>
  <si>
    <t>nidzicki</t>
  </si>
  <si>
    <t>nizanski</t>
  </si>
  <si>
    <t>nowodworski</t>
  </si>
  <si>
    <t>nowomiejski</t>
  </si>
  <si>
    <t>nowosadecki</t>
  </si>
  <si>
    <t>nowosolski</t>
  </si>
  <si>
    <t>nowotarski</t>
  </si>
  <si>
    <t>nowotomyski</t>
  </si>
  <si>
    <t>nyski</t>
  </si>
  <si>
    <t>obornicki</t>
  </si>
  <si>
    <t>olawski</t>
  </si>
  <si>
    <t>olecki</t>
  </si>
  <si>
    <t>oleski</t>
  </si>
  <si>
    <t>olesnicki</t>
  </si>
  <si>
    <t>olkuski</t>
  </si>
  <si>
    <t>olsztynski</t>
  </si>
  <si>
    <t>opatowski</t>
  </si>
  <si>
    <t>opoczynski</t>
  </si>
  <si>
    <t>opolski</t>
  </si>
  <si>
    <t>ostrodzki</t>
  </si>
  <si>
    <t>ostrolecki</t>
  </si>
  <si>
    <t>ostrowiecki</t>
  </si>
  <si>
    <t>ostrowski</t>
  </si>
  <si>
    <t>ostrzeszowski</t>
  </si>
  <si>
    <t>oswiecimski</t>
  </si>
  <si>
    <t>otwocki</t>
  </si>
  <si>
    <t>pabianicki</t>
  </si>
  <si>
    <t>pajeczanski</t>
  </si>
  <si>
    <t>parczewski</t>
  </si>
  <si>
    <t>piaseczynski</t>
  </si>
  <si>
    <t>pilski</t>
  </si>
  <si>
    <t>pinczowski</t>
  </si>
  <si>
    <t>piotrkowski</t>
  </si>
  <si>
    <t>piski</t>
  </si>
  <si>
    <t>pleszewski</t>
  </si>
  <si>
    <t>plocki</t>
  </si>
  <si>
    <t>plonski</t>
  </si>
  <si>
    <t>poddebicki</t>
  </si>
  <si>
    <t>policki</t>
  </si>
  <si>
    <t>polkowicki</t>
  </si>
  <si>
    <t>poznanski</t>
  </si>
  <si>
    <t>proszowicki</t>
  </si>
  <si>
    <t>prudnicki</t>
  </si>
  <si>
    <t>pruszkowski</t>
  </si>
  <si>
    <t>przasnyski</t>
  </si>
  <si>
    <t>przemyski</t>
  </si>
  <si>
    <t>przeworski</t>
  </si>
  <si>
    <t>przysuski</t>
  </si>
  <si>
    <t>pszczynski</t>
  </si>
  <si>
    <t>pucki</t>
  </si>
  <si>
    <t>pulawski</t>
  </si>
  <si>
    <t>pultuski</t>
  </si>
  <si>
    <t>pyrzycki</t>
  </si>
  <si>
    <t>raciborski</t>
  </si>
  <si>
    <t>radomski</t>
  </si>
  <si>
    <t>radomszczanski</t>
  </si>
  <si>
    <t>radziejowski</t>
  </si>
  <si>
    <t>radzynski</t>
  </si>
  <si>
    <t>rawicki</t>
  </si>
  <si>
    <t>rawski</t>
  </si>
  <si>
    <t>ropczycko-sedziszowski</t>
  </si>
  <si>
    <t>rybnicki</t>
  </si>
  <si>
    <t>rycki</t>
  </si>
  <si>
    <t>rypinski</t>
  </si>
  <si>
    <t>rzeszowski</t>
  </si>
  <si>
    <t>sandomierski</t>
  </si>
  <si>
    <t>sanocki</t>
  </si>
  <si>
    <t>sejnenski</t>
  </si>
  <si>
    <t>sepolenski</t>
  </si>
  <si>
    <t>siedlecki</t>
  </si>
  <si>
    <t>siemiatycki</t>
  </si>
  <si>
    <t>sieradzki</t>
  </si>
  <si>
    <t>sierpecki</t>
  </si>
  <si>
    <t>skarzyski</t>
  </si>
  <si>
    <t>skierniewicki</t>
  </si>
  <si>
    <t>slawienski</t>
  </si>
  <si>
    <t>slubicki</t>
  </si>
  <si>
    <t>slupecki</t>
  </si>
  <si>
    <t>slupski</t>
  </si>
  <si>
    <t>sochaczewski</t>
  </si>
  <si>
    <t>sokolowski</t>
  </si>
  <si>
    <t>sokolski</t>
  </si>
  <si>
    <t>sredzki</t>
  </si>
  <si>
    <t>sremski</t>
  </si>
  <si>
    <t>stalowowolski</t>
  </si>
  <si>
    <t>starachowicki</t>
  </si>
  <si>
    <t>stargardzki</t>
  </si>
  <si>
    <t>starogardzki</t>
  </si>
  <si>
    <t>staszowski</t>
  </si>
  <si>
    <t>strzelecki</t>
  </si>
  <si>
    <t>strzelecko-drezdenecki</t>
  </si>
  <si>
    <t>strzelinski</t>
  </si>
  <si>
    <t>strzyzowski</t>
  </si>
  <si>
    <t>sulecinski</t>
  </si>
  <si>
    <t>suski</t>
  </si>
  <si>
    <t>suwalski</t>
  </si>
  <si>
    <t>swidnicki</t>
  </si>
  <si>
    <t>swidwinski</t>
  </si>
  <si>
    <t>swiebodzinski</t>
  </si>
  <si>
    <t>swiecki</t>
  </si>
  <si>
    <t>szamotulski</t>
  </si>
  <si>
    <t>szczecinecki</t>
  </si>
  <si>
    <t>szczycienski</t>
  </si>
  <si>
    <t>sztumski</t>
  </si>
  <si>
    <t>szydlowiecki</t>
  </si>
  <si>
    <t>tarnobrzeski</t>
  </si>
  <si>
    <t>tarnogorski</t>
  </si>
  <si>
    <t>tarnowski</t>
  </si>
  <si>
    <t>tatrzanski</t>
  </si>
  <si>
    <t>tczewski</t>
  </si>
  <si>
    <t>tomaszowski</t>
  </si>
  <si>
    <t>torunski</t>
  </si>
  <si>
    <t>trzebnicki</t>
  </si>
  <si>
    <t>tucholski</t>
  </si>
  <si>
    <t>turecki</t>
  </si>
  <si>
    <t>wabrzeski</t>
  </si>
  <si>
    <t>wadowicki</t>
  </si>
  <si>
    <t>wagrowiecki</t>
  </si>
  <si>
    <t>walbrzyski</t>
  </si>
  <si>
    <t>walecki</t>
  </si>
  <si>
    <t>warszawski zachodni</t>
  </si>
  <si>
    <t>wegorzewski</t>
  </si>
  <si>
    <t>wegrowski</t>
  </si>
  <si>
    <t>wejherowski</t>
  </si>
  <si>
    <t>wielicki</t>
  </si>
  <si>
    <t>wielunski</t>
  </si>
  <si>
    <t>wieruszowski</t>
  </si>
  <si>
    <t>wloclawski</t>
  </si>
  <si>
    <t>wlodawski</t>
  </si>
  <si>
    <t>wloszczowski</t>
  </si>
  <si>
    <t>wodzislawski</t>
  </si>
  <si>
    <t>wolominski</t>
  </si>
  <si>
    <t>wolowski</t>
  </si>
  <si>
    <t>wolsztynski</t>
  </si>
  <si>
    <t>wroclawski</t>
  </si>
  <si>
    <t>wrzesinski</t>
  </si>
  <si>
    <t>wschowski</t>
  </si>
  <si>
    <t>wysokomazowiecki</t>
  </si>
  <si>
    <t>wyszkowski</t>
  </si>
  <si>
    <t>zabkowicki</t>
  </si>
  <si>
    <t>zaganski</t>
  </si>
  <si>
    <t>zambrowski</t>
  </si>
  <si>
    <t>zamojski</t>
  </si>
  <si>
    <t>zarski</t>
  </si>
  <si>
    <t>zawiercianski</t>
  </si>
  <si>
    <t>zdunskowolski</t>
  </si>
  <si>
    <t>zgierski</t>
  </si>
  <si>
    <t>zgorzelecki</t>
  </si>
  <si>
    <t>zielonogorski</t>
  </si>
  <si>
    <t>zlotoryjski</t>
  </si>
  <si>
    <t>zlotowski</t>
  </si>
  <si>
    <t>zninski</t>
  </si>
  <si>
    <t>zurominski</t>
  </si>
  <si>
    <t>zwolenski</t>
  </si>
  <si>
    <t>zyrardowski</t>
  </si>
  <si>
    <t>zywiecki</t>
  </si>
  <si>
    <t>zad4.1</t>
  </si>
  <si>
    <t>WSP_NATURALNY</t>
  </si>
  <si>
    <t>Etykiety wierszy</t>
  </si>
  <si>
    <t>Suma końcowa</t>
  </si>
  <si>
    <t>Suma z WSP_NATURALNY</t>
  </si>
  <si>
    <t>Suma z ludnosc_ogolem</t>
  </si>
  <si>
    <t>ODPOWIEDŹ 4.3</t>
  </si>
  <si>
    <t>liczba_urodzen</t>
  </si>
  <si>
    <t>Suma z liczba_urodzen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</si>
</sst>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NumberFormat="1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Liczba urodzeń we</a:t>
            </a:r>
            <a:r>
              <a:rPr lang="en-US" baseline="0"/>
              <a:t> wszystkich powiatach w województwie Opolskim posortowanych alfabetycznie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'4.4'!$J$19:$J$30</c:f>
              <c:strCache>
                <c:ptCount val="12"/>
                <c:pt idx="0">
                  <c:v>brzeski</c:v>
                </c:pt>
                <c:pt idx="1">
                  <c:v>glubczycki</c:v>
                </c:pt>
                <c:pt idx="2">
                  <c:v>kedzierzynsko-kozielski</c:v>
                </c:pt>
                <c:pt idx="3">
                  <c:v>kluczborski</c:v>
                </c:pt>
                <c:pt idx="4">
                  <c:v>krapkowicki</c:v>
                </c:pt>
                <c:pt idx="5">
                  <c:v>m Opole</c:v>
                </c:pt>
                <c:pt idx="6">
                  <c:v>namyslowski</c:v>
                </c:pt>
                <c:pt idx="7">
                  <c:v>nyski</c:v>
                </c:pt>
                <c:pt idx="8">
                  <c:v>oleski</c:v>
                </c:pt>
                <c:pt idx="9">
                  <c:v>opolski</c:v>
                </c:pt>
                <c:pt idx="10">
                  <c:v>prudnicki</c:v>
                </c:pt>
                <c:pt idx="11">
                  <c:v>strzelecki</c:v>
                </c:pt>
              </c:strCache>
            </c:strRef>
          </c:cat>
          <c:val>
            <c:numRef>
              <c:f>'4.4'!$K$19:$K$30</c:f>
              <c:numCache>
                <c:formatCode>General</c:formatCode>
                <c:ptCount val="12"/>
                <c:pt idx="0">
                  <c:v>995</c:v>
                </c:pt>
                <c:pt idx="1">
                  <c:v>459</c:v>
                </c:pt>
                <c:pt idx="2">
                  <c:v>812</c:v>
                </c:pt>
                <c:pt idx="3">
                  <c:v>591</c:v>
                </c:pt>
                <c:pt idx="4">
                  <c:v>561</c:v>
                </c:pt>
                <c:pt idx="5">
                  <c:v>1182</c:v>
                </c:pt>
                <c:pt idx="6">
                  <c:v>473</c:v>
                </c:pt>
                <c:pt idx="7">
                  <c:v>1337</c:v>
                </c:pt>
                <c:pt idx="8">
                  <c:v>584</c:v>
                </c:pt>
                <c:pt idx="9">
                  <c:v>1093</c:v>
                </c:pt>
                <c:pt idx="10">
                  <c:v>528</c:v>
                </c:pt>
                <c:pt idx="11">
                  <c:v>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4B-4BFA-B814-53122E502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7119968"/>
        <c:axId val="1007120448"/>
      </c:barChart>
      <c:catAx>
        <c:axId val="100711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120448"/>
        <c:crosses val="autoZero"/>
        <c:auto val="1"/>
        <c:lblAlgn val="ctr"/>
        <c:lblOffset val="100"/>
        <c:noMultiLvlLbl val="0"/>
      </c:catAx>
      <c:valAx>
        <c:axId val="100712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7119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84258</xdr:colOff>
      <xdr:row>9</xdr:row>
      <xdr:rowOff>108438</xdr:rowOff>
    </xdr:from>
    <xdr:to>
      <xdr:col>19</xdr:col>
      <xdr:colOff>439613</xdr:colOff>
      <xdr:row>28</xdr:row>
      <xdr:rowOff>65942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B59F0D1B-4241-9B7A-7084-FFF7C6DACE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gumil" refreshedDate="46149.454385300924" createdVersion="8" refreshedVersion="8" minRefreshableVersion="3" recordCount="10" xr:uid="{58D129AE-C5A1-49F3-BED6-5F94702ED012}">
  <cacheSource type="worksheet">
    <worksheetSource ref="A1:G11" sheet="4.2"/>
  </cacheSource>
  <cacheFields count="7">
    <cacheField name="powiat" numFmtId="0">
      <sharedItems count="10">
        <s v="kartuski"/>
        <s v="koscierski"/>
        <s v="wejherowski"/>
        <s v="limanowski"/>
        <s v="nowosadecki"/>
        <s v="poznanski"/>
        <s v="gdanski"/>
        <s v="m Zory"/>
        <s v="bytowski"/>
        <s v="pszczynski"/>
      </sharedItems>
    </cacheField>
    <cacheField name="wojewodztwo" numFmtId="0">
      <sharedItems/>
    </cacheField>
    <cacheField name="ludnosc_ogolem" numFmtId="0">
      <sharedItems containsSemiMixedTypes="0" containsString="0" containsNumber="1" containsInteger="1" minValue="62022" maxValue="319258"/>
    </cacheField>
    <cacheField name="wsp_urodzen" numFmtId="0">
      <sharedItems containsSemiMixedTypes="0" containsString="0" containsNumber="1" minValue="12.3" maxValue="15.2"/>
    </cacheField>
    <cacheField name="wsp_zgonow" numFmtId="0">
      <sharedItems containsSemiMixedTypes="0" containsString="0" containsNumber="1" minValue="6.5" maxValue="8"/>
    </cacheField>
    <cacheField name="saldo_migracji" numFmtId="2">
      <sharedItems containsSemiMixedTypes="0" containsString="0" containsNumber="1" minValue="-6.9" maxValue="19.3"/>
    </cacheField>
    <cacheField name="WSP_NATURALNY" numFmtId="0">
      <sharedItems containsSemiMixedTypes="0" containsString="0" containsNumber="1" minValue="5.5000000000000009" maxValue="8.69999999999999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gumil" refreshedDate="46149.455255324072" createdVersion="8" refreshedVersion="8" minRefreshableVersion="3" recordCount="379" xr:uid="{A6A49B95-8F42-4210-B753-AD7CF9BD0DD3}">
  <cacheSource type="worksheet">
    <worksheetSource ref="A1:G380" sheet="4.3"/>
  </cacheSource>
  <cacheFields count="7">
    <cacheField name="powiat" numFmtId="0">
      <sharedItems/>
    </cacheField>
    <cacheField name="wojewodztwo" numFmtId="0">
      <sharedItems count="16">
        <s v="pomorskie"/>
        <s v="malopolskie"/>
        <s v="wielkopolskie"/>
        <s v="slaskie"/>
        <s v="warminsko-mazurskie"/>
        <s v="dolnoslaskie"/>
        <s v="mazowieckie"/>
        <s v="kujawsko-pomorskie"/>
        <s v="zachodniopomorskie"/>
        <s v="lubelskie"/>
        <s v="podkarpackie"/>
        <s v="lubuskie"/>
        <s v="podlaskie"/>
        <s v="lodzkie"/>
        <s v="swietokrzyskie"/>
        <s v="opolskie"/>
      </sharedItems>
    </cacheField>
    <cacheField name="ludnosc_ogolem" numFmtId="0">
      <sharedItems containsSemiMixedTypes="0" containsString="0" containsNumber="1" containsInteger="1" minValue="21013" maxValue="1714446" count="379">
        <n v="116000"/>
        <n v="68311"/>
        <n v="192349"/>
        <n v="124278"/>
        <n v="202701"/>
        <n v="319258"/>
        <n v="93191"/>
        <n v="62022"/>
        <n v="76043"/>
        <n v="106361"/>
        <n v="77238"/>
        <n v="81848"/>
        <n v="41694"/>
        <n v="68552"/>
        <n v="119975"/>
        <n v="93411"/>
        <n v="185161"/>
        <n v="113570"/>
        <n v="26642"/>
        <n v="72725"/>
        <n v="87712"/>
        <n v="157392"/>
        <n v="213714"/>
        <n v="51722"/>
        <n v="57042"/>
        <n v="53837"/>
        <n v="85397"/>
        <n v="69087"/>
        <n v="65188"/>
        <n v="90442"/>
        <n v="74856"/>
        <n v="33701"/>
        <n v="56806"/>
        <n v="49903"/>
        <n v="41045"/>
        <n v="124056"/>
        <n v="63915"/>
        <n v="77319"/>
        <n v="47622"/>
        <n v="43749"/>
        <n v="59307"/>
        <n v="86238"/>
        <n v="72307"/>
        <n v="61622"/>
        <n v="55591"/>
        <n v="103010"/>
        <n v="57876"/>
        <n v="102181"/>
        <n v="133244"/>
        <n v="111069"/>
        <n v="91638"/>
        <n v="75579"/>
        <n v="64338"/>
        <n v="76052"/>
        <n v="103039"/>
        <n v="71751"/>
        <n v="65253"/>
        <n v="86939"/>
        <n v="56762"/>
        <n v="141719"/>
        <n v="69499"/>
        <n v="84556"/>
        <n v="107017"/>
        <n v="95187"/>
        <n v="63357"/>
        <n v="78359"/>
        <n v="68737"/>
        <n v="57093"/>
        <n v="176457"/>
        <n v="93230"/>
        <n v="66557"/>
        <n v="155571"/>
        <n v="67443"/>
        <n v="77440"/>
        <n v="141372"/>
        <n v="36646"/>
        <n v="133986"/>
        <n v="37036"/>
        <n v="91297"/>
        <n v="46413"/>
        <n v="55408"/>
        <n v="34111"/>
        <n v="294685"/>
        <n v="92988"/>
        <n v="70821"/>
        <n v="105170"/>
        <n v="129449"/>
        <n v="82736"/>
        <n v="195908"/>
        <n v="22001"/>
        <n v="116766"/>
        <n v="159332"/>
        <n v="137562"/>
        <n v="155923"/>
        <n v="38708"/>
        <n v="57164"/>
        <n v="172770"/>
        <n v="35642"/>
        <n v="112993"/>
        <n v="51456"/>
        <n v="48958"/>
        <n v="87260"/>
        <n v="69286"/>
        <n v="34777"/>
        <n v="125965"/>
        <n v="107953"/>
        <n v="50169"/>
        <n v="106927"/>
        <n v="92655"/>
        <n v="72357"/>
        <n v="97642"/>
        <n v="83691"/>
        <n v="66162"/>
        <n v="110400"/>
        <n v="79937"/>
        <n v="65049"/>
        <n v="26608"/>
        <n v="144294"/>
        <n v="84578"/>
        <n v="147212"/>
        <n v="45281"/>
        <n v="60595"/>
        <n v="49789"/>
        <n v="48470"/>
        <n v="47389"/>
        <n v="55903"/>
        <n v="201643"/>
        <n v="69105"/>
        <n v="79516"/>
        <n v="104506"/>
        <n v="77095"/>
        <n v="110849"/>
        <n v="62842"/>
        <n v="58250"/>
        <n v="33444"/>
        <n v="54973"/>
        <n v="78205"/>
        <n v="125383"/>
        <n v="39930"/>
        <n v="58516"/>
        <n v="119340"/>
        <n v="57485"/>
        <n v="81923"/>
        <n v="82830"/>
        <n v="43814"/>
        <n v="56038"/>
        <n v="56389"/>
        <n v="253344"/>
        <n v="76583"/>
        <n v="62407"/>
        <n v="150270"/>
        <n v="164900"/>
        <n v="69985"/>
        <n v="205718"/>
        <n v="59826"/>
        <n v="54098"/>
        <n v="86890"/>
        <n v="74509"/>
        <n v="155982"/>
        <n v="48261"/>
        <n v="42927"/>
        <n v="49705"/>
        <n v="56522"/>
        <n v="61546"/>
        <n v="126542"/>
        <n v="104047"/>
        <n v="119607"/>
        <n v="94857"/>
        <n v="79166"/>
        <n v="349440"/>
        <n v="44385"/>
        <n v="121654"/>
        <n v="65298"/>
        <n v="105185"/>
        <n v="81166"/>
        <n v="456591"/>
        <n v="554221"/>
        <n v="153602"/>
        <n v="49419"/>
        <n v="89051"/>
        <n v="204835"/>
        <n v="92188"/>
        <n v="39053"/>
        <n v="53618"/>
        <n v="42501"/>
        <n v="71231"/>
        <n v="83928"/>
        <n v="42168"/>
        <n v="172809"/>
        <n v="58664"/>
        <n v="49393"/>
        <n v="96957"/>
        <n v="38063"/>
        <n v="67650"/>
        <n v="67074"/>
        <n v="81658"/>
        <n v="117503"/>
        <n v="78630"/>
        <n v="50119"/>
        <n v="35492"/>
        <n v="98364"/>
        <n v="88274"/>
        <n v="755000"/>
        <n v="78362"/>
        <n v="39055"/>
        <n v="175402"/>
        <n v="126419"/>
        <n v="223397"/>
        <n v="39912"/>
        <n v="75408"/>
        <n v="47534"/>
        <n v="60866"/>
        <n v="56811"/>
        <n v="125792"/>
        <n v="107815"/>
        <n v="46766"/>
        <n v="114689"/>
        <n v="60128"/>
        <n v="164112"/>
        <n v="57298"/>
        <n v="61897"/>
        <n v="77053"/>
        <n v="56131"/>
        <n v="99074"/>
        <n v="106987"/>
        <n v="115158"/>
        <n v="46068"/>
        <n v="46877"/>
        <n v="113893"/>
        <n v="247859"/>
        <n v="74893"/>
        <n v="1714446"/>
        <n v="43902"/>
        <n v="47344"/>
        <n v="23327"/>
        <n v="66389"/>
        <n v="187674"/>
        <n v="114093"/>
        <n v="66795"/>
        <n v="107471"/>
        <n v="73277"/>
        <n v="90249"/>
        <n v="47769"/>
        <n v="50919"/>
        <n v="159323"/>
        <n v="150850"/>
        <n v="55336"/>
        <n v="144383"/>
        <n v="87244"/>
        <n v="50994"/>
        <n v="53487"/>
        <n v="58763"/>
        <n v="72713"/>
        <n v="35148"/>
        <n v="49053"/>
        <n v="77843"/>
        <n v="76618"/>
        <n v="196167"/>
        <n v="135010"/>
        <n v="137496"/>
        <n v="61199"/>
        <n v="79177"/>
        <n v="39671"/>
        <n v="36317"/>
        <n v="66807"/>
        <n v="52389"/>
        <n v="58342"/>
        <n v="72366"/>
        <n v="67588"/>
        <n v="64814"/>
        <n v="357650"/>
        <n v="95036"/>
        <n v="77810"/>
        <n v="143394"/>
        <n v="66947"/>
        <n v="143852"/>
        <n v="103226"/>
        <n v="40765"/>
        <n v="74511"/>
        <n v="110448"/>
        <n v="41793"/>
        <n v="104178"/>
        <n v="97087"/>
        <n v="127645"/>
        <n v="117402"/>
        <n v="632146"/>
        <n v="35921"/>
        <n v="43419"/>
        <n v="45562"/>
        <n v="93280"/>
        <n v="36796"/>
        <n v="68801"/>
        <n v="89876"/>
        <n v="67194"/>
        <n v="80509"/>
        <n v="85001"/>
        <n v="58519"/>
        <n v="119916"/>
        <n v="68575"/>
        <n v="92867"/>
        <n v="139643"/>
        <n v="182749"/>
        <n v="90462"/>
        <n v="85368"/>
        <n v="112846"/>
        <n v="88665"/>
        <n v="239319"/>
        <n v="120132"/>
        <n v="98574"/>
        <n v="406307"/>
        <n v="21013"/>
        <n v="115860"/>
        <n v="43873"/>
        <n v="81151"/>
        <n v="114670"/>
        <n v="59010"/>
        <n v="45376"/>
        <n v="78765"/>
        <n v="127686"/>
        <n v="43064"/>
        <n v="67080"/>
        <n v="161959"/>
        <n v="54091"/>
        <n v="56085"/>
        <n v="107019"/>
        <n v="53028"/>
        <n v="39526"/>
        <n v="51581"/>
        <n v="50808"/>
        <n v="86657"/>
        <n v="58732"/>
        <n v="100320"/>
        <n v="62048"/>
        <n v="78400"/>
        <n v="83005"/>
        <n v="80709"/>
        <n v="163648"/>
        <n v="113007"/>
        <n v="308548"/>
        <n v="71517"/>
        <n v="134103"/>
        <n v="49422"/>
        <n v="37604"/>
        <n v="30537"/>
        <n v="73127"/>
        <n v="67059"/>
        <n v="70712"/>
        <n v="117431"/>
        <n v="52420"/>
        <n v="47242"/>
        <n v="46668"/>
        <n v="219300"/>
        <n v="63865"/>
        <n v="47194"/>
        <n v="58463"/>
        <n v="55832"/>
        <n v="70517"/>
        <n v="32072"/>
        <n v="119060"/>
        <n v="52750"/>
        <n v="122628"/>
        <n v="109181"/>
        <n v="150950"/>
        <n v="84564"/>
        <n v="179526"/>
        <n v="103636"/>
        <n v="102015"/>
        <n v="55471"/>
        <n v="47286"/>
        <n v="41618"/>
        <n v="42212"/>
        <n v="35088"/>
        <n v="50114"/>
        <n v="41282"/>
        <n v="67824"/>
        <n v="36033"/>
        <n v="742387"/>
        <n v="38460"/>
        <n v="46385"/>
      </sharedItems>
    </cacheField>
    <cacheField name="wsp_urodzen" numFmtId="0">
      <sharedItems containsSemiMixedTypes="0" containsString="0" containsNumber="1" minValue="7.7" maxValue="15.2"/>
    </cacheField>
    <cacheField name="wsp_zgonow" numFmtId="0">
      <sharedItems containsSemiMixedTypes="0" containsString="0" containsNumber="1" minValue="6.5" maxValue="15.5"/>
    </cacheField>
    <cacheField name="saldo_migracji" numFmtId="2">
      <sharedItems containsSemiMixedTypes="0" containsString="0" containsNumber="1" minValue="-7.7" maxValue="19.899999999999999"/>
    </cacheField>
    <cacheField name="WSP_NATURALNY" numFmtId="0">
      <sharedItems containsSemiMixedTypes="0" containsString="0" containsNumber="1" minValue="-6.7999999999999989" maxValue="8.69999999999999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gumil" refreshedDate="46149.462112384259" createdVersion="8" refreshedVersion="8" minRefreshableVersion="3" recordCount="379" xr:uid="{EC9E3E1C-49F6-4756-A113-F26AFE5775CA}">
  <cacheSource type="worksheet">
    <worksheetSource ref="A1:G380" sheet="4.4"/>
  </cacheSource>
  <cacheFields count="7">
    <cacheField name="powiat" numFmtId="0">
      <sharedItems count="369">
        <s v="aleksandrowski"/>
        <s v="augustowski"/>
        <s v="bartoszycki"/>
        <s v="bedzinski"/>
        <s v="belchatowski"/>
        <s v="bialobrzeski"/>
        <s v="bialogardzki"/>
        <s v="bialostocki"/>
        <s v="bialski"/>
        <s v="bielski"/>
        <s v="bierunsko-ledzinski"/>
        <s v="bieszczadzki"/>
        <s v="bilgorajski"/>
        <s v="bochenski"/>
        <s v="boleslawiecki"/>
        <s v="braniewski"/>
        <s v="brodnicki"/>
        <s v="brzeski"/>
        <s v="brzezinski"/>
        <s v="brzozowski"/>
        <s v="buski"/>
        <s v="bydgoski"/>
        <s v="bytowski"/>
        <s v="chelminski"/>
        <s v="chelmski"/>
        <s v="chodzieski"/>
        <s v="chojnicki"/>
        <s v="choszczenski"/>
        <s v="chrzanowski"/>
        <s v="ciechanowski"/>
        <s v="cieszynski"/>
        <s v="czarnkowsko-trzcianecki"/>
        <s v="czestochowski"/>
        <s v="czluchowski"/>
        <s v="dabrowski"/>
        <s v="debicki"/>
        <s v="drawski"/>
        <s v="dzialdowski"/>
        <s v="dzierzoniowski"/>
        <s v="elblaski"/>
        <s v="elcki"/>
        <s v="garwolinski"/>
        <s v="gdanski"/>
        <s v="gizycki"/>
        <s v="gliwicki"/>
        <s v="glogowski"/>
        <s v="glubczycki"/>
        <s v="gnieznienski"/>
        <s v="goldapski"/>
        <s v="goleniowski"/>
        <s v="golubsko-dobrzynski"/>
        <s v="gorlicki"/>
        <s v="gorowski"/>
        <s v="gorzowski"/>
        <s v="gostyninski"/>
        <s v="gostynski"/>
        <s v="grajewski"/>
        <s v="grodziski"/>
        <s v="grojecki"/>
        <s v="grudziadzki"/>
        <s v="gryficki"/>
        <s v="gryfinski"/>
        <s v="hajnowski"/>
        <s v="hrubieszowski"/>
        <s v="ilawski"/>
        <s v="inowroclawski"/>
        <s v="janowski"/>
        <s v="jarocinski"/>
        <s v="jaroslawski"/>
        <s v="jasielski"/>
        <s v="jaworski"/>
        <s v="jedrzejowski"/>
        <s v="jeleniogorski"/>
        <s v="kaliski"/>
        <s v="kamiennogorski"/>
        <s v="kamienski"/>
        <s v="kartuski"/>
        <s v="kazimierski"/>
        <s v="kedzierzynsko-kozielski"/>
        <s v="kepinski"/>
        <s v="ketrzynski"/>
        <s v="kielecki"/>
        <s v="klobucki"/>
        <s v="klodzki"/>
        <s v="kluczborski"/>
        <s v="kolbuszowski"/>
        <s v="kolnenski"/>
        <s v="kolobrzeski"/>
        <s v="kolski"/>
        <s v="konecki"/>
        <s v="koninski"/>
        <s v="koscianski"/>
        <s v="koscierski"/>
        <s v="koszalinski"/>
        <s v="kozienicki"/>
        <s v="krakowski"/>
        <s v="krapkowicki"/>
        <s v="krasnicki"/>
        <s v="krasnostawski"/>
        <s v="krosnienski"/>
        <s v="krotoszynski"/>
        <s v="kutnowski"/>
        <s v="kwidzynski"/>
        <s v="lancucki"/>
        <s v="laski"/>
        <s v="leborski"/>
        <s v="leczycki"/>
        <s v="leczynski"/>
        <s v="legionowski"/>
        <s v="legnicki"/>
        <s v="leski"/>
        <s v="leszczynski"/>
        <s v="lezajski"/>
        <s v="lidzbarski"/>
        <s v="limanowski"/>
        <s v="lipnowski"/>
        <s v="lipski"/>
        <s v="lobeski"/>
        <s v="lodzki wschodni"/>
        <s v="lomzynski"/>
        <s v="losicki"/>
        <s v="lowicki"/>
        <s v="lubaczowski"/>
        <s v="lubanski"/>
        <s v="lubartowski"/>
        <s v="lubelski"/>
        <s v="lubinski"/>
        <s v="lubliniecki"/>
        <s v="lukowski"/>
        <s v="lwowecki"/>
        <s v="m Biala Podlaska"/>
        <s v="m Bialystok"/>
        <s v="m Bielsko-Biala"/>
        <s v="m Bydgoszcz"/>
        <s v="m Bytom"/>
        <s v="m Chelm"/>
        <s v="m Chorzow"/>
        <s v="m Czestochowa"/>
        <s v="m Dabrowa Gornicza"/>
        <s v="m Elblag"/>
        <s v="m Gdansk"/>
        <s v="m Gdynia"/>
        <s v="m Gliwice"/>
        <s v="m Gorzow Wielkopolski"/>
        <s v="m Grudziadz"/>
        <s v="m Jastrzebie-Zdroj"/>
        <s v="m Jaworzno"/>
        <s v="m Jelenia Gora"/>
        <s v="m Kalisz"/>
        <s v="m Katowice"/>
        <s v="m Kielce"/>
        <s v="m Konin"/>
        <s v="m Koszalin"/>
        <s v="m Krakow"/>
        <s v="m Krosno"/>
        <s v="m Legnica"/>
        <s v="m Leszno"/>
        <s v="m Lodz"/>
        <s v="m Lomza"/>
        <s v="m Lublin"/>
        <s v="m Myslowice"/>
        <s v="m Nowy Sacz"/>
        <s v="m Olsztyn"/>
        <s v="m Opole"/>
        <s v="m Ostroleka"/>
        <s v="m Piekary Slaskie"/>
        <s v="m Piotrkow Trybunalski"/>
        <s v="m Plock"/>
        <s v="m Poznan"/>
        <s v="m PrzemySl"/>
        <s v="m Radom"/>
        <s v="m Ruda Slaska"/>
        <s v="m Rybnik"/>
        <s v="m Rzeszow"/>
        <s v="m Siedlce"/>
        <s v="m Siemianowice Slaskie"/>
        <s v="m Skierniewice"/>
        <s v="m Slupsk"/>
        <s v="m Sopot"/>
        <s v="m Sosnowiec"/>
        <s v="m Suwalki"/>
        <s v="m Swietochlowice"/>
        <s v="m Swinoujscie"/>
        <s v="m Szczecin"/>
        <s v="m Tarnobrzeg"/>
        <s v="m Tarnow"/>
        <s v="m Torun"/>
        <s v="m Tychy"/>
        <s v="m Wloclawek"/>
        <s v="m Wroclaw"/>
        <s v="m Zabrze"/>
        <s v="m ZamoSc"/>
        <s v="m Zielona Gora"/>
        <s v="m Zory"/>
        <s v="makowski"/>
        <s v="malborski"/>
        <s v="miechowski"/>
        <s v="miedzychodzki"/>
        <s v="miedzyrzecki"/>
        <s v="mielecki"/>
        <s v="mikolowski"/>
        <s v="milicki"/>
        <s v="minski"/>
        <s v="mlawski"/>
        <s v="mogilenski"/>
        <s v="moniecki"/>
        <s v="mragowski"/>
        <s v="mst Warszawa"/>
        <s v="myslenicki"/>
        <s v="mySliborski"/>
        <s v="myszkowski"/>
        <s v="nakielski"/>
        <s v="namyslowski"/>
        <s v="nidzicki"/>
        <s v="nizanski"/>
        <s v="nowodworski"/>
        <s v="nowomiejski"/>
        <s v="nowosadecki"/>
        <s v="nowosolski"/>
        <s v="nowotarski"/>
        <s v="nowotomyski"/>
        <s v="nyski"/>
        <s v="obornicki"/>
        <s v="olawski"/>
        <s v="olecki"/>
        <s v="oleski"/>
        <s v="olesnicki"/>
        <s v="olkuski"/>
        <s v="olsztynski"/>
        <s v="opatowski"/>
        <s v="opoczynski"/>
        <s v="opolski"/>
        <s v="ostrodzki"/>
        <s v="ostrolecki"/>
        <s v="ostrowiecki"/>
        <s v="ostrowski"/>
        <s v="ostrzeszowski"/>
        <s v="oswiecimski"/>
        <s v="otwocki"/>
        <s v="pabianicki"/>
        <s v="pajeczanski"/>
        <s v="parczewski"/>
        <s v="piaseczynski"/>
        <s v="pilski"/>
        <s v="pinczowski"/>
        <s v="piotrkowski"/>
        <s v="piski"/>
        <s v="pleszewski"/>
        <s v="plocki"/>
        <s v="plonski"/>
        <s v="poddebicki"/>
        <s v="policki"/>
        <s v="polkowicki"/>
        <s v="poznanski"/>
        <s v="proszowicki"/>
        <s v="prudnicki"/>
        <s v="pruszkowski"/>
        <s v="przasnyski"/>
        <s v="przemyski"/>
        <s v="przeworski"/>
        <s v="przysuski"/>
        <s v="pszczynski"/>
        <s v="pucki"/>
        <s v="pulawski"/>
        <s v="pultuski"/>
        <s v="pyrzycki"/>
        <s v="raciborski"/>
        <s v="radomski"/>
        <s v="radomszczanski"/>
        <s v="radziejowski"/>
        <s v="radzynski"/>
        <s v="rawicki"/>
        <s v="rawski"/>
        <s v="ropczycko-sedziszowski"/>
        <s v="rybnicki"/>
        <s v="rycki"/>
        <s v="rypinski"/>
        <s v="rzeszowski"/>
        <s v="sandomierski"/>
        <s v="sanocki"/>
        <s v="sejnenski"/>
        <s v="sepolenski"/>
        <s v="siedlecki"/>
        <s v="siemiatycki"/>
        <s v="sieradzki"/>
        <s v="sierpecki"/>
        <s v="skarzyski"/>
        <s v="skierniewicki"/>
        <s v="slawienski"/>
        <s v="slubicki"/>
        <s v="slupecki"/>
        <s v="slupski"/>
        <s v="sochaczewski"/>
        <s v="sokolowski"/>
        <s v="sokolski"/>
        <s v="sredzki"/>
        <s v="sremski"/>
        <s v="stalowowolski"/>
        <s v="starachowicki"/>
        <s v="stargardzki"/>
        <s v="starogardzki"/>
        <s v="staszowski"/>
        <s v="strzelecki"/>
        <s v="strzelecko-drezdenecki"/>
        <s v="strzelinski"/>
        <s v="strzyzowski"/>
        <s v="sulecinski"/>
        <s v="suski"/>
        <s v="suwalski"/>
        <s v="swidnicki"/>
        <s v="swidwinski"/>
        <s v="swiebodzinski"/>
        <s v="swiecki"/>
        <s v="szamotulski"/>
        <s v="szczecinecki"/>
        <s v="szczycienski"/>
        <s v="sztumski"/>
        <s v="szydlowiecki"/>
        <s v="tarnobrzeski"/>
        <s v="tarnogorski"/>
        <s v="tarnowski"/>
        <s v="tatrzanski"/>
        <s v="tczewski"/>
        <s v="tomaszowski"/>
        <s v="torunski"/>
        <s v="trzebnicki"/>
        <s v="tucholski"/>
        <s v="turecki"/>
        <s v="wabrzeski"/>
        <s v="wadowicki"/>
        <s v="wagrowiecki"/>
        <s v="walbrzyski"/>
        <s v="walecki"/>
        <s v="warszawski zachodni"/>
        <s v="wegorzewski"/>
        <s v="wegrowski"/>
        <s v="wejherowski"/>
        <s v="wielicki"/>
        <s v="wielunski"/>
        <s v="wieruszowski"/>
        <s v="wloclawski"/>
        <s v="wlodawski"/>
        <s v="wloszczowski"/>
        <s v="wodzislawski"/>
        <s v="wolominski"/>
        <s v="wolowski"/>
        <s v="wolsztynski"/>
        <s v="wroclawski"/>
        <s v="wrzesinski"/>
        <s v="wschowski"/>
        <s v="wysokomazowiecki"/>
        <s v="wyszkowski"/>
        <s v="zabkowicki"/>
        <s v="zaganski"/>
        <s v="zambrowski"/>
        <s v="zamojski"/>
        <s v="zarski"/>
        <s v="zawiercianski"/>
        <s v="zdunskowolski"/>
        <s v="zgierski"/>
        <s v="zgorzelecki"/>
        <s v="zielonogorski"/>
        <s v="zlotoryjski"/>
        <s v="zlotowski"/>
        <s v="zninski"/>
        <s v="zurominski"/>
        <s v="zwolenski"/>
        <s v="zyrardowski"/>
        <s v="zywiecki"/>
      </sharedItems>
    </cacheField>
    <cacheField name="wojewodztwo" numFmtId="0">
      <sharedItems count="16">
        <s v="kujawsko-pomorskie"/>
        <s v="podlaskie"/>
        <s v="warminsko-mazurskie"/>
        <s v="slaskie"/>
        <s v="lodzkie"/>
        <s v="mazowieckie"/>
        <s v="zachodniopomorskie"/>
        <s v="lubelskie"/>
        <s v="podkarpackie"/>
        <s v="malopolskie"/>
        <s v="dolnoslaskie"/>
        <s v="opolskie"/>
        <s v="swietokrzyskie"/>
        <s v="pomorskie"/>
        <s v="wielkopolskie"/>
        <s v="lubuskie"/>
      </sharedItems>
    </cacheField>
    <cacheField name="ludnosc_ogolem" numFmtId="0">
      <sharedItems containsSemiMixedTypes="0" containsString="0" containsNumber="1" containsInteger="1" minValue="21013" maxValue="1714446"/>
    </cacheField>
    <cacheField name="wsp_urodzen" numFmtId="0">
      <sharedItems containsSemiMixedTypes="0" containsString="0" containsNumber="1" minValue="7.7" maxValue="15.2"/>
    </cacheField>
    <cacheField name="wsp_zgonow" numFmtId="0">
      <sharedItems containsSemiMixedTypes="0" containsString="0" containsNumber="1" minValue="6.5" maxValue="15.5"/>
    </cacheField>
    <cacheField name="saldo_migracji" numFmtId="2">
      <sharedItems containsSemiMixedTypes="0" containsString="0" containsNumber="1" minValue="-7.7" maxValue="19.899999999999999"/>
    </cacheField>
    <cacheField name="liczba_urodzen" numFmtId="0">
      <sharedItems containsSemiMixedTypes="0" containsString="0" containsNumber="1" containsInteger="1" minValue="212" maxValue="190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s v="pomorskie"/>
    <n v="116000"/>
    <n v="15.2"/>
    <n v="6.5"/>
    <n v="7.7"/>
    <n v="8.6999999999999993"/>
  </r>
  <r>
    <x v="1"/>
    <s v="pomorskie"/>
    <n v="68311"/>
    <n v="15.2"/>
    <n v="8"/>
    <n v="0.4"/>
    <n v="7.1999999999999993"/>
  </r>
  <r>
    <x v="2"/>
    <s v="pomorskie"/>
    <n v="192349"/>
    <n v="14.6"/>
    <n v="7.4"/>
    <n v="10.7"/>
    <n v="7.1999999999999993"/>
  </r>
  <r>
    <x v="3"/>
    <s v="malopolskie"/>
    <n v="124278"/>
    <n v="14.1"/>
    <n v="7.7"/>
    <n v="0.1"/>
    <n v="6.3999999999999995"/>
  </r>
  <r>
    <x v="4"/>
    <s v="malopolskie"/>
    <n v="202701"/>
    <n v="13.6"/>
    <n v="7.5"/>
    <n v="0.1"/>
    <n v="6.1"/>
  </r>
  <r>
    <x v="5"/>
    <s v="wielkopolskie"/>
    <n v="319258"/>
    <n v="13.1"/>
    <n v="7.1"/>
    <n v="18.899999999999999"/>
    <n v="6"/>
  </r>
  <r>
    <x v="6"/>
    <s v="pomorskie"/>
    <n v="93191"/>
    <n v="12.7"/>
    <n v="6.7"/>
    <n v="19.3"/>
    <n v="5.9999999999999991"/>
  </r>
  <r>
    <x v="7"/>
    <s v="slaskie"/>
    <n v="62022"/>
    <n v="12.3"/>
    <n v="6.6"/>
    <n v="-6.9"/>
    <n v="5.7000000000000011"/>
  </r>
  <r>
    <x v="8"/>
    <s v="pomorskie"/>
    <n v="76043"/>
    <n v="13.6"/>
    <n v="7.9"/>
    <n v="-2.7"/>
    <n v="5.6999999999999993"/>
  </r>
  <r>
    <x v="9"/>
    <s v="slaskie"/>
    <n v="106361"/>
    <n v="13.3"/>
    <n v="7.8"/>
    <n v="1.1000000000000001"/>
    <n v="5.500000000000000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9">
  <r>
    <s v="kartuski"/>
    <x v="0"/>
    <x v="0"/>
    <n v="15.2"/>
    <n v="6.5"/>
    <n v="7.7"/>
    <n v="8.6999999999999993"/>
  </r>
  <r>
    <s v="koscierski"/>
    <x v="0"/>
    <x v="1"/>
    <n v="15.2"/>
    <n v="8"/>
    <n v="0.4"/>
    <n v="7.1999999999999993"/>
  </r>
  <r>
    <s v="wejherowski"/>
    <x v="0"/>
    <x v="2"/>
    <n v="14.6"/>
    <n v="7.4"/>
    <n v="10.7"/>
    <n v="7.1999999999999993"/>
  </r>
  <r>
    <s v="limanowski"/>
    <x v="1"/>
    <x v="3"/>
    <n v="14.1"/>
    <n v="7.7"/>
    <n v="0.1"/>
    <n v="6.3999999999999995"/>
  </r>
  <r>
    <s v="nowosadecki"/>
    <x v="1"/>
    <x v="4"/>
    <n v="13.6"/>
    <n v="7.5"/>
    <n v="0.1"/>
    <n v="6.1"/>
  </r>
  <r>
    <s v="poznanski"/>
    <x v="2"/>
    <x v="5"/>
    <n v="13.1"/>
    <n v="7.1"/>
    <n v="18.899999999999999"/>
    <n v="6"/>
  </r>
  <r>
    <s v="gdanski"/>
    <x v="0"/>
    <x v="6"/>
    <n v="12.7"/>
    <n v="6.7"/>
    <n v="19.3"/>
    <n v="5.9999999999999991"/>
  </r>
  <r>
    <s v="m Zory"/>
    <x v="3"/>
    <x v="7"/>
    <n v="12.3"/>
    <n v="6.6"/>
    <n v="-6.9"/>
    <n v="5.7000000000000011"/>
  </r>
  <r>
    <s v="bytowski"/>
    <x v="0"/>
    <x v="8"/>
    <n v="13.6"/>
    <n v="7.9"/>
    <n v="-2.7"/>
    <n v="5.6999999999999993"/>
  </r>
  <r>
    <s v="pszczynski"/>
    <x v="3"/>
    <x v="9"/>
    <n v="13.3"/>
    <n v="7.8"/>
    <n v="1.1000000000000001"/>
    <n v="5.5000000000000009"/>
  </r>
  <r>
    <s v="pucki"/>
    <x v="0"/>
    <x v="10"/>
    <n v="13.3"/>
    <n v="8.1"/>
    <n v="5.2"/>
    <n v="5.2000000000000011"/>
  </r>
  <r>
    <s v="kwidzynski"/>
    <x v="0"/>
    <x v="11"/>
    <n v="13.6"/>
    <n v="8.5"/>
    <n v="0.3"/>
    <n v="5.0999999999999996"/>
  </r>
  <r>
    <s v="sztumski"/>
    <x v="0"/>
    <x v="12"/>
    <n v="13.6"/>
    <n v="8.5"/>
    <n v="-4.4000000000000004"/>
    <n v="5.0999999999999996"/>
  </r>
  <r>
    <s v="wagrowiecki"/>
    <x v="2"/>
    <x v="13"/>
    <n v="14"/>
    <n v="8.9"/>
    <n v="-0.2"/>
    <n v="5.0999999999999996"/>
  </r>
  <r>
    <s v="myslenicki"/>
    <x v="1"/>
    <x v="14"/>
    <n v="13.2"/>
    <n v="8.1999999999999993"/>
    <n v="2.4"/>
    <n v="5"/>
  </r>
  <r>
    <s v="chojnicki"/>
    <x v="0"/>
    <x v="15"/>
    <n v="13.9"/>
    <n v="9"/>
    <n v="-0.3"/>
    <n v="4.9000000000000004"/>
  </r>
  <r>
    <s v="nowotarski"/>
    <x v="1"/>
    <x v="16"/>
    <n v="12"/>
    <n v="7.3"/>
    <n v="0.7"/>
    <n v="4.7"/>
  </r>
  <r>
    <s v="tczewski"/>
    <x v="0"/>
    <x v="17"/>
    <n v="13.8"/>
    <n v="9.1999999999999993"/>
    <n v="-1.6"/>
    <n v="4.6000000000000014"/>
  </r>
  <r>
    <s v="goldapski"/>
    <x v="4"/>
    <x v="18"/>
    <n v="12.7"/>
    <n v="8.1"/>
    <n v="-3.7"/>
    <n v="4.5999999999999996"/>
  </r>
  <r>
    <s v="nowotomyski"/>
    <x v="2"/>
    <x v="19"/>
    <n v="13.5"/>
    <n v="8.9"/>
    <n v="-0.9"/>
    <n v="4.5999999999999996"/>
  </r>
  <r>
    <s v="glogowski"/>
    <x v="5"/>
    <x v="20"/>
    <n v="12.1"/>
    <n v="7.6"/>
    <n v="-3.3"/>
    <n v="4.5"/>
  </r>
  <r>
    <s v="piaseczynski"/>
    <x v="6"/>
    <x v="21"/>
    <n v="12.5"/>
    <n v="8"/>
    <n v="16.899999999999999"/>
    <n v="4.5"/>
  </r>
  <r>
    <s v="wolominski"/>
    <x v="6"/>
    <x v="22"/>
    <n v="13.1"/>
    <n v="8.6"/>
    <n v="11.5"/>
    <n v="4.5"/>
  </r>
  <r>
    <s v="leszczynski"/>
    <x v="2"/>
    <x v="23"/>
    <n v="13"/>
    <n v="8.6999999999999993"/>
    <n v="5.9"/>
    <n v="4.3000000000000007"/>
  </r>
  <r>
    <s v="obornicki"/>
    <x v="2"/>
    <x v="24"/>
    <n v="13.2"/>
    <n v="8.9"/>
    <n v="0.3"/>
    <n v="4.2999999999999989"/>
  </r>
  <r>
    <s v="m Ostroleka"/>
    <x v="6"/>
    <x v="25"/>
    <n v="11.3"/>
    <n v="7.1"/>
    <n v="-7.6"/>
    <n v="4.2000000000000011"/>
  </r>
  <r>
    <s v="nakielski"/>
    <x v="7"/>
    <x v="26"/>
    <n v="12.7"/>
    <n v="8.5"/>
    <n v="-1.6"/>
    <n v="4.1999999999999993"/>
  </r>
  <r>
    <s v="policki"/>
    <x v="8"/>
    <x v="27"/>
    <n v="10.9"/>
    <n v="6.8"/>
    <n v="12.7"/>
    <n v="4.1000000000000005"/>
  </r>
  <r>
    <s v="dzialdowski"/>
    <x v="4"/>
    <x v="28"/>
    <n v="13.1"/>
    <n v="9"/>
    <n v="-3.6"/>
    <n v="4.0999999999999996"/>
  </r>
  <r>
    <s v="ilawski"/>
    <x v="4"/>
    <x v="29"/>
    <n v="12.5"/>
    <n v="8.4"/>
    <n v="-1.2"/>
    <n v="4.0999999999999996"/>
  </r>
  <r>
    <s v="wrzesinski"/>
    <x v="2"/>
    <x v="30"/>
    <n v="13.1"/>
    <n v="9"/>
    <n v="0.5"/>
    <n v="4.0999999999999996"/>
  </r>
  <r>
    <s v="bialobrzeski"/>
    <x v="6"/>
    <x v="31"/>
    <n v="15"/>
    <n v="11"/>
    <n v="-1.1000000000000001"/>
    <n v="4"/>
  </r>
  <r>
    <s v="bierunsko-ledzinski"/>
    <x v="3"/>
    <x v="32"/>
    <n v="12.2"/>
    <n v="8.1999999999999993"/>
    <n v="2.5"/>
    <n v="4"/>
  </r>
  <r>
    <s v="grodziski"/>
    <x v="2"/>
    <x v="33"/>
    <n v="13.3"/>
    <n v="9.3000000000000007"/>
    <n v="-0.8"/>
    <n v="4"/>
  </r>
  <r>
    <s v="sepolenski"/>
    <x v="7"/>
    <x v="34"/>
    <n v="13.4"/>
    <n v="9.4"/>
    <n v="-2.5"/>
    <n v="4"/>
  </r>
  <r>
    <s v="starogardzki"/>
    <x v="0"/>
    <x v="35"/>
    <n v="12.9"/>
    <n v="8.9"/>
    <n v="-0.3"/>
    <n v="4"/>
  </r>
  <r>
    <s v="leborski"/>
    <x v="0"/>
    <x v="36"/>
    <n v="12.5"/>
    <n v="8.6"/>
    <n v="-0.7"/>
    <n v="3.9000000000000004"/>
  </r>
  <r>
    <s v="m Siedlce"/>
    <x v="6"/>
    <x v="37"/>
    <n v="11.8"/>
    <n v="7.9"/>
    <n v="-2.1"/>
    <n v="3.9000000000000004"/>
  </r>
  <r>
    <s v="tucholski"/>
    <x v="7"/>
    <x v="38"/>
    <n v="12.6"/>
    <n v="8.6999999999999993"/>
    <n v="-1.1000000000000001"/>
    <n v="3.9000000000000004"/>
  </r>
  <r>
    <s v="nowomiejski"/>
    <x v="4"/>
    <x v="39"/>
    <n v="13"/>
    <n v="9.1999999999999993"/>
    <n v="-2.2000000000000002"/>
    <n v="3.8000000000000007"/>
  </r>
  <r>
    <s v="sremski"/>
    <x v="2"/>
    <x v="40"/>
    <n v="12.8"/>
    <n v="9"/>
    <n v="-0.1"/>
    <n v="3.8000000000000007"/>
  </r>
  <r>
    <s v="elcki"/>
    <x v="4"/>
    <x v="41"/>
    <n v="12.1"/>
    <n v="8.3000000000000007"/>
    <n v="1.3"/>
    <n v="3.7999999999999989"/>
  </r>
  <r>
    <s v="wyszkowski"/>
    <x v="6"/>
    <x v="42"/>
    <n v="13.6"/>
    <n v="9.8000000000000007"/>
    <n v="-0.9"/>
    <n v="3.7999999999999989"/>
  </r>
  <r>
    <s v="polkowicki"/>
    <x v="5"/>
    <x v="43"/>
    <n v="12.4"/>
    <n v="8.6999999999999993"/>
    <n v="-1.6"/>
    <n v="3.7000000000000011"/>
  </r>
  <r>
    <s v="wolsztynski"/>
    <x v="2"/>
    <x v="44"/>
    <n v="12.3"/>
    <n v="8.6"/>
    <n v="0.2"/>
    <n v="3.7000000000000011"/>
  </r>
  <r>
    <s v="bydgoski"/>
    <x v="7"/>
    <x v="45"/>
    <n v="11.5"/>
    <n v="7.8"/>
    <n v="15.1"/>
    <n v="3.7"/>
  </r>
  <r>
    <s v="m Biala Podlaska"/>
    <x v="9"/>
    <x v="46"/>
    <n v="10.9"/>
    <n v="7.2"/>
    <n v="-2.5"/>
    <n v="3.7"/>
  </r>
  <r>
    <s v="bochenski"/>
    <x v="1"/>
    <x v="47"/>
    <n v="13.1"/>
    <n v="9.4"/>
    <n v="1"/>
    <n v="3.6999999999999993"/>
  </r>
  <r>
    <s v="debicki"/>
    <x v="10"/>
    <x v="48"/>
    <n v="11.6"/>
    <n v="7.9"/>
    <n v="-1.1000000000000001"/>
    <n v="3.6999999999999993"/>
  </r>
  <r>
    <s v="wroclawski"/>
    <x v="5"/>
    <x v="49"/>
    <n v="12.2"/>
    <n v="8.5"/>
    <n v="19.899999999999999"/>
    <n v="3.6999999999999993"/>
  </r>
  <r>
    <s v="zielonogorski"/>
    <x v="11"/>
    <x v="50"/>
    <n v="11.4"/>
    <n v="7.8"/>
    <n v="5.8"/>
    <n v="3.6000000000000005"/>
  </r>
  <r>
    <s v="brodnicki"/>
    <x v="7"/>
    <x v="51"/>
    <n v="13.6"/>
    <n v="10"/>
    <n v="-1.3"/>
    <n v="3.5999999999999996"/>
  </r>
  <r>
    <s v="m Leszno"/>
    <x v="2"/>
    <x v="52"/>
    <n v="12.5"/>
    <n v="8.9"/>
    <n v="-1.9"/>
    <n v="3.5999999999999996"/>
  </r>
  <r>
    <s v="gostynski"/>
    <x v="2"/>
    <x v="53"/>
    <n v="12.6"/>
    <n v="9.1"/>
    <n v="-1.8"/>
    <n v="3.5"/>
  </r>
  <r>
    <s v="legionowski"/>
    <x v="6"/>
    <x v="54"/>
    <n v="12"/>
    <n v="8.5"/>
    <n v="13.4"/>
    <n v="3.5"/>
  </r>
  <r>
    <s v="ropczycko-sedziszowski"/>
    <x v="10"/>
    <x v="55"/>
    <n v="11.7"/>
    <n v="8.1999999999999993"/>
    <n v="-0.8"/>
    <n v="3.5"/>
  </r>
  <r>
    <s v="brzozowski"/>
    <x v="10"/>
    <x v="56"/>
    <n v="11.9"/>
    <n v="8.5"/>
    <n v="-2.1"/>
    <n v="3.4000000000000004"/>
  </r>
  <r>
    <s v="czarnkowsko-trzcianecki"/>
    <x v="2"/>
    <x v="57"/>
    <n v="12.9"/>
    <n v="9.5"/>
    <n v="-1.6"/>
    <n v="3.4000000000000004"/>
  </r>
  <r>
    <s v="czluchowski"/>
    <x v="0"/>
    <x v="58"/>
    <n v="11.8"/>
    <n v="8.4"/>
    <n v="-3.6"/>
    <n v="3.4000000000000004"/>
  </r>
  <r>
    <s v="gnieznienski"/>
    <x v="2"/>
    <x v="59"/>
    <n v="12"/>
    <n v="8.6"/>
    <n v="-0.4"/>
    <n v="3.4000000000000004"/>
  </r>
  <r>
    <s v="m Suwalki"/>
    <x v="12"/>
    <x v="60"/>
    <n v="10.4"/>
    <n v="7"/>
    <n v="-2.1"/>
    <n v="3.4000000000000004"/>
  </r>
  <r>
    <s v="m Nowy Sacz"/>
    <x v="1"/>
    <x v="61"/>
    <n v="11.1"/>
    <n v="7.7"/>
    <n v="-1.8"/>
    <n v="3.3999999999999995"/>
  </r>
  <r>
    <s v="gorlicki"/>
    <x v="1"/>
    <x v="62"/>
    <n v="12.2"/>
    <n v="8.8000000000000007"/>
    <n v="-1.9"/>
    <n v="3.3999999999999986"/>
  </r>
  <r>
    <s v="torunski"/>
    <x v="7"/>
    <x v="63"/>
    <n v="11.7"/>
    <n v="8.3000000000000007"/>
    <n v="13.3"/>
    <n v="3.3999999999999986"/>
  </r>
  <r>
    <s v="m Lomza"/>
    <x v="12"/>
    <x v="64"/>
    <n v="10.3"/>
    <n v="7"/>
    <n v="-2.1"/>
    <n v="3.3000000000000007"/>
  </r>
  <r>
    <s v="lancucki"/>
    <x v="10"/>
    <x v="65"/>
    <n v="12.2"/>
    <n v="8.9"/>
    <n v="0.5"/>
    <n v="3.2999999999999989"/>
  </r>
  <r>
    <s v="zlotowski"/>
    <x v="2"/>
    <x v="66"/>
    <n v="12.3"/>
    <n v="9.1"/>
    <n v="-2.1"/>
    <n v="3.2000000000000011"/>
  </r>
  <r>
    <s v="piski"/>
    <x v="4"/>
    <x v="67"/>
    <n v="12.1"/>
    <n v="8.9"/>
    <n v="-5.7"/>
    <n v="3.1999999999999993"/>
  </r>
  <r>
    <s v="m Olsztyn"/>
    <x v="4"/>
    <x v="68"/>
    <n v="11.2"/>
    <n v="8.1"/>
    <n v="-1"/>
    <n v="3.0999999999999996"/>
  </r>
  <r>
    <s v="slupski"/>
    <x v="0"/>
    <x v="69"/>
    <n v="12.1"/>
    <n v="9"/>
    <n v="-0.2"/>
    <n v="3.0999999999999996"/>
  </r>
  <r>
    <s v="m ZamoSc"/>
    <x v="9"/>
    <x v="70"/>
    <n v="10.8"/>
    <n v="7.8"/>
    <n v="-3.1"/>
    <n v="3.0000000000000009"/>
  </r>
  <r>
    <s v="bielski"/>
    <x v="3"/>
    <x v="71"/>
    <n v="12"/>
    <n v="9"/>
    <n v="6.9"/>
    <n v="3"/>
  </r>
  <r>
    <s v="gorzowski"/>
    <x v="11"/>
    <x v="72"/>
    <n v="12"/>
    <n v="9"/>
    <n v="5.7"/>
    <n v="3"/>
  </r>
  <r>
    <s v="krotoszynski"/>
    <x v="2"/>
    <x v="73"/>
    <n v="12.8"/>
    <n v="9.8000000000000007"/>
    <n v="-1.8"/>
    <n v="3"/>
  </r>
  <r>
    <s v="m Rybnik"/>
    <x v="3"/>
    <x v="74"/>
    <n v="11.6"/>
    <n v="8.6"/>
    <n v="-1.3"/>
    <n v="3"/>
  </r>
  <r>
    <s v="miedzychodzki"/>
    <x v="2"/>
    <x v="75"/>
    <n v="12.8"/>
    <n v="9.9"/>
    <n v="-1"/>
    <n v="2.9000000000000004"/>
  </r>
  <r>
    <s v="mielecki"/>
    <x v="10"/>
    <x v="76"/>
    <n v="11.1"/>
    <n v="8.1999999999999993"/>
    <n v="-0.8"/>
    <n v="2.9000000000000004"/>
  </r>
  <r>
    <s v="milicki"/>
    <x v="5"/>
    <x v="77"/>
    <n v="12.9"/>
    <n v="10"/>
    <n v="-0.7"/>
    <n v="2.9000000000000004"/>
  </r>
  <r>
    <s v="brzeski"/>
    <x v="1"/>
    <x v="78"/>
    <n v="11.7"/>
    <n v="8.8000000000000007"/>
    <n v="0.9"/>
    <n v="2.8999999999999986"/>
  </r>
  <r>
    <s v="slubicki"/>
    <x v="11"/>
    <x v="79"/>
    <n v="12.5"/>
    <n v="9.6999999999999993"/>
    <n v="0.4"/>
    <n v="2.8000000000000007"/>
  </r>
  <r>
    <s v="sredzki"/>
    <x v="2"/>
    <x v="80"/>
    <n v="12.4"/>
    <n v="9.6"/>
    <n v="1.5"/>
    <n v="2.8000000000000007"/>
  </r>
  <r>
    <s v="olecki"/>
    <x v="4"/>
    <x v="81"/>
    <n v="11.4"/>
    <n v="8.6999999999999993"/>
    <n v="-3.4"/>
    <n v="2.7000000000000011"/>
  </r>
  <r>
    <s v="m Bialystok"/>
    <x v="12"/>
    <x v="82"/>
    <n v="10.5"/>
    <n v="7.8"/>
    <n v="-1.4"/>
    <n v="2.7"/>
  </r>
  <r>
    <s v="m Jastrzebie-Zdroj"/>
    <x v="3"/>
    <x v="83"/>
    <n v="10.4"/>
    <n v="7.7"/>
    <n v="-7.7"/>
    <n v="2.7"/>
  </r>
  <r>
    <s v="jarocinski"/>
    <x v="2"/>
    <x v="84"/>
    <n v="12.2"/>
    <n v="9.5"/>
    <n v="-1"/>
    <n v="2.6999999999999993"/>
  </r>
  <r>
    <s v="lubinski"/>
    <x v="5"/>
    <x v="85"/>
    <n v="10.6"/>
    <n v="7.9"/>
    <n v="-2.8"/>
    <n v="2.6999999999999993"/>
  </r>
  <r>
    <s v="m Tychy"/>
    <x v="3"/>
    <x v="86"/>
    <n v="11"/>
    <n v="8.3000000000000007"/>
    <n v="-2.7"/>
    <n v="2.6999999999999993"/>
  </r>
  <r>
    <s v="suski"/>
    <x v="1"/>
    <x v="87"/>
    <n v="12.2"/>
    <n v="9.5"/>
    <n v="0.4"/>
    <n v="2.6999999999999993"/>
  </r>
  <r>
    <s v="tarnowski"/>
    <x v="1"/>
    <x v="88"/>
    <n v="11.2"/>
    <n v="8.5"/>
    <n v="1.3"/>
    <n v="2.6999999999999993"/>
  </r>
  <r>
    <s v="bieszczadzki"/>
    <x v="10"/>
    <x v="89"/>
    <n v="11.3"/>
    <n v="8.6999999999999993"/>
    <n v="-4.2"/>
    <n v="2.6000000000000014"/>
  </r>
  <r>
    <s v="olsztynski"/>
    <x v="4"/>
    <x v="90"/>
    <n v="11.6"/>
    <n v="9"/>
    <n v="6.5"/>
    <n v="2.5999999999999996"/>
  </r>
  <r>
    <s v="ostrowski"/>
    <x v="2"/>
    <x v="91"/>
    <n v="11.5"/>
    <n v="8.9"/>
    <n v="0.2"/>
    <n v="2.5999999999999996"/>
  </r>
  <r>
    <s v="pilski"/>
    <x v="2"/>
    <x v="92"/>
    <n v="11.7"/>
    <n v="9.1"/>
    <n v="-1.9"/>
    <n v="2.5999999999999996"/>
  </r>
  <r>
    <s v="wadowicki"/>
    <x v="1"/>
    <x v="93"/>
    <n v="11.7"/>
    <n v="9.1"/>
    <n v="-0.1"/>
    <n v="2.5999999999999996"/>
  </r>
  <r>
    <s v="grudziadzki"/>
    <x v="7"/>
    <x v="94"/>
    <n v="11.4"/>
    <n v="8.9"/>
    <n v="-0.9"/>
    <n v="2.5"/>
  </r>
  <r>
    <s v="leczynski"/>
    <x v="9"/>
    <x v="95"/>
    <n v="11.4"/>
    <n v="8.9"/>
    <n v="-2.2000000000000002"/>
    <n v="2.5"/>
  </r>
  <r>
    <s v="m Rzeszow"/>
    <x v="10"/>
    <x v="96"/>
    <n v="11.1"/>
    <n v="8.6"/>
    <n v="-0.4"/>
    <n v="2.5"/>
  </r>
  <r>
    <s v="nowodworski"/>
    <x v="0"/>
    <x v="97"/>
    <n v="11.8"/>
    <n v="9.3000000000000007"/>
    <n v="-1.6"/>
    <n v="2.5"/>
  </r>
  <r>
    <s v="belchatowski"/>
    <x v="13"/>
    <x v="98"/>
    <n v="11.5"/>
    <n v="9.1"/>
    <n v="-1.6"/>
    <n v="2.4000000000000004"/>
  </r>
  <r>
    <s v="chelminski"/>
    <x v="7"/>
    <x v="99"/>
    <n v="12.4"/>
    <n v="10"/>
    <n v="-2"/>
    <n v="2.4000000000000004"/>
  </r>
  <r>
    <s v="m Skierniewice"/>
    <x v="13"/>
    <x v="100"/>
    <n v="11"/>
    <n v="8.6"/>
    <n v="-1.6"/>
    <n v="2.4000000000000004"/>
  </r>
  <r>
    <s v="szamotulski"/>
    <x v="2"/>
    <x v="101"/>
    <n v="12"/>
    <n v="9.6"/>
    <n v="1.2"/>
    <n v="2.4000000000000004"/>
  </r>
  <r>
    <s v="szczycienski"/>
    <x v="4"/>
    <x v="102"/>
    <n v="12.1"/>
    <n v="9.6999999999999993"/>
    <n v="-2.2000000000000002"/>
    <n v="2.4000000000000004"/>
  </r>
  <r>
    <s v="wabrzeski"/>
    <x v="7"/>
    <x v="103"/>
    <n v="12.1"/>
    <n v="9.6999999999999993"/>
    <n v="-1.4"/>
    <n v="2.4000000000000004"/>
  </r>
  <r>
    <s v="koninski"/>
    <x v="2"/>
    <x v="104"/>
    <n v="11.7"/>
    <n v="9.3000000000000007"/>
    <n v="2.5"/>
    <n v="2.3999999999999986"/>
  </r>
  <r>
    <s v="lukowski"/>
    <x v="9"/>
    <x v="105"/>
    <n v="12.2"/>
    <n v="9.8000000000000007"/>
    <n v="-4.0999999999999996"/>
    <n v="2.3999999999999986"/>
  </r>
  <r>
    <s v="mragowski"/>
    <x v="4"/>
    <x v="106"/>
    <n v="11.2"/>
    <n v="8.8000000000000007"/>
    <n v="-2.2000000000000002"/>
    <n v="2.3999999999999986"/>
  </r>
  <r>
    <s v="garwolinski"/>
    <x v="6"/>
    <x v="107"/>
    <n v="13"/>
    <n v="10.7"/>
    <n v="-0.9"/>
    <n v="2.3000000000000007"/>
  </r>
  <r>
    <s v="mikolowski"/>
    <x v="3"/>
    <x v="108"/>
    <n v="11.5"/>
    <n v="9.1999999999999993"/>
    <n v="4.8"/>
    <n v="2.3000000000000007"/>
  </r>
  <r>
    <s v="olawski"/>
    <x v="5"/>
    <x v="109"/>
    <n v="11.4"/>
    <n v="9.1"/>
    <n v="4.3"/>
    <n v="2.3000000000000007"/>
  </r>
  <r>
    <s v="swiecki"/>
    <x v="7"/>
    <x v="110"/>
    <n v="11.8"/>
    <n v="9.5"/>
    <n v="0.1"/>
    <n v="2.3000000000000007"/>
  </r>
  <r>
    <s v="turecki"/>
    <x v="2"/>
    <x v="111"/>
    <n v="12.4"/>
    <n v="10.1"/>
    <n v="-1.7"/>
    <n v="2.3000000000000007"/>
  </r>
  <r>
    <s v="lipnowski"/>
    <x v="7"/>
    <x v="112"/>
    <n v="12.8"/>
    <n v="10.6"/>
    <n v="-2"/>
    <n v="2.2000000000000011"/>
  </r>
  <r>
    <s v="wielicki"/>
    <x v="1"/>
    <x v="113"/>
    <n v="11.3"/>
    <n v="9.1"/>
    <n v="12.5"/>
    <n v="2.2000000000000011"/>
  </r>
  <r>
    <s v="goleniowski"/>
    <x v="8"/>
    <x v="114"/>
    <n v="11.1"/>
    <n v="8.9"/>
    <n v="2.2000000000000002"/>
    <n v="2.1999999999999993"/>
  </r>
  <r>
    <s v="koszalinski"/>
    <x v="8"/>
    <x v="115"/>
    <n v="11.5"/>
    <n v="9.3000000000000007"/>
    <n v="3.8"/>
    <n v="2.1999999999999993"/>
  </r>
  <r>
    <s v="leski"/>
    <x v="10"/>
    <x v="116"/>
    <n v="9.1999999999999993"/>
    <n v="7"/>
    <n v="-0.9"/>
    <n v="2.1999999999999993"/>
  </r>
  <r>
    <s v="minski"/>
    <x v="6"/>
    <x v="117"/>
    <n v="12.7"/>
    <n v="10.5"/>
    <n v="5"/>
    <n v="2.1999999999999993"/>
  </r>
  <r>
    <s v="ostrolecki"/>
    <x v="6"/>
    <x v="118"/>
    <n v="12.5"/>
    <n v="10.3"/>
    <n v="1.4"/>
    <n v="2.1999999999999993"/>
  </r>
  <r>
    <s v="radomski"/>
    <x v="6"/>
    <x v="119"/>
    <n v="11.7"/>
    <n v="9.5"/>
    <n v="2.2000000000000002"/>
    <n v="2.1999999999999993"/>
  </r>
  <r>
    <s v="golubsko-dobrzynski"/>
    <x v="7"/>
    <x v="120"/>
    <n v="11.9"/>
    <n v="9.8000000000000007"/>
    <n v="-1.4"/>
    <n v="2.0999999999999996"/>
  </r>
  <r>
    <s v="gryficki"/>
    <x v="8"/>
    <x v="121"/>
    <n v="11.6"/>
    <n v="9.5"/>
    <n v="-1.8"/>
    <n v="2.0999999999999996"/>
  </r>
  <r>
    <s v="strzelecko-drezdenecki"/>
    <x v="11"/>
    <x v="122"/>
    <n v="11.7"/>
    <n v="9.6"/>
    <n v="-3.3"/>
    <n v="2.0999999999999996"/>
  </r>
  <r>
    <s v="swidwinski"/>
    <x v="8"/>
    <x v="123"/>
    <n v="11.4"/>
    <n v="9.3000000000000007"/>
    <n v="-3.2"/>
    <n v="2.0999999999999996"/>
  </r>
  <r>
    <s v="chodzieski"/>
    <x v="2"/>
    <x v="124"/>
    <n v="12.1"/>
    <n v="10.1"/>
    <n v="0.1"/>
    <n v="2"/>
  </r>
  <r>
    <s v="kepinski"/>
    <x v="2"/>
    <x v="125"/>
    <n v="11.3"/>
    <n v="9.3000000000000007"/>
    <n v="-0.9"/>
    <n v="2"/>
  </r>
  <r>
    <s v="kielecki"/>
    <x v="14"/>
    <x v="126"/>
    <n v="11.2"/>
    <n v="9.1999999999999993"/>
    <n v="2.9"/>
    <n v="2"/>
  </r>
  <r>
    <s v="lezajski"/>
    <x v="10"/>
    <x v="127"/>
    <n v="10.5"/>
    <n v="8.5"/>
    <n v="-1.8"/>
    <n v="2"/>
  </r>
  <r>
    <s v="m Konin"/>
    <x v="2"/>
    <x v="128"/>
    <n v="10.1"/>
    <n v="8.1"/>
    <n v="-6.3"/>
    <n v="2"/>
  </r>
  <r>
    <s v="ostrodzki"/>
    <x v="4"/>
    <x v="129"/>
    <n v="11.6"/>
    <n v="9.6"/>
    <n v="-3.7"/>
    <n v="2"/>
  </r>
  <r>
    <s v="kolobrzeski"/>
    <x v="8"/>
    <x v="130"/>
    <n v="10.6"/>
    <n v="8.6999999999999993"/>
    <n v="0.8"/>
    <n v="1.9000000000000004"/>
  </r>
  <r>
    <s v="krosnienski"/>
    <x v="10"/>
    <x v="131"/>
    <n v="11.1"/>
    <n v="9.1999999999999993"/>
    <n v="-0.1"/>
    <n v="1.9000000000000004"/>
  </r>
  <r>
    <s v="malborski"/>
    <x v="0"/>
    <x v="132"/>
    <n v="11.3"/>
    <n v="9.4"/>
    <n v="1"/>
    <n v="1.9000000000000004"/>
  </r>
  <r>
    <s v="miedzyrzecki"/>
    <x v="11"/>
    <x v="133"/>
    <n v="11.3"/>
    <n v="9.4"/>
    <n v="-2.4"/>
    <n v="1.9000000000000004"/>
  </r>
  <r>
    <s v="nidzicki"/>
    <x v="4"/>
    <x v="134"/>
    <n v="11.8"/>
    <n v="9.9"/>
    <n v="-6"/>
    <n v="1.9000000000000004"/>
  </r>
  <r>
    <s v="ostrzeszowski"/>
    <x v="2"/>
    <x v="135"/>
    <n v="11.9"/>
    <n v="10"/>
    <n v="1.1000000000000001"/>
    <n v="1.9000000000000004"/>
  </r>
  <r>
    <s v="koscianski"/>
    <x v="2"/>
    <x v="136"/>
    <n v="11.4"/>
    <n v="9.6"/>
    <n v="-0.7"/>
    <n v="1.8000000000000007"/>
  </r>
  <r>
    <s v="m Gorzow Wielkopolski"/>
    <x v="11"/>
    <x v="137"/>
    <n v="11"/>
    <n v="9.1999999999999993"/>
    <n v="-1.6"/>
    <n v="1.8000000000000007"/>
  </r>
  <r>
    <s v="pyrzycki"/>
    <x v="8"/>
    <x v="138"/>
    <n v="11.5"/>
    <n v="9.6999999999999993"/>
    <n v="-2.2999999999999998"/>
    <n v="1.8000000000000007"/>
  </r>
  <r>
    <s v="slupecki"/>
    <x v="2"/>
    <x v="139"/>
    <n v="11.5"/>
    <n v="9.6999999999999993"/>
    <n v="-2.5"/>
    <n v="1.8000000000000007"/>
  </r>
  <r>
    <s v="stargardzki"/>
    <x v="8"/>
    <x v="140"/>
    <n v="11"/>
    <n v="9.1999999999999993"/>
    <n v="-0.6"/>
    <n v="1.8000000000000007"/>
  </r>
  <r>
    <s v="drawski"/>
    <x v="8"/>
    <x v="141"/>
    <n v="11.2"/>
    <n v="9.4"/>
    <n v="-3.6"/>
    <n v="1.7999999999999989"/>
  </r>
  <r>
    <s v="grodziski"/>
    <x v="6"/>
    <x v="142"/>
    <n v="12.3"/>
    <n v="10.6"/>
    <n v="13.7"/>
    <n v="1.7000000000000011"/>
  </r>
  <r>
    <s v="gryfinski"/>
    <x v="8"/>
    <x v="143"/>
    <n v="10.8"/>
    <n v="9.1"/>
    <n v="-2.8"/>
    <n v="1.7000000000000011"/>
  </r>
  <r>
    <s v="namyslowski"/>
    <x v="15"/>
    <x v="144"/>
    <n v="10.8"/>
    <n v="9.1"/>
    <n v="-2.7"/>
    <n v="1.7000000000000011"/>
  </r>
  <r>
    <s v="swiebodzinski"/>
    <x v="11"/>
    <x v="145"/>
    <n v="11.8"/>
    <n v="10.1"/>
    <n v="0"/>
    <n v="1.7000000000000011"/>
  </r>
  <r>
    <s v="elblaski"/>
    <x v="4"/>
    <x v="146"/>
    <n v="11.6"/>
    <n v="9.9"/>
    <n v="-2"/>
    <n v="1.6999999999999993"/>
  </r>
  <r>
    <s v="krakowski"/>
    <x v="1"/>
    <x v="147"/>
    <n v="11.2"/>
    <n v="9.5"/>
    <n v="9.9"/>
    <n v="1.6999999999999993"/>
  </r>
  <r>
    <s v="nowodworski"/>
    <x v="6"/>
    <x v="148"/>
    <n v="11.2"/>
    <n v="9.5"/>
    <n v="2.7"/>
    <n v="1.6999999999999993"/>
  </r>
  <r>
    <s v="pleszewski"/>
    <x v="2"/>
    <x v="149"/>
    <n v="11.2"/>
    <n v="9.5"/>
    <n v="-0.6"/>
    <n v="1.6999999999999993"/>
  </r>
  <r>
    <s v="pruszkowski"/>
    <x v="6"/>
    <x v="150"/>
    <n v="11.2"/>
    <n v="9.5"/>
    <n v="9.5"/>
    <n v="1.6999999999999993"/>
  </r>
  <r>
    <s v="rzeszowski"/>
    <x v="10"/>
    <x v="151"/>
    <n v="11.2"/>
    <n v="9.5"/>
    <n v="5.4"/>
    <n v="1.6999999999999993"/>
  </r>
  <r>
    <s v="zninski"/>
    <x v="7"/>
    <x v="152"/>
    <n v="11.6"/>
    <n v="9.9"/>
    <n v="-0.4"/>
    <n v="1.6999999999999993"/>
  </r>
  <r>
    <s v="m Torun"/>
    <x v="7"/>
    <x v="153"/>
    <n v="10.8"/>
    <n v="9.1999999999999993"/>
    <n v="-3"/>
    <n v="1.6000000000000014"/>
  </r>
  <r>
    <s v="rawicki"/>
    <x v="2"/>
    <x v="154"/>
    <n v="11.8"/>
    <n v="10.199999999999999"/>
    <n v="0.6"/>
    <n v="1.6000000000000014"/>
  </r>
  <r>
    <s v="walecki"/>
    <x v="8"/>
    <x v="155"/>
    <n v="10.8"/>
    <n v="9.1999999999999993"/>
    <n v="-3.3"/>
    <n v="1.6000000000000014"/>
  </r>
  <r>
    <s v="nowosolski"/>
    <x v="11"/>
    <x v="156"/>
    <n v="11.9"/>
    <n v="10.3"/>
    <n v="-2"/>
    <n v="1.5999999999999996"/>
  </r>
  <r>
    <s v="rybnicki"/>
    <x v="3"/>
    <x v="157"/>
    <n v="11"/>
    <n v="9.4"/>
    <n v="3.1"/>
    <n v="1.5999999999999996"/>
  </r>
  <r>
    <s v="wodzislawski"/>
    <x v="3"/>
    <x v="158"/>
    <n v="11.2"/>
    <n v="9.6"/>
    <n v="0.6"/>
    <n v="1.5999999999999996"/>
  </r>
  <r>
    <s v="bialogardzki"/>
    <x v="8"/>
    <x v="159"/>
    <n v="11.7"/>
    <n v="10.199999999999999"/>
    <n v="-1"/>
    <n v="1.5"/>
  </r>
  <r>
    <s v="braniewski"/>
    <x v="4"/>
    <x v="160"/>
    <n v="11.5"/>
    <n v="10"/>
    <n v="-5"/>
    <n v="1.5"/>
  </r>
  <r>
    <s v="choszczenski"/>
    <x v="8"/>
    <x v="161"/>
    <n v="12.1"/>
    <n v="10.6"/>
    <n v="-2.2999999999999998"/>
    <n v="1.5"/>
  </r>
  <r>
    <s v="gizycki"/>
    <x v="4"/>
    <x v="162"/>
    <n v="11.3"/>
    <n v="9.8000000000000007"/>
    <n v="-2.7"/>
    <n v="1.5"/>
  </r>
  <r>
    <s v="kolbuszowski"/>
    <x v="10"/>
    <x v="163"/>
    <n v="10"/>
    <n v="8.5"/>
    <n v="-0.4"/>
    <n v="1.5"/>
  </r>
  <r>
    <s v="m Plock"/>
    <x v="6"/>
    <x v="164"/>
    <n v="11"/>
    <n v="9.5"/>
    <n v="-3.2"/>
    <n v="1.5"/>
  </r>
  <r>
    <s v="olesnicki"/>
    <x v="5"/>
    <x v="165"/>
    <n v="11.2"/>
    <n v="9.6999999999999993"/>
    <n v="1.8"/>
    <n v="1.5"/>
  </r>
  <r>
    <s v="otwocki"/>
    <x v="6"/>
    <x v="166"/>
    <n v="11.5"/>
    <n v="10"/>
    <n v="6.8"/>
    <n v="1.5"/>
  </r>
  <r>
    <s v="sanocki"/>
    <x v="10"/>
    <x v="167"/>
    <n v="9.8000000000000007"/>
    <n v="8.3000000000000007"/>
    <n v="-1.5"/>
    <n v="1.5"/>
  </r>
  <r>
    <s v="trzebnicki"/>
    <x v="5"/>
    <x v="168"/>
    <n v="11.6"/>
    <n v="10.1"/>
    <n v="5"/>
    <n v="1.5"/>
  </r>
  <r>
    <s v="m Lublin"/>
    <x v="9"/>
    <x v="169"/>
    <n v="10.9"/>
    <n v="9.5"/>
    <n v="-2.2999999999999998"/>
    <n v="1.4000000000000004"/>
  </r>
  <r>
    <s v="zambrowski"/>
    <x v="12"/>
    <x v="170"/>
    <n v="11.1"/>
    <n v="9.6999999999999993"/>
    <n v="-4.7"/>
    <n v="1.4000000000000004"/>
  </r>
  <r>
    <s v="jaroslawski"/>
    <x v="10"/>
    <x v="171"/>
    <n v="10.7"/>
    <n v="9.3000000000000007"/>
    <n v="-1.3"/>
    <n v="1.3999999999999986"/>
  </r>
  <r>
    <s v="tatrzanski"/>
    <x v="1"/>
    <x v="172"/>
    <n v="11"/>
    <n v="9.6999999999999993"/>
    <n v="1.7"/>
    <n v="1.3000000000000007"/>
  </r>
  <r>
    <s v="warszawski zachodni"/>
    <x v="6"/>
    <x v="173"/>
    <n v="10.5"/>
    <n v="9.1999999999999993"/>
    <n v="11.2"/>
    <n v="1.3000000000000007"/>
  </r>
  <r>
    <s v="kaliski"/>
    <x v="2"/>
    <x v="174"/>
    <n v="11.7"/>
    <n v="10.4"/>
    <n v="2.8"/>
    <n v="1.2999999999999989"/>
  </r>
  <r>
    <s v="m Gdansk"/>
    <x v="0"/>
    <x v="175"/>
    <n v="11.1"/>
    <n v="9.8000000000000007"/>
    <n v="-0.2"/>
    <n v="1.2999999999999989"/>
  </r>
  <r>
    <s v="m Poznan"/>
    <x v="2"/>
    <x v="176"/>
    <n v="11.3"/>
    <n v="10.1"/>
    <n v="-5.3"/>
    <n v="1.2000000000000011"/>
  </r>
  <r>
    <s v="oswiecimski"/>
    <x v="1"/>
    <x v="177"/>
    <n v="10.4"/>
    <n v="9.1999999999999993"/>
    <n v="0"/>
    <n v="1.2000000000000011"/>
  </r>
  <r>
    <s v="m Tarnobrzeg"/>
    <x v="10"/>
    <x v="178"/>
    <n v="8.4"/>
    <n v="7.2"/>
    <n v="-5"/>
    <n v="1.2000000000000002"/>
  </r>
  <r>
    <s v="boleslawiecki"/>
    <x v="5"/>
    <x v="179"/>
    <n v="11"/>
    <n v="9.8000000000000007"/>
    <n v="-0.1"/>
    <n v="1.1999999999999993"/>
  </r>
  <r>
    <s v="m Kielce"/>
    <x v="14"/>
    <x v="180"/>
    <n v="10"/>
    <n v="8.8000000000000007"/>
    <n v="-4.0999999999999996"/>
    <n v="1.1999999999999993"/>
  </r>
  <r>
    <s v="brzeski"/>
    <x v="15"/>
    <x v="181"/>
    <n v="10.8"/>
    <n v="9.6999999999999993"/>
    <n v="-0.5"/>
    <n v="1.1000000000000014"/>
  </r>
  <r>
    <s v="kolnenski"/>
    <x v="12"/>
    <x v="182"/>
    <n v="10.7"/>
    <n v="9.6"/>
    <n v="-5.9"/>
    <n v="1.0999999999999996"/>
  </r>
  <r>
    <s v="legnicki"/>
    <x v="5"/>
    <x v="183"/>
    <n v="11.1"/>
    <n v="10"/>
    <n v="2.2999999999999998"/>
    <n v="1.0999999999999996"/>
  </r>
  <r>
    <s v="lidzbarski"/>
    <x v="4"/>
    <x v="184"/>
    <n v="10.6"/>
    <n v="9.5"/>
    <n v="-2.8"/>
    <n v="1.0999999999999996"/>
  </r>
  <r>
    <s v="przemyski"/>
    <x v="10"/>
    <x v="185"/>
    <n v="10.7"/>
    <n v="9.6"/>
    <n v="-1"/>
    <n v="1.0999999999999996"/>
  </r>
  <r>
    <s v="sochaczewski"/>
    <x v="6"/>
    <x v="186"/>
    <n v="11.5"/>
    <n v="10.4"/>
    <n v="0.8"/>
    <n v="1.0999999999999996"/>
  </r>
  <r>
    <s v="wieruszowski"/>
    <x v="13"/>
    <x v="187"/>
    <n v="12"/>
    <n v="10.9"/>
    <n v="-1.8"/>
    <n v="1.0999999999999996"/>
  </r>
  <r>
    <s v="cieszynski"/>
    <x v="3"/>
    <x v="188"/>
    <n v="11.2"/>
    <n v="10.199999999999999"/>
    <n v="2.8"/>
    <n v="1"/>
  </r>
  <r>
    <s v="dabrowski"/>
    <x v="1"/>
    <x v="189"/>
    <n v="10.199999999999999"/>
    <n v="9.1999999999999993"/>
    <n v="-1"/>
    <n v="1"/>
  </r>
  <r>
    <s v="grajewski"/>
    <x v="12"/>
    <x v="190"/>
    <n v="10.5"/>
    <n v="9.5"/>
    <n v="-4.4000000000000004"/>
    <n v="1"/>
  </r>
  <r>
    <s v="grojecki"/>
    <x v="6"/>
    <x v="191"/>
    <n v="12.4"/>
    <n v="11.4"/>
    <n v="1.2"/>
    <n v="1"/>
  </r>
  <r>
    <s v="lobeski"/>
    <x v="8"/>
    <x v="192"/>
    <n v="11.6"/>
    <n v="10.6"/>
    <n v="-2.8"/>
    <n v="1"/>
  </r>
  <r>
    <s v="m Chelm"/>
    <x v="9"/>
    <x v="193"/>
    <n v="9.9"/>
    <n v="8.9"/>
    <n v="-3.6"/>
    <n v="1"/>
  </r>
  <r>
    <s v="mySliborski"/>
    <x v="8"/>
    <x v="194"/>
    <n v="10.7"/>
    <n v="9.6999999999999993"/>
    <n v="-0.9"/>
    <n v="1"/>
  </r>
  <r>
    <s v="zaganski"/>
    <x v="11"/>
    <x v="195"/>
    <n v="11.1"/>
    <n v="10.1"/>
    <n v="-2.7"/>
    <n v="1"/>
  </r>
  <r>
    <s v="m Zielona Gora"/>
    <x v="11"/>
    <x v="196"/>
    <n v="10.8"/>
    <n v="9.9"/>
    <n v="0.2"/>
    <n v="0.90000000000000036"/>
  </r>
  <r>
    <s v="przeworski"/>
    <x v="10"/>
    <x v="197"/>
    <n v="11.4"/>
    <n v="10.5"/>
    <n v="-0.6"/>
    <n v="0.90000000000000036"/>
  </r>
  <r>
    <s v="sredzki"/>
    <x v="5"/>
    <x v="198"/>
    <n v="11.4"/>
    <n v="10.5"/>
    <n v="4.8"/>
    <n v="0.90000000000000036"/>
  </r>
  <r>
    <s v="sulecinski"/>
    <x v="11"/>
    <x v="199"/>
    <n v="11.6"/>
    <n v="10.7"/>
    <n v="-2.2000000000000002"/>
    <n v="0.90000000000000036"/>
  </r>
  <r>
    <s v="zarski"/>
    <x v="11"/>
    <x v="200"/>
    <n v="11.3"/>
    <n v="10.4"/>
    <n v="-2.7"/>
    <n v="0.90000000000000036"/>
  </r>
  <r>
    <s v="kolski"/>
    <x v="2"/>
    <x v="201"/>
    <n v="11.7"/>
    <n v="10.8"/>
    <n v="-1.2"/>
    <n v="0.89999999999999858"/>
  </r>
  <r>
    <s v="m Krakow"/>
    <x v="1"/>
    <x v="202"/>
    <n v="10.7"/>
    <n v="9.8000000000000007"/>
    <n v="0.6"/>
    <n v="0.89999999999999858"/>
  </r>
  <r>
    <s v="opoczynski"/>
    <x v="13"/>
    <x v="203"/>
    <n v="11.7"/>
    <n v="10.8"/>
    <n v="-2.8"/>
    <n v="0.89999999999999858"/>
  </r>
  <r>
    <s v="wschowski"/>
    <x v="11"/>
    <x v="204"/>
    <n v="10.7"/>
    <n v="9.8000000000000007"/>
    <n v="-0.9"/>
    <n v="0.89999999999999858"/>
  </r>
  <r>
    <s v="m Bielsko-Biala"/>
    <x v="3"/>
    <x v="205"/>
    <n v="10.5"/>
    <n v="9.6999999999999993"/>
    <n v="-2.2999999999999998"/>
    <n v="0.80000000000000071"/>
  </r>
  <r>
    <s v="m Elblag"/>
    <x v="4"/>
    <x v="206"/>
    <n v="10.3"/>
    <n v="9.5"/>
    <n v="-1.9"/>
    <n v="0.80000000000000071"/>
  </r>
  <r>
    <s v="m Radom"/>
    <x v="6"/>
    <x v="207"/>
    <n v="10.8"/>
    <n v="10"/>
    <n v="-4.4000000000000004"/>
    <n v="0.80000000000000071"/>
  </r>
  <r>
    <s v="szydlowiecki"/>
    <x v="6"/>
    <x v="208"/>
    <n v="11.5"/>
    <n v="10.7"/>
    <n v="-2"/>
    <n v="0.80000000000000071"/>
  </r>
  <r>
    <s v="zyrardowski"/>
    <x v="6"/>
    <x v="209"/>
    <n v="13"/>
    <n v="12.2"/>
    <n v="2.2999999999999998"/>
    <n v="0.80000000000000071"/>
  </r>
  <r>
    <s v="m Krosno"/>
    <x v="10"/>
    <x v="210"/>
    <n v="9.1"/>
    <n v="8.3000000000000007"/>
    <n v="-2.2999999999999998"/>
    <n v="0.79999999999999893"/>
  </r>
  <r>
    <s v="radzynski"/>
    <x v="9"/>
    <x v="211"/>
    <n v="11.7"/>
    <n v="10.9"/>
    <n v="-4"/>
    <n v="0.79999999999999893"/>
  </r>
  <r>
    <s v="lubaczowski"/>
    <x v="10"/>
    <x v="212"/>
    <n v="10.4"/>
    <n v="9.6999999999999993"/>
    <n v="-1.8"/>
    <n v="0.70000000000000107"/>
  </r>
  <r>
    <s v="m Opole"/>
    <x v="15"/>
    <x v="213"/>
    <n v="9.4"/>
    <n v="8.6999999999999993"/>
    <n v="-3.4"/>
    <n v="0.70000000000000107"/>
  </r>
  <r>
    <s v="stalowowolski"/>
    <x v="10"/>
    <x v="214"/>
    <n v="9.3000000000000007"/>
    <n v="8.6"/>
    <n v="-3.9"/>
    <n v="0.70000000000000107"/>
  </r>
  <r>
    <s v="gostyninski"/>
    <x v="6"/>
    <x v="215"/>
    <n v="11.6"/>
    <n v="10.9"/>
    <n v="-2.7"/>
    <n v="0.69999999999999929"/>
  </r>
  <r>
    <s v="jasielski"/>
    <x v="10"/>
    <x v="216"/>
    <n v="10.1"/>
    <n v="9.4"/>
    <n v="-1.3"/>
    <n v="0.69999999999999929"/>
  </r>
  <r>
    <s v="bartoszycki"/>
    <x v="4"/>
    <x v="217"/>
    <n v="10.9"/>
    <n v="10.3"/>
    <n v="-6.1"/>
    <n v="0.59999999999999964"/>
  </r>
  <r>
    <s v="inowroclawski"/>
    <x v="7"/>
    <x v="218"/>
    <n v="10.6"/>
    <n v="10"/>
    <n v="-1.6"/>
    <n v="0.59999999999999964"/>
  </r>
  <r>
    <s v="slawienski"/>
    <x v="8"/>
    <x v="219"/>
    <n v="10.199999999999999"/>
    <n v="9.6"/>
    <n v="-2.9"/>
    <n v="0.59999999999999964"/>
  </r>
  <r>
    <s v="strzyzowski"/>
    <x v="10"/>
    <x v="220"/>
    <n v="10.5"/>
    <n v="9.9"/>
    <n v="-0.9"/>
    <n v="0.59999999999999964"/>
  </r>
  <r>
    <s v="szczecinecki"/>
    <x v="8"/>
    <x v="221"/>
    <n v="10.9"/>
    <n v="10.3"/>
    <n v="-1.4"/>
    <n v="0.59999999999999964"/>
  </r>
  <r>
    <s v="krosnienski"/>
    <x v="11"/>
    <x v="222"/>
    <n v="11"/>
    <n v="10.5"/>
    <n v="-2.7"/>
    <n v="0.5"/>
  </r>
  <r>
    <s v="m Grudziadz"/>
    <x v="7"/>
    <x v="223"/>
    <n v="10.7"/>
    <n v="10.199999999999999"/>
    <n v="-2.2000000000000002"/>
    <n v="0.5"/>
  </r>
  <r>
    <s v="m Koszalin"/>
    <x v="8"/>
    <x v="224"/>
    <n v="9"/>
    <n v="8.5"/>
    <n v="-1.2"/>
    <n v="0.5"/>
  </r>
  <r>
    <s v="m Tarnow"/>
    <x v="1"/>
    <x v="225"/>
    <n v="9"/>
    <n v="8.5"/>
    <n v="-3.1"/>
    <n v="0.5"/>
  </r>
  <r>
    <s v="makowski"/>
    <x v="6"/>
    <x v="226"/>
    <n v="13"/>
    <n v="12.5"/>
    <n v="-2.8"/>
    <n v="0.5"/>
  </r>
  <r>
    <s v="mogilenski"/>
    <x v="7"/>
    <x v="227"/>
    <n v="10.199999999999999"/>
    <n v="9.6999999999999993"/>
    <n v="-2.2999999999999998"/>
    <n v="0.5"/>
  </r>
  <r>
    <s v="olkuski"/>
    <x v="1"/>
    <x v="228"/>
    <n v="9.9"/>
    <n v="9.4"/>
    <n v="-1.7"/>
    <n v="0.5"/>
  </r>
  <r>
    <s v="m Gdynia"/>
    <x v="0"/>
    <x v="229"/>
    <n v="10"/>
    <n v="9.6"/>
    <n v="-3.8"/>
    <n v="0.40000000000000036"/>
  </r>
  <r>
    <s v="m Myslowice"/>
    <x v="3"/>
    <x v="230"/>
    <n v="11"/>
    <n v="10.6"/>
    <n v="-1.5"/>
    <n v="0.40000000000000036"/>
  </r>
  <r>
    <s v="mst Warszawa"/>
    <x v="6"/>
    <x v="231"/>
    <n v="11.1"/>
    <n v="10.7"/>
    <n v="2.2999999999999998"/>
    <n v="0.40000000000000036"/>
  </r>
  <r>
    <s v="rypinski"/>
    <x v="7"/>
    <x v="232"/>
    <n v="11.6"/>
    <n v="11.2"/>
    <n v="-3.4"/>
    <n v="0.40000000000000036"/>
  </r>
  <r>
    <s v="wolowski"/>
    <x v="5"/>
    <x v="233"/>
    <n v="10.8"/>
    <n v="10.4"/>
    <n v="-0.9"/>
    <n v="0.40000000000000036"/>
  </r>
  <r>
    <s v="wegorzewski"/>
    <x v="4"/>
    <x v="234"/>
    <n v="11.2"/>
    <n v="10.8"/>
    <n v="-4.5999999999999996"/>
    <n v="0.39999999999999858"/>
  </r>
  <r>
    <s v="m PrzemySl"/>
    <x v="10"/>
    <x v="235"/>
    <n v="10"/>
    <n v="9.6999999999999993"/>
    <n v="-4.0999999999999996"/>
    <n v="0.30000000000000071"/>
  </r>
  <r>
    <s v="m Zabrze"/>
    <x v="3"/>
    <x v="236"/>
    <n v="9.6"/>
    <n v="9.3000000000000007"/>
    <n v="-3.7"/>
    <n v="0.29999999999999893"/>
  </r>
  <r>
    <s v="gliwicki"/>
    <x v="3"/>
    <x v="237"/>
    <n v="10.8"/>
    <n v="10.6"/>
    <n v="-0.1"/>
    <n v="0.20000000000000107"/>
  </r>
  <r>
    <s v="krapkowicki"/>
    <x v="15"/>
    <x v="238"/>
    <n v="8.4"/>
    <n v="8.1999999999999993"/>
    <n v="-1.4"/>
    <n v="0.20000000000000107"/>
  </r>
  <r>
    <s v="plocki"/>
    <x v="6"/>
    <x v="239"/>
    <n v="11.2"/>
    <n v="11"/>
    <n v="4.2"/>
    <n v="0.19999999999999929"/>
  </r>
  <r>
    <s v="staszowski"/>
    <x v="14"/>
    <x v="240"/>
    <n v="10.6"/>
    <n v="10.4"/>
    <n v="-2.5"/>
    <n v="0.19999999999999929"/>
  </r>
  <r>
    <s v="ciechanowski"/>
    <x v="6"/>
    <x v="241"/>
    <n v="11.4"/>
    <n v="11.3"/>
    <n v="-2.6"/>
    <n v="9.9999999999999645E-2"/>
  </r>
  <r>
    <s v="kamienski"/>
    <x v="8"/>
    <x v="242"/>
    <n v="10.9"/>
    <n v="10.8"/>
    <n v="-1.3"/>
    <n v="9.9999999999999645E-2"/>
  </r>
  <r>
    <s v="lomzynski"/>
    <x v="12"/>
    <x v="243"/>
    <n v="11.7"/>
    <n v="11.6"/>
    <n v="0.3"/>
    <n v="9.9999999999999645E-2"/>
  </r>
  <r>
    <s v="swidnicki"/>
    <x v="5"/>
    <x v="244"/>
    <n v="10.5"/>
    <n v="10.4"/>
    <n v="0"/>
    <n v="9.9999999999999645E-2"/>
  </r>
  <r>
    <s v="zywiecki"/>
    <x v="3"/>
    <x v="245"/>
    <n v="10.9"/>
    <n v="10.8"/>
    <n v="1.5"/>
    <n v="9.9999999999999645E-2"/>
  </r>
  <r>
    <s v="aleksandrowski"/>
    <x v="7"/>
    <x v="246"/>
    <n v="11.3"/>
    <n v="11.3"/>
    <n v="0.8"/>
    <n v="0"/>
  </r>
  <r>
    <s v="lubelski"/>
    <x v="9"/>
    <x v="247"/>
    <n v="10.6"/>
    <n v="10.6"/>
    <n v="6.1"/>
    <n v="0"/>
  </r>
  <r>
    <s v="plonski"/>
    <x v="6"/>
    <x v="248"/>
    <n v="12.1"/>
    <n v="12.1"/>
    <n v="-0.1"/>
    <n v="0"/>
  </r>
  <r>
    <s v="pultuski"/>
    <x v="6"/>
    <x v="249"/>
    <n v="11.8"/>
    <n v="11.8"/>
    <n v="0.6"/>
    <n v="0"/>
  </r>
  <r>
    <s v="tarnobrzeski"/>
    <x v="10"/>
    <x v="250"/>
    <n v="8.5"/>
    <n v="8.5"/>
    <n v="-1.4"/>
    <n v="0"/>
  </r>
  <r>
    <s v="augustowski"/>
    <x v="12"/>
    <x v="251"/>
    <n v="10.4"/>
    <n v="10.5"/>
    <n v="-1.1000000000000001"/>
    <n v="-9.9999999999999645E-2"/>
  </r>
  <r>
    <s v="mlawski"/>
    <x v="6"/>
    <x v="252"/>
    <n v="11.3"/>
    <n v="11.4"/>
    <n v="-1.4"/>
    <n v="-9.9999999999999645E-2"/>
  </r>
  <r>
    <s v="suwalski"/>
    <x v="12"/>
    <x v="253"/>
    <n v="10.7"/>
    <n v="10.8"/>
    <n v="-1.1000000000000001"/>
    <n v="-0.10000000000000142"/>
  </r>
  <r>
    <s v="rawski"/>
    <x v="13"/>
    <x v="254"/>
    <n v="11.4"/>
    <n v="11.6"/>
    <n v="-1.4"/>
    <n v="-0.19999999999999929"/>
  </r>
  <r>
    <s v="wielunski"/>
    <x v="13"/>
    <x v="255"/>
    <n v="11.4"/>
    <n v="11.6"/>
    <n v="-0.7"/>
    <n v="-0.19999999999999929"/>
  </r>
  <r>
    <s v="lubliniecki"/>
    <x v="3"/>
    <x v="256"/>
    <n v="10.199999999999999"/>
    <n v="10.4"/>
    <n v="2.2999999999999998"/>
    <n v="-0.20000000000000107"/>
  </r>
  <r>
    <s v="m Gliwice"/>
    <x v="3"/>
    <x v="257"/>
    <n v="9.5"/>
    <n v="9.8000000000000007"/>
    <n v="-2.6"/>
    <n v="-0.30000000000000071"/>
  </r>
  <r>
    <s v="opolski"/>
    <x v="15"/>
    <x v="258"/>
    <n v="8.1"/>
    <n v="8.4"/>
    <n v="2.9"/>
    <n v="-0.30000000000000071"/>
  </r>
  <r>
    <s v="tarnogorski"/>
    <x v="3"/>
    <x v="259"/>
    <n v="9.6999999999999993"/>
    <n v="10"/>
    <n v="0.3"/>
    <n v="-0.30000000000000071"/>
  </r>
  <r>
    <s v="kozienicki"/>
    <x v="6"/>
    <x v="260"/>
    <n v="10.8"/>
    <n v="11.2"/>
    <n v="-2.9"/>
    <n v="-0.39999999999999858"/>
  </r>
  <r>
    <s v="strzelecki"/>
    <x v="15"/>
    <x v="261"/>
    <n v="8.3000000000000007"/>
    <n v="8.6999999999999993"/>
    <n v="-1.6"/>
    <n v="-0.39999999999999858"/>
  </r>
  <r>
    <s v="zurominski"/>
    <x v="6"/>
    <x v="262"/>
    <n v="10.3"/>
    <n v="10.7"/>
    <n v="-2.6"/>
    <n v="-0.39999999999999858"/>
  </r>
  <r>
    <s v="gorowski"/>
    <x v="5"/>
    <x v="263"/>
    <n v="10.9"/>
    <n v="11.3"/>
    <n v="-1.6"/>
    <n v="-0.40000000000000036"/>
  </r>
  <r>
    <s v="lodzki wschodni"/>
    <x v="13"/>
    <x v="264"/>
    <n v="10.6"/>
    <n v="11"/>
    <n v="10.8"/>
    <n v="-0.40000000000000036"/>
  </r>
  <r>
    <s v="przasnyski"/>
    <x v="6"/>
    <x v="265"/>
    <n v="11.7"/>
    <n v="12.1"/>
    <n v="-4.2"/>
    <n v="-0.40000000000000036"/>
  </r>
  <r>
    <s v="rycki"/>
    <x v="9"/>
    <x v="266"/>
    <n v="11"/>
    <n v="11.4"/>
    <n v="-4.0999999999999996"/>
    <n v="-0.40000000000000036"/>
  </r>
  <r>
    <s v="swidnicki"/>
    <x v="9"/>
    <x v="267"/>
    <n v="9.5"/>
    <n v="9.9"/>
    <n v="-0.2"/>
    <n v="-0.40000000000000036"/>
  </r>
  <r>
    <s v="zdunskowolski"/>
    <x v="13"/>
    <x v="268"/>
    <n v="10.7"/>
    <n v="11.1"/>
    <n v="-1"/>
    <n v="-0.40000000000000036"/>
  </r>
  <r>
    <s v="ketrzynski"/>
    <x v="4"/>
    <x v="269"/>
    <n v="10.8"/>
    <n v="11.3"/>
    <n v="-4.5999999999999996"/>
    <n v="-0.5"/>
  </r>
  <r>
    <s v="m Bydgoszcz"/>
    <x v="7"/>
    <x v="270"/>
    <n v="10"/>
    <n v="10.5"/>
    <n v="-4.5"/>
    <n v="-0.5"/>
  </r>
  <r>
    <s v="m Jaworzno"/>
    <x v="3"/>
    <x v="271"/>
    <n v="9.6"/>
    <n v="10.1"/>
    <n v="-1.3"/>
    <n v="-0.5"/>
  </r>
  <r>
    <s v="m Piotrkow Trybunalski"/>
    <x v="13"/>
    <x v="272"/>
    <n v="10.6"/>
    <n v="11.1"/>
    <n v="-2.7"/>
    <n v="-0.5"/>
  </r>
  <r>
    <s v="m Ruda Slaska"/>
    <x v="3"/>
    <x v="273"/>
    <n v="10.9"/>
    <n v="11.4"/>
    <n v="-4"/>
    <n v="-0.5"/>
  </r>
  <r>
    <s v="nizanski"/>
    <x v="10"/>
    <x v="274"/>
    <n v="8.8000000000000007"/>
    <n v="9.3000000000000007"/>
    <n v="-1.8"/>
    <n v="-0.5"/>
  </r>
  <r>
    <s v="nyski"/>
    <x v="15"/>
    <x v="275"/>
    <n v="9.3000000000000007"/>
    <n v="9.8000000000000007"/>
    <n v="-2.1"/>
    <n v="-0.5"/>
  </r>
  <r>
    <s v="bilgorajski"/>
    <x v="9"/>
    <x v="276"/>
    <n v="10.5"/>
    <n v="11.1"/>
    <n v="-2.1"/>
    <n v="-0.59999999999999964"/>
  </r>
  <r>
    <s v="m Swinoujscie"/>
    <x v="8"/>
    <x v="277"/>
    <n v="8.4"/>
    <n v="9"/>
    <n v="0.5"/>
    <n v="-0.59999999999999964"/>
  </r>
  <r>
    <s v="ostrowski"/>
    <x v="6"/>
    <x v="278"/>
    <n v="10.4"/>
    <n v="11"/>
    <n v="-2.9"/>
    <n v="-0.59999999999999964"/>
  </r>
  <r>
    <s v="raciborski"/>
    <x v="3"/>
    <x v="279"/>
    <n v="8.6"/>
    <n v="9.1999999999999993"/>
    <n v="0.7"/>
    <n v="-0.59999999999999964"/>
  </r>
  <r>
    <s v="radziejowski"/>
    <x v="7"/>
    <x v="280"/>
    <n v="10.5"/>
    <n v="11.1"/>
    <n v="-2.4"/>
    <n v="-0.59999999999999964"/>
  </r>
  <r>
    <s v="m Legnica"/>
    <x v="5"/>
    <x v="281"/>
    <n v="9.6999999999999993"/>
    <n v="10.3"/>
    <n v="-2.4"/>
    <n v="-0.60000000000000142"/>
  </r>
  <r>
    <s v="m Slupsk"/>
    <x v="0"/>
    <x v="282"/>
    <n v="9.1999999999999993"/>
    <n v="9.8000000000000007"/>
    <n v="-2.9"/>
    <n v="-0.60000000000000142"/>
  </r>
  <r>
    <s v="chrzanowski"/>
    <x v="1"/>
    <x v="283"/>
    <n v="9.6"/>
    <n v="10.3"/>
    <n v="0.4"/>
    <n v="-0.70000000000000107"/>
  </r>
  <r>
    <s v="m Wloclawek"/>
    <x v="7"/>
    <x v="284"/>
    <n v="9.6"/>
    <n v="10.4"/>
    <n v="-3.4"/>
    <n v="-0.80000000000000071"/>
  </r>
  <r>
    <s v="m Wroclaw"/>
    <x v="5"/>
    <x v="285"/>
    <n v="10.199999999999999"/>
    <n v="11"/>
    <n v="1.3"/>
    <n v="-0.80000000000000071"/>
  </r>
  <r>
    <s v="parczewski"/>
    <x v="9"/>
    <x v="286"/>
    <n v="11.2"/>
    <n v="12"/>
    <n v="-3.2"/>
    <n v="-0.80000000000000071"/>
  </r>
  <r>
    <s v="proszowicki"/>
    <x v="1"/>
    <x v="287"/>
    <n v="10.7"/>
    <n v="11.5"/>
    <n v="1.4"/>
    <n v="-0.80000000000000071"/>
  </r>
  <r>
    <s v="kamiennogorski"/>
    <x v="5"/>
    <x v="288"/>
    <n v="10.3"/>
    <n v="11.2"/>
    <n v="-3.9"/>
    <n v="-0.89999999999999858"/>
  </r>
  <r>
    <s v="starachowicki"/>
    <x v="14"/>
    <x v="289"/>
    <n v="10.3"/>
    <n v="11.2"/>
    <n v="-3.1"/>
    <n v="-0.89999999999999858"/>
  </r>
  <r>
    <s v="zwolenski"/>
    <x v="6"/>
    <x v="290"/>
    <n v="11.3"/>
    <n v="12.2"/>
    <n v="-2"/>
    <n v="-0.89999999999999858"/>
  </r>
  <r>
    <s v="kluczborski"/>
    <x v="15"/>
    <x v="291"/>
    <n v="8.6"/>
    <n v="9.5"/>
    <n v="-2.4"/>
    <n v="-0.90000000000000036"/>
  </r>
  <r>
    <s v="lubartowski"/>
    <x v="9"/>
    <x v="292"/>
    <n v="11"/>
    <n v="11.9"/>
    <n v="-2"/>
    <n v="-0.90000000000000036"/>
  </r>
  <r>
    <s v="oleski"/>
    <x v="15"/>
    <x v="293"/>
    <n v="8.6999999999999993"/>
    <n v="9.6"/>
    <n v="-2.6"/>
    <n v="-0.90000000000000036"/>
  </r>
  <r>
    <s v="siedlecki"/>
    <x v="6"/>
    <x v="294"/>
    <n v="10.7"/>
    <n v="11.6"/>
    <n v="0.4"/>
    <n v="-0.90000000000000036"/>
  </r>
  <r>
    <s v="klobucki"/>
    <x v="3"/>
    <x v="295"/>
    <n v="9.4"/>
    <n v="10.4"/>
    <n v="1.4"/>
    <n v="-1"/>
  </r>
  <r>
    <s v="m Piekary Slaskie"/>
    <x v="3"/>
    <x v="296"/>
    <n v="10.4"/>
    <n v="11.4"/>
    <n v="-3.8"/>
    <n v="-1"/>
  </r>
  <r>
    <s v="sieradzki"/>
    <x v="13"/>
    <x v="297"/>
    <n v="10.7"/>
    <n v="11.7"/>
    <n v="-1.7"/>
    <n v="-1"/>
  </r>
  <r>
    <s v="zabkowicki"/>
    <x v="5"/>
    <x v="298"/>
    <n v="10.199999999999999"/>
    <n v="11.2"/>
    <n v="-1.2"/>
    <n v="-1"/>
  </r>
  <r>
    <s v="zgorzelecki"/>
    <x v="5"/>
    <x v="299"/>
    <n v="9.8000000000000007"/>
    <n v="10.8"/>
    <n v="-3.1"/>
    <n v="-1"/>
  </r>
  <r>
    <s v="bialostocki"/>
    <x v="12"/>
    <x v="300"/>
    <n v="10.1"/>
    <n v="11.2"/>
    <n v="7.3"/>
    <n v="-1.0999999999999996"/>
  </r>
  <r>
    <s v="m Bytom"/>
    <x v="3"/>
    <x v="301"/>
    <n v="9.9"/>
    <n v="11"/>
    <n v="-5"/>
    <n v="-1.0999999999999996"/>
  </r>
  <r>
    <s v="piotrkowski"/>
    <x v="13"/>
    <x v="302"/>
    <n v="11.6"/>
    <n v="12.7"/>
    <n v="1.6"/>
    <n v="-1.0999999999999996"/>
  </r>
  <r>
    <s v="wloclawski"/>
    <x v="7"/>
    <x v="303"/>
    <n v="10.199999999999999"/>
    <n v="11.3"/>
    <n v="0"/>
    <n v="-1.1000000000000014"/>
  </r>
  <r>
    <s v="bialski"/>
    <x v="9"/>
    <x v="304"/>
    <n v="11.4"/>
    <n v="12.6"/>
    <n v="-2.7"/>
    <n v="-1.1999999999999993"/>
  </r>
  <r>
    <s v="jedrzejowski"/>
    <x v="14"/>
    <x v="305"/>
    <n v="10.4"/>
    <n v="11.6"/>
    <n v="-2"/>
    <n v="-1.1999999999999993"/>
  </r>
  <r>
    <s v="m Czestochowa"/>
    <x v="3"/>
    <x v="306"/>
    <n v="9.9"/>
    <n v="11.1"/>
    <n v="-3.5"/>
    <n v="-1.1999999999999993"/>
  </r>
  <r>
    <s v="tomaszowski"/>
    <x v="13"/>
    <x v="307"/>
    <n v="11"/>
    <n v="12.2"/>
    <n v="-1.6"/>
    <n v="-1.1999999999999993"/>
  </r>
  <r>
    <s v="krasnicki"/>
    <x v="9"/>
    <x v="308"/>
    <n v="9.6999999999999993"/>
    <n v="10.9"/>
    <n v="-2.4"/>
    <n v="-1.2000000000000011"/>
  </r>
  <r>
    <s v="m Szczecin"/>
    <x v="8"/>
    <x v="309"/>
    <n v="9.6999999999999993"/>
    <n v="10.9"/>
    <n v="-0.9"/>
    <n v="-1.2000000000000011"/>
  </r>
  <r>
    <s v="sejnenski"/>
    <x v="12"/>
    <x v="310"/>
    <n v="10.1"/>
    <n v="11.3"/>
    <n v="-2.4"/>
    <n v="-1.2000000000000011"/>
  </r>
  <r>
    <s v="pulawski"/>
    <x v="9"/>
    <x v="311"/>
    <n v="9.9"/>
    <n v="11.2"/>
    <n v="-1.5"/>
    <n v="-1.2999999999999989"/>
  </r>
  <r>
    <s v="strzelinski"/>
    <x v="5"/>
    <x v="312"/>
    <n v="10"/>
    <n v="11.4"/>
    <n v="-1.2"/>
    <n v="-1.4000000000000004"/>
  </r>
  <r>
    <s v="lowicki"/>
    <x v="13"/>
    <x v="313"/>
    <n v="10.8"/>
    <n v="12.3"/>
    <n v="-1.9"/>
    <n v="-1.5"/>
  </r>
  <r>
    <s v="ostrowiecki"/>
    <x v="14"/>
    <x v="314"/>
    <n v="9.3000000000000007"/>
    <n v="10.8"/>
    <n v="-2.1"/>
    <n v="-1.5"/>
  </r>
  <r>
    <s v="wysokomazowiecki"/>
    <x v="12"/>
    <x v="315"/>
    <n v="11"/>
    <n v="12.5"/>
    <n v="-3.7"/>
    <n v="-1.5"/>
  </r>
  <r>
    <s v="zlotoryjski"/>
    <x v="5"/>
    <x v="316"/>
    <n v="10.4"/>
    <n v="11.9"/>
    <n v="-1.2"/>
    <n v="-1.5"/>
  </r>
  <r>
    <s v="chelmski"/>
    <x v="9"/>
    <x v="317"/>
    <n v="11.6"/>
    <n v="13.2"/>
    <n v="-1.4"/>
    <n v="-1.5999999999999996"/>
  </r>
  <r>
    <s v="m Dabrowa Gornicza"/>
    <x v="3"/>
    <x v="318"/>
    <n v="9.4"/>
    <n v="11"/>
    <n v="-3"/>
    <n v="-1.5999999999999996"/>
  </r>
  <r>
    <s v="przysuski"/>
    <x v="6"/>
    <x v="319"/>
    <n v="11.3"/>
    <n v="12.9"/>
    <n v="-3.7"/>
    <n v="-1.5999999999999996"/>
  </r>
  <r>
    <s v="wegrowski"/>
    <x v="6"/>
    <x v="320"/>
    <n v="10.9"/>
    <n v="12.5"/>
    <n v="-2.8"/>
    <n v="-1.5999999999999996"/>
  </r>
  <r>
    <s v="zgierski"/>
    <x v="13"/>
    <x v="321"/>
    <n v="10.3"/>
    <n v="11.9"/>
    <n v="4.8"/>
    <n v="-1.5999999999999996"/>
  </r>
  <r>
    <s v="m Swietochlowice"/>
    <x v="3"/>
    <x v="322"/>
    <n v="10.199999999999999"/>
    <n v="11.8"/>
    <n v="-3.5"/>
    <n v="-1.6000000000000014"/>
  </r>
  <r>
    <s v="lubanski"/>
    <x v="5"/>
    <x v="323"/>
    <n v="10.1"/>
    <n v="11.9"/>
    <n v="-3.4"/>
    <n v="-1.8000000000000007"/>
  </r>
  <r>
    <s v="m Kalisz"/>
    <x v="2"/>
    <x v="324"/>
    <n v="9.5"/>
    <n v="11.3"/>
    <n v="-4"/>
    <n v="-1.8000000000000007"/>
  </r>
  <r>
    <s v="sierpecki"/>
    <x v="6"/>
    <x v="325"/>
    <n v="10.3"/>
    <n v="12.2"/>
    <n v="-4.4000000000000004"/>
    <n v="-1.8999999999999986"/>
  </r>
  <r>
    <s v="wlodawski"/>
    <x v="9"/>
    <x v="326"/>
    <n v="10.8"/>
    <n v="12.7"/>
    <n v="-3.8"/>
    <n v="-1.8999999999999986"/>
  </r>
  <r>
    <s v="jaworski"/>
    <x v="5"/>
    <x v="327"/>
    <n v="9.9"/>
    <n v="11.8"/>
    <n v="-1.7"/>
    <n v="-1.9000000000000004"/>
  </r>
  <r>
    <s v="laski"/>
    <x v="13"/>
    <x v="328"/>
    <n v="9.9"/>
    <n v="11.8"/>
    <n v="0.6"/>
    <n v="-1.9000000000000004"/>
  </r>
  <r>
    <s v="tomaszowski"/>
    <x v="9"/>
    <x v="329"/>
    <n v="9.6999999999999993"/>
    <n v="11.6"/>
    <n v="-4.0999999999999996"/>
    <n v="-1.9000000000000004"/>
  </r>
  <r>
    <s v="prudnicki"/>
    <x v="15"/>
    <x v="330"/>
    <n v="9"/>
    <n v="11"/>
    <n v="-2.9"/>
    <n v="-2"/>
  </r>
  <r>
    <s v="kedzierzynsko-kozielski"/>
    <x v="15"/>
    <x v="331"/>
    <n v="8.1"/>
    <n v="10.199999999999999"/>
    <n v="-3.3"/>
    <n v="-2.0999999999999996"/>
  </r>
  <r>
    <s v="opolski"/>
    <x v="9"/>
    <x v="332"/>
    <n v="10.4"/>
    <n v="12.5"/>
    <n v="-2.7"/>
    <n v="-2.0999999999999996"/>
  </r>
  <r>
    <s v="skarzyski"/>
    <x v="14"/>
    <x v="333"/>
    <n v="8.9"/>
    <n v="11"/>
    <n v="-3"/>
    <n v="-2.0999999999999996"/>
  </r>
  <r>
    <s v="konecki"/>
    <x v="14"/>
    <x v="334"/>
    <n v="9.6999999999999993"/>
    <n v="11.8"/>
    <n v="-2"/>
    <n v="-2.1000000000000014"/>
  </r>
  <r>
    <s v="sandomierski"/>
    <x v="14"/>
    <x v="335"/>
    <n v="9.6999999999999993"/>
    <n v="11.8"/>
    <n v="-2.2000000000000002"/>
    <n v="-2.1000000000000014"/>
  </r>
  <r>
    <s v="klodzki"/>
    <x v="5"/>
    <x v="336"/>
    <n v="9.8000000000000007"/>
    <n v="12"/>
    <n v="-2.6"/>
    <n v="-2.1999999999999993"/>
  </r>
  <r>
    <s v="m Chorzow"/>
    <x v="3"/>
    <x v="337"/>
    <n v="10.9"/>
    <n v="13.2"/>
    <n v="-0.2"/>
    <n v="-2.2999999999999989"/>
  </r>
  <r>
    <s v="m Katowice"/>
    <x v="3"/>
    <x v="338"/>
    <n v="9.4"/>
    <n v="11.7"/>
    <n v="-3.2"/>
    <n v="-2.2999999999999989"/>
  </r>
  <r>
    <s v="myszkowski"/>
    <x v="3"/>
    <x v="339"/>
    <n v="9.8000000000000007"/>
    <n v="12.1"/>
    <n v="0.8"/>
    <n v="-2.2999999999999989"/>
  </r>
  <r>
    <s v="czestochowski"/>
    <x v="3"/>
    <x v="340"/>
    <n v="9.6"/>
    <n v="11.9"/>
    <n v="3.7"/>
    <n v="-2.3000000000000007"/>
  </r>
  <r>
    <s v="glubczycki"/>
    <x v="15"/>
    <x v="341"/>
    <n v="9.3000000000000007"/>
    <n v="11.7"/>
    <n v="-3.2"/>
    <n v="-2.3999999999999986"/>
  </r>
  <r>
    <s v="skierniewicki"/>
    <x v="13"/>
    <x v="342"/>
    <n v="11.2"/>
    <n v="13.6"/>
    <n v="2.4"/>
    <n v="-2.4000000000000004"/>
  </r>
  <r>
    <s v="brzezinski"/>
    <x v="13"/>
    <x v="343"/>
    <n v="10.199999999999999"/>
    <n v="12.7"/>
    <n v="0.2"/>
    <n v="-2.5"/>
  </r>
  <r>
    <s v="buski"/>
    <x v="14"/>
    <x v="344"/>
    <n v="9.9"/>
    <n v="12.4"/>
    <n v="0.1"/>
    <n v="-2.5"/>
  </r>
  <r>
    <s v="hrubieszowski"/>
    <x v="9"/>
    <x v="345"/>
    <n v="10.1"/>
    <n v="12.6"/>
    <n v="-4.9000000000000004"/>
    <n v="-2.5"/>
  </r>
  <r>
    <s v="m Siemianowice Slaskie"/>
    <x v="3"/>
    <x v="346"/>
    <n v="10.199999999999999"/>
    <n v="12.7"/>
    <n v="-3.3"/>
    <n v="-2.5"/>
  </r>
  <r>
    <s v="radomszczanski"/>
    <x v="13"/>
    <x v="347"/>
    <n v="9.8000000000000007"/>
    <n v="12.4"/>
    <n v="-0.5"/>
    <n v="-2.5999999999999996"/>
  </r>
  <r>
    <s v="leczycki"/>
    <x v="13"/>
    <x v="348"/>
    <n v="10.7"/>
    <n v="13.3"/>
    <n v="-1.9"/>
    <n v="-2.6000000000000014"/>
  </r>
  <r>
    <s v="janowski"/>
    <x v="9"/>
    <x v="349"/>
    <n v="10.1"/>
    <n v="12.8"/>
    <n v="-1.4"/>
    <n v="-2.7000000000000011"/>
  </r>
  <r>
    <s v="wloszczowski"/>
    <x v="14"/>
    <x v="350"/>
    <n v="9.6"/>
    <n v="12.3"/>
    <n v="-2.4"/>
    <n v="-2.7000000000000011"/>
  </r>
  <r>
    <s v="m Sosnowiec"/>
    <x v="3"/>
    <x v="351"/>
    <n v="9"/>
    <n v="11.8"/>
    <n v="-4.8"/>
    <n v="-2.8000000000000007"/>
  </r>
  <r>
    <s v="jeleniogorski"/>
    <x v="5"/>
    <x v="352"/>
    <n v="9.3000000000000007"/>
    <n v="12.3"/>
    <n v="3.8"/>
    <n v="-3"/>
  </r>
  <r>
    <s v="lwowecki"/>
    <x v="5"/>
    <x v="353"/>
    <n v="8.6"/>
    <n v="11.6"/>
    <n v="-2.8"/>
    <n v="-3"/>
  </r>
  <r>
    <s v="bielski"/>
    <x v="12"/>
    <x v="354"/>
    <n v="9.6"/>
    <n v="12.7"/>
    <n v="-3.1"/>
    <n v="-3.0999999999999996"/>
  </r>
  <r>
    <s v="sokolowski"/>
    <x v="6"/>
    <x v="355"/>
    <n v="10.3"/>
    <n v="13.4"/>
    <n v="-3.5"/>
    <n v="-3.0999999999999996"/>
  </r>
  <r>
    <s v="sokolski"/>
    <x v="12"/>
    <x v="356"/>
    <n v="9.3000000000000007"/>
    <n v="12.5"/>
    <n v="-4.3"/>
    <n v="-3.1999999999999993"/>
  </r>
  <r>
    <s v="losicki"/>
    <x v="6"/>
    <x v="357"/>
    <n v="10.1"/>
    <n v="13.3"/>
    <n v="-4.5"/>
    <n v="-3.2000000000000011"/>
  </r>
  <r>
    <s v="pabianicki"/>
    <x v="13"/>
    <x v="358"/>
    <n v="9.1"/>
    <n v="12.4"/>
    <n v="2.6"/>
    <n v="-3.3000000000000007"/>
  </r>
  <r>
    <s v="pajeczanski"/>
    <x v="13"/>
    <x v="359"/>
    <n v="8.6999999999999993"/>
    <n v="12"/>
    <n v="-1.3"/>
    <n v="-3.3000000000000007"/>
  </r>
  <r>
    <s v="zawiercianski"/>
    <x v="3"/>
    <x v="360"/>
    <n v="9.3000000000000007"/>
    <n v="12.7"/>
    <n v="-0.2"/>
    <n v="-3.3999999999999986"/>
  </r>
  <r>
    <s v="zamojski"/>
    <x v="9"/>
    <x v="361"/>
    <n v="9.5"/>
    <n v="13"/>
    <n v="-0.6"/>
    <n v="-3.5"/>
  </r>
  <r>
    <s v="bedzinski"/>
    <x v="3"/>
    <x v="362"/>
    <n v="9.4"/>
    <n v="13"/>
    <n v="3.1"/>
    <n v="-3.5999999999999996"/>
  </r>
  <r>
    <s v="m Jelenia Gora"/>
    <x v="5"/>
    <x v="363"/>
    <n v="8.8000000000000007"/>
    <n v="12.4"/>
    <n v="-3.4"/>
    <n v="-3.5999999999999996"/>
  </r>
  <r>
    <s v="walbrzyski"/>
    <x v="5"/>
    <x v="364"/>
    <n v="9"/>
    <n v="12.6"/>
    <n v="-3.7"/>
    <n v="-3.5999999999999996"/>
  </r>
  <r>
    <s v="dzierzoniowski"/>
    <x v="5"/>
    <x v="365"/>
    <n v="9.1999999999999993"/>
    <n v="12.8"/>
    <n v="-0.6"/>
    <n v="-3.6000000000000014"/>
  </r>
  <r>
    <s v="kutnowski"/>
    <x v="13"/>
    <x v="366"/>
    <n v="9.5"/>
    <n v="13.2"/>
    <n v="-1.9"/>
    <n v="-3.6999999999999993"/>
  </r>
  <r>
    <s v="opatowski"/>
    <x v="14"/>
    <x v="367"/>
    <n v="9.5"/>
    <n v="13.3"/>
    <n v="-1.1000000000000001"/>
    <n v="-3.8000000000000007"/>
  </r>
  <r>
    <s v="siemiatycki"/>
    <x v="12"/>
    <x v="368"/>
    <n v="9.3000000000000007"/>
    <n v="13.2"/>
    <n v="-4.2"/>
    <n v="-3.8999999999999986"/>
  </r>
  <r>
    <s v="poddebicki"/>
    <x v="13"/>
    <x v="369"/>
    <n v="10.1"/>
    <n v="14.1"/>
    <n v="-0.7"/>
    <n v="-4"/>
  </r>
  <r>
    <s v="moniecki"/>
    <x v="12"/>
    <x v="370"/>
    <n v="8.3000000000000007"/>
    <n v="12.4"/>
    <n v="-3.5"/>
    <n v="-4.0999999999999996"/>
  </r>
  <r>
    <s v="kazimierski"/>
    <x v="14"/>
    <x v="371"/>
    <n v="8.3000000000000007"/>
    <n v="12.5"/>
    <n v="-1.8"/>
    <n v="-4.1999999999999993"/>
  </r>
  <r>
    <s v="miechowski"/>
    <x v="1"/>
    <x v="372"/>
    <n v="10.3"/>
    <n v="14.5"/>
    <n v="0.3"/>
    <n v="-4.1999999999999993"/>
  </r>
  <r>
    <s v="pinczowski"/>
    <x v="14"/>
    <x v="373"/>
    <n v="8.5"/>
    <n v="12.8"/>
    <n v="-3.4"/>
    <n v="-4.3000000000000007"/>
  </r>
  <r>
    <s v="krasnostawski"/>
    <x v="9"/>
    <x v="374"/>
    <n v="8.8000000000000007"/>
    <n v="13.7"/>
    <n v="-1"/>
    <n v="-4.8999999999999986"/>
  </r>
  <r>
    <s v="lipski"/>
    <x v="6"/>
    <x v="375"/>
    <n v="10.5"/>
    <n v="15.5"/>
    <n v="-2.2999999999999998"/>
    <n v="-5"/>
  </r>
  <r>
    <s v="m Lodz"/>
    <x v="13"/>
    <x v="376"/>
    <n v="9.3000000000000007"/>
    <n v="14.3"/>
    <n v="-1.8"/>
    <n v="-5"/>
  </r>
  <r>
    <s v="m Sopot"/>
    <x v="0"/>
    <x v="377"/>
    <n v="7.7"/>
    <n v="13"/>
    <n v="-3.5"/>
    <n v="-5.3"/>
  </r>
  <r>
    <s v="hajnowski"/>
    <x v="12"/>
    <x v="378"/>
    <n v="8.3000000000000007"/>
    <n v="15.1"/>
    <n v="-3.6"/>
    <n v="-6.799999999999998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9">
  <r>
    <x v="0"/>
    <x v="0"/>
    <n v="55336"/>
    <n v="11.3"/>
    <n v="11.3"/>
    <n v="0.8"/>
    <n v="625"/>
  </r>
  <r>
    <x v="1"/>
    <x v="1"/>
    <n v="58763"/>
    <n v="10.4"/>
    <n v="10.5"/>
    <n v="-1.1000000000000001"/>
    <n v="611"/>
  </r>
  <r>
    <x v="2"/>
    <x v="2"/>
    <n v="60128"/>
    <n v="10.9"/>
    <n v="10.3"/>
    <n v="-6.1"/>
    <n v="655"/>
  </r>
  <r>
    <x v="3"/>
    <x v="3"/>
    <n v="150950"/>
    <n v="9.4"/>
    <n v="13"/>
    <n v="3.1"/>
    <n v="1418"/>
  </r>
  <r>
    <x v="4"/>
    <x v="4"/>
    <n v="112993"/>
    <n v="11.5"/>
    <n v="9.1"/>
    <n v="-1.6"/>
    <n v="1299"/>
  </r>
  <r>
    <x v="5"/>
    <x v="5"/>
    <n v="33701"/>
    <n v="15"/>
    <n v="11"/>
    <n v="-1.1000000000000001"/>
    <n v="505"/>
  </r>
  <r>
    <x v="6"/>
    <x v="6"/>
    <n v="48261"/>
    <n v="11.7"/>
    <n v="10.199999999999999"/>
    <n v="-1"/>
    <n v="564"/>
  </r>
  <r>
    <x v="7"/>
    <x v="1"/>
    <n v="139643"/>
    <n v="10.1"/>
    <n v="11.2"/>
    <n v="7.3"/>
    <n v="1410"/>
  </r>
  <r>
    <x v="8"/>
    <x v="7"/>
    <n v="112846"/>
    <n v="11.4"/>
    <n v="12.6"/>
    <n v="-2.7"/>
    <n v="1286"/>
  </r>
  <r>
    <x v="9"/>
    <x v="3"/>
    <n v="155571"/>
    <n v="12"/>
    <n v="9"/>
    <n v="6.9"/>
    <n v="1866"/>
  </r>
  <r>
    <x v="9"/>
    <x v="1"/>
    <n v="58463"/>
    <n v="9.6"/>
    <n v="12.7"/>
    <n v="-3.1"/>
    <n v="561"/>
  </r>
  <r>
    <x v="10"/>
    <x v="3"/>
    <n v="56806"/>
    <n v="12.2"/>
    <n v="8.1999999999999993"/>
    <n v="2.5"/>
    <n v="693"/>
  </r>
  <r>
    <x v="11"/>
    <x v="8"/>
    <n v="22001"/>
    <n v="11.3"/>
    <n v="8.6999999999999993"/>
    <n v="-4.2"/>
    <n v="248"/>
  </r>
  <r>
    <x v="12"/>
    <x v="7"/>
    <n v="103226"/>
    <n v="10.5"/>
    <n v="11.1"/>
    <n v="-2.1"/>
    <n v="1083"/>
  </r>
  <r>
    <x v="13"/>
    <x v="9"/>
    <n v="102181"/>
    <n v="13.1"/>
    <n v="9.4"/>
    <n v="1"/>
    <n v="1338"/>
  </r>
  <r>
    <x v="14"/>
    <x v="10"/>
    <n v="89051"/>
    <n v="11"/>
    <n v="9.8000000000000007"/>
    <n v="-0.1"/>
    <n v="979"/>
  </r>
  <r>
    <x v="15"/>
    <x v="2"/>
    <n v="42927"/>
    <n v="11.5"/>
    <n v="10"/>
    <n v="-5"/>
    <n v="493"/>
  </r>
  <r>
    <x v="16"/>
    <x v="0"/>
    <n v="75579"/>
    <n v="13.6"/>
    <n v="10"/>
    <n v="-1.3"/>
    <n v="1027"/>
  </r>
  <r>
    <x v="17"/>
    <x v="9"/>
    <n v="91297"/>
    <n v="11.7"/>
    <n v="8.8000000000000007"/>
    <n v="0.9"/>
    <n v="1068"/>
  </r>
  <r>
    <x v="17"/>
    <x v="11"/>
    <n v="92188"/>
    <n v="10.8"/>
    <n v="9.6999999999999993"/>
    <n v="-0.5"/>
    <n v="995"/>
  </r>
  <r>
    <x v="18"/>
    <x v="4"/>
    <n v="30537"/>
    <n v="10.199999999999999"/>
    <n v="12.7"/>
    <n v="0.2"/>
    <n v="311"/>
  </r>
  <r>
    <x v="19"/>
    <x v="8"/>
    <n v="65253"/>
    <n v="11.9"/>
    <n v="8.5"/>
    <n v="-2.1"/>
    <n v="776"/>
  </r>
  <r>
    <x v="20"/>
    <x v="12"/>
    <n v="73127"/>
    <n v="9.9"/>
    <n v="12.4"/>
    <n v="0.1"/>
    <n v="723"/>
  </r>
  <r>
    <x v="21"/>
    <x v="0"/>
    <n v="103010"/>
    <n v="11.5"/>
    <n v="7.8"/>
    <n v="15.1"/>
    <n v="1184"/>
  </r>
  <r>
    <x v="22"/>
    <x v="13"/>
    <n v="76043"/>
    <n v="13.6"/>
    <n v="7.9"/>
    <n v="-2.7"/>
    <n v="1034"/>
  </r>
  <r>
    <x v="23"/>
    <x v="0"/>
    <n v="51456"/>
    <n v="12.4"/>
    <n v="10"/>
    <n v="-2"/>
    <n v="638"/>
  </r>
  <r>
    <x v="24"/>
    <x v="7"/>
    <n v="78765"/>
    <n v="11.6"/>
    <n v="13.2"/>
    <n v="-1.4"/>
    <n v="913"/>
  </r>
  <r>
    <x v="25"/>
    <x v="14"/>
    <n v="47389"/>
    <n v="12.1"/>
    <n v="10.1"/>
    <n v="0.1"/>
    <n v="573"/>
  </r>
  <r>
    <x v="26"/>
    <x v="13"/>
    <n v="93411"/>
    <n v="13.9"/>
    <n v="9"/>
    <n v="-0.3"/>
    <n v="1298"/>
  </r>
  <r>
    <x v="27"/>
    <x v="6"/>
    <n v="49705"/>
    <n v="12.1"/>
    <n v="10.6"/>
    <n v="-2.2999999999999998"/>
    <n v="601"/>
  </r>
  <r>
    <x v="28"/>
    <x v="9"/>
    <n v="127645"/>
    <n v="9.6"/>
    <n v="10.3"/>
    <n v="0.4"/>
    <n v="1225"/>
  </r>
  <r>
    <x v="29"/>
    <x v="5"/>
    <n v="90249"/>
    <n v="11.4"/>
    <n v="11.3"/>
    <n v="-2.6"/>
    <n v="1028"/>
  </r>
  <r>
    <x v="30"/>
    <x v="3"/>
    <n v="172809"/>
    <n v="11.2"/>
    <n v="10.199999999999999"/>
    <n v="2.8"/>
    <n v="1935"/>
  </r>
  <r>
    <x v="31"/>
    <x v="14"/>
    <n v="86939"/>
    <n v="12.9"/>
    <n v="9.5"/>
    <n v="-1.6"/>
    <n v="1121"/>
  </r>
  <r>
    <x v="32"/>
    <x v="3"/>
    <n v="134103"/>
    <n v="9.6"/>
    <n v="11.9"/>
    <n v="3.7"/>
    <n v="1287"/>
  </r>
  <r>
    <x v="33"/>
    <x v="13"/>
    <n v="56762"/>
    <n v="11.8"/>
    <n v="8.4"/>
    <n v="-3.6"/>
    <n v="669"/>
  </r>
  <r>
    <x v="34"/>
    <x v="9"/>
    <n v="58664"/>
    <n v="10.199999999999999"/>
    <n v="9.1999999999999993"/>
    <n v="-1"/>
    <n v="598"/>
  </r>
  <r>
    <x v="35"/>
    <x v="8"/>
    <n v="133244"/>
    <n v="11.6"/>
    <n v="7.9"/>
    <n v="-1.1000000000000001"/>
    <n v="1545"/>
  </r>
  <r>
    <x v="36"/>
    <x v="6"/>
    <n v="57485"/>
    <n v="11.2"/>
    <n v="9.4"/>
    <n v="-3.6"/>
    <n v="643"/>
  </r>
  <r>
    <x v="37"/>
    <x v="2"/>
    <n v="65188"/>
    <n v="13.1"/>
    <n v="9"/>
    <n v="-3.6"/>
    <n v="853"/>
  </r>
  <r>
    <x v="38"/>
    <x v="10"/>
    <n v="103636"/>
    <n v="9.1999999999999993"/>
    <n v="12.8"/>
    <n v="-0.6"/>
    <n v="953"/>
  </r>
  <r>
    <x v="39"/>
    <x v="2"/>
    <n v="56389"/>
    <n v="11.6"/>
    <n v="9.9"/>
    <n v="-2"/>
    <n v="654"/>
  </r>
  <r>
    <x v="40"/>
    <x v="2"/>
    <n v="86238"/>
    <n v="12.1"/>
    <n v="8.3000000000000007"/>
    <n v="1.3"/>
    <n v="1043"/>
  </r>
  <r>
    <x v="41"/>
    <x v="5"/>
    <n v="106927"/>
    <n v="13"/>
    <n v="10.7"/>
    <n v="-0.9"/>
    <n v="1390"/>
  </r>
  <r>
    <x v="42"/>
    <x v="13"/>
    <n v="93191"/>
    <n v="12.7"/>
    <n v="6.7"/>
    <n v="19.3"/>
    <n v="1183"/>
  </r>
  <r>
    <x v="43"/>
    <x v="2"/>
    <n v="56522"/>
    <n v="11.3"/>
    <n v="9.8000000000000007"/>
    <n v="-2.7"/>
    <n v="638"/>
  </r>
  <r>
    <x v="44"/>
    <x v="3"/>
    <n v="114093"/>
    <n v="10.8"/>
    <n v="10.6"/>
    <n v="-0.1"/>
    <n v="1232"/>
  </r>
  <r>
    <x v="45"/>
    <x v="10"/>
    <n v="87712"/>
    <n v="12.1"/>
    <n v="7.6"/>
    <n v="-3.3"/>
    <n v="1061"/>
  </r>
  <r>
    <x v="46"/>
    <x v="11"/>
    <n v="49422"/>
    <n v="9.3000000000000007"/>
    <n v="11.7"/>
    <n v="-3.2"/>
    <n v="459"/>
  </r>
  <r>
    <x v="47"/>
    <x v="14"/>
    <n v="141719"/>
    <n v="12"/>
    <n v="8.6"/>
    <n v="-0.4"/>
    <n v="1700"/>
  </r>
  <r>
    <x v="48"/>
    <x v="2"/>
    <n v="26642"/>
    <n v="12.7"/>
    <n v="8.1"/>
    <n v="-3.7"/>
    <n v="338"/>
  </r>
  <r>
    <x v="49"/>
    <x v="6"/>
    <n v="79937"/>
    <n v="11.1"/>
    <n v="8.9"/>
    <n v="2.2000000000000002"/>
    <n v="887"/>
  </r>
  <r>
    <x v="50"/>
    <x v="0"/>
    <n v="45281"/>
    <n v="11.9"/>
    <n v="9.8000000000000007"/>
    <n v="-1.4"/>
    <n v="538"/>
  </r>
  <r>
    <x v="51"/>
    <x v="9"/>
    <n v="107017"/>
    <n v="12.2"/>
    <n v="8.8000000000000007"/>
    <n v="-1.9"/>
    <n v="1305"/>
  </r>
  <r>
    <x v="52"/>
    <x v="10"/>
    <n v="36317"/>
    <n v="10.9"/>
    <n v="11.3"/>
    <n v="-1.6"/>
    <n v="395"/>
  </r>
  <r>
    <x v="53"/>
    <x v="15"/>
    <n v="67443"/>
    <n v="12"/>
    <n v="9"/>
    <n v="5.7"/>
    <n v="809"/>
  </r>
  <r>
    <x v="54"/>
    <x v="5"/>
    <n v="46766"/>
    <n v="11.6"/>
    <n v="10.9"/>
    <n v="-2.7"/>
    <n v="542"/>
  </r>
  <r>
    <x v="55"/>
    <x v="14"/>
    <n v="76052"/>
    <n v="12.6"/>
    <n v="9.1"/>
    <n v="-1.8"/>
    <n v="958"/>
  </r>
  <r>
    <x v="56"/>
    <x v="1"/>
    <n v="49393"/>
    <n v="10.5"/>
    <n v="9.5"/>
    <n v="-4.4000000000000004"/>
    <n v="518"/>
  </r>
  <r>
    <x v="57"/>
    <x v="14"/>
    <n v="49903"/>
    <n v="13.3"/>
    <n v="9.3000000000000007"/>
    <n v="-0.8"/>
    <n v="663"/>
  </r>
  <r>
    <x v="57"/>
    <x v="5"/>
    <n v="81923"/>
    <n v="12.3"/>
    <n v="10.6"/>
    <n v="13.7"/>
    <n v="1007"/>
  </r>
  <r>
    <x v="58"/>
    <x v="5"/>
    <n v="96957"/>
    <n v="12.4"/>
    <n v="11.4"/>
    <n v="1.2"/>
    <n v="1202"/>
  </r>
  <r>
    <x v="59"/>
    <x v="0"/>
    <n v="38708"/>
    <n v="11.4"/>
    <n v="8.9"/>
    <n v="-0.9"/>
    <n v="441"/>
  </r>
  <r>
    <x v="60"/>
    <x v="6"/>
    <n v="60595"/>
    <n v="11.6"/>
    <n v="9.5"/>
    <n v="-1.8"/>
    <n v="702"/>
  </r>
  <r>
    <x v="61"/>
    <x v="6"/>
    <n v="82830"/>
    <n v="10.8"/>
    <n v="9.1"/>
    <n v="-2.8"/>
    <n v="894"/>
  </r>
  <r>
    <x v="62"/>
    <x v="1"/>
    <n v="46385"/>
    <n v="8.3000000000000007"/>
    <n v="15.1"/>
    <n v="-3.6"/>
    <n v="384"/>
  </r>
  <r>
    <x v="63"/>
    <x v="7"/>
    <n v="67059"/>
    <n v="10.1"/>
    <n v="12.6"/>
    <n v="-4.9000000000000004"/>
    <n v="677"/>
  </r>
  <r>
    <x v="64"/>
    <x v="2"/>
    <n v="90442"/>
    <n v="12.5"/>
    <n v="8.4"/>
    <n v="-1.2"/>
    <n v="1130"/>
  </r>
  <r>
    <x v="65"/>
    <x v="0"/>
    <n v="164112"/>
    <n v="10.6"/>
    <n v="10"/>
    <n v="-1.6"/>
    <n v="1739"/>
  </r>
  <r>
    <x v="66"/>
    <x v="7"/>
    <n v="47242"/>
    <n v="10.1"/>
    <n v="12.8"/>
    <n v="-1.4"/>
    <n v="477"/>
  </r>
  <r>
    <x v="67"/>
    <x v="14"/>
    <n v="70821"/>
    <n v="12.2"/>
    <n v="9.5"/>
    <n v="-1"/>
    <n v="864"/>
  </r>
  <r>
    <x v="68"/>
    <x v="8"/>
    <n v="121654"/>
    <n v="10.7"/>
    <n v="9.3000000000000007"/>
    <n v="-1.3"/>
    <n v="1301"/>
  </r>
  <r>
    <x v="69"/>
    <x v="8"/>
    <n v="114689"/>
    <n v="10.1"/>
    <n v="9.4"/>
    <n v="-1.3"/>
    <n v="1158"/>
  </r>
  <r>
    <x v="70"/>
    <x v="10"/>
    <n v="51581"/>
    <n v="9.9"/>
    <n v="11.8"/>
    <n v="-1.7"/>
    <n v="510"/>
  </r>
  <r>
    <x v="71"/>
    <x v="12"/>
    <n v="88665"/>
    <n v="10.4"/>
    <n v="11.6"/>
    <n v="-2"/>
    <n v="922"/>
  </r>
  <r>
    <x v="72"/>
    <x v="10"/>
    <n v="63865"/>
    <n v="9.3000000000000007"/>
    <n v="12.3"/>
    <n v="3.8"/>
    <n v="593"/>
  </r>
  <r>
    <x v="73"/>
    <x v="14"/>
    <n v="81166"/>
    <n v="11.7"/>
    <n v="10.4"/>
    <n v="2.8"/>
    <n v="949"/>
  </r>
  <r>
    <x v="74"/>
    <x v="10"/>
    <n v="45562"/>
    <n v="10.3"/>
    <n v="11.2"/>
    <n v="-3.9"/>
    <n v="469"/>
  </r>
  <r>
    <x v="75"/>
    <x v="6"/>
    <n v="47769"/>
    <n v="10.9"/>
    <n v="10.8"/>
    <n v="-1.3"/>
    <n v="520"/>
  </r>
  <r>
    <x v="76"/>
    <x v="13"/>
    <n v="116000"/>
    <n v="15.2"/>
    <n v="6.5"/>
    <n v="7.7"/>
    <n v="1763"/>
  </r>
  <r>
    <x v="77"/>
    <x v="12"/>
    <n v="35088"/>
    <n v="8.3000000000000007"/>
    <n v="12.5"/>
    <n v="-1.8"/>
    <n v="291"/>
  </r>
  <r>
    <x v="78"/>
    <x v="11"/>
    <n v="100320"/>
    <n v="8.1"/>
    <n v="10.199999999999999"/>
    <n v="-3.3"/>
    <n v="812"/>
  </r>
  <r>
    <x v="79"/>
    <x v="14"/>
    <n v="55903"/>
    <n v="11.3"/>
    <n v="9.3000000000000007"/>
    <n v="-0.9"/>
    <n v="631"/>
  </r>
  <r>
    <x v="80"/>
    <x v="2"/>
    <n v="64814"/>
    <n v="10.8"/>
    <n v="11.3"/>
    <n v="-4.5999999999999996"/>
    <n v="699"/>
  </r>
  <r>
    <x v="81"/>
    <x v="12"/>
    <n v="201643"/>
    <n v="11.2"/>
    <n v="9.1999999999999993"/>
    <n v="2.9"/>
    <n v="2258"/>
  </r>
  <r>
    <x v="82"/>
    <x v="3"/>
    <n v="85001"/>
    <n v="9.4"/>
    <n v="10.4"/>
    <n v="1.4"/>
    <n v="799"/>
  </r>
  <r>
    <x v="83"/>
    <x v="10"/>
    <n v="163648"/>
    <n v="9.8000000000000007"/>
    <n v="12"/>
    <n v="-2.6"/>
    <n v="1603"/>
  </r>
  <r>
    <x v="84"/>
    <x v="11"/>
    <n v="68801"/>
    <n v="8.6"/>
    <n v="9.5"/>
    <n v="-2.4"/>
    <n v="591"/>
  </r>
  <r>
    <x v="85"/>
    <x v="8"/>
    <n v="61546"/>
    <n v="10"/>
    <n v="8.5"/>
    <n v="-0.4"/>
    <n v="615"/>
  </r>
  <r>
    <x v="86"/>
    <x v="1"/>
    <n v="39053"/>
    <n v="10.7"/>
    <n v="9.6"/>
    <n v="-5.9"/>
    <n v="417"/>
  </r>
  <r>
    <x v="87"/>
    <x v="6"/>
    <n v="77095"/>
    <n v="10.6"/>
    <n v="8.6999999999999993"/>
    <n v="0.8"/>
    <n v="817"/>
  </r>
  <r>
    <x v="88"/>
    <x v="14"/>
    <n v="88274"/>
    <n v="11.7"/>
    <n v="10.8"/>
    <n v="-1.2"/>
    <n v="1032"/>
  </r>
  <r>
    <x v="89"/>
    <x v="12"/>
    <n v="83005"/>
    <n v="9.6999999999999993"/>
    <n v="11.8"/>
    <n v="-2"/>
    <n v="805"/>
  </r>
  <r>
    <x v="90"/>
    <x v="14"/>
    <n v="125965"/>
    <n v="11.7"/>
    <n v="9.3000000000000007"/>
    <n v="2.5"/>
    <n v="1473"/>
  </r>
  <r>
    <x v="91"/>
    <x v="14"/>
    <n v="78205"/>
    <n v="11.4"/>
    <n v="9.6"/>
    <n v="-0.7"/>
    <n v="891"/>
  </r>
  <r>
    <x v="92"/>
    <x v="13"/>
    <n v="68311"/>
    <n v="15.2"/>
    <n v="8"/>
    <n v="0.4"/>
    <n v="1038"/>
  </r>
  <r>
    <x v="93"/>
    <x v="6"/>
    <n v="65049"/>
    <n v="11.5"/>
    <n v="9.3000000000000007"/>
    <n v="3.8"/>
    <n v="748"/>
  </r>
  <r>
    <x v="94"/>
    <x v="5"/>
    <n v="61199"/>
    <n v="10.8"/>
    <n v="11.2"/>
    <n v="-2.9"/>
    <n v="660"/>
  </r>
  <r>
    <x v="95"/>
    <x v="9"/>
    <n v="253344"/>
    <n v="11.2"/>
    <n v="9.5"/>
    <n v="9.9"/>
    <n v="2837"/>
  </r>
  <r>
    <x v="96"/>
    <x v="11"/>
    <n v="66795"/>
    <n v="8.4"/>
    <n v="8.1999999999999993"/>
    <n v="-1.4"/>
    <n v="561"/>
  </r>
  <r>
    <x v="97"/>
    <x v="7"/>
    <n v="98574"/>
    <n v="9.6999999999999993"/>
    <n v="10.9"/>
    <n v="-2.4"/>
    <n v="956"/>
  </r>
  <r>
    <x v="98"/>
    <x v="7"/>
    <n v="67824"/>
    <n v="8.8000000000000007"/>
    <n v="13.7"/>
    <n v="-1"/>
    <n v="596"/>
  </r>
  <r>
    <x v="99"/>
    <x v="8"/>
    <n v="110849"/>
    <n v="11.1"/>
    <n v="9.1999999999999993"/>
    <n v="-0.1"/>
    <n v="1230"/>
  </r>
  <r>
    <x v="99"/>
    <x v="15"/>
    <n v="56131"/>
    <n v="11"/>
    <n v="10.5"/>
    <n v="-2.7"/>
    <n v="617"/>
  </r>
  <r>
    <x v="100"/>
    <x v="14"/>
    <n v="77440"/>
    <n v="12.8"/>
    <n v="9.8000000000000007"/>
    <n v="-1.8"/>
    <n v="991"/>
  </r>
  <r>
    <x v="101"/>
    <x v="4"/>
    <n v="102015"/>
    <n v="9.5"/>
    <n v="13.2"/>
    <n v="-1.9"/>
    <n v="969"/>
  </r>
  <r>
    <x v="102"/>
    <x v="13"/>
    <n v="81848"/>
    <n v="13.6"/>
    <n v="8.5"/>
    <n v="0.3"/>
    <n v="1113"/>
  </r>
  <r>
    <x v="103"/>
    <x v="8"/>
    <n v="78359"/>
    <n v="12.2"/>
    <n v="8.9"/>
    <n v="0.5"/>
    <n v="955"/>
  </r>
  <r>
    <x v="104"/>
    <x v="4"/>
    <n v="50808"/>
    <n v="9.9"/>
    <n v="11.8"/>
    <n v="0.6"/>
    <n v="502"/>
  </r>
  <r>
    <x v="105"/>
    <x v="13"/>
    <n v="63915"/>
    <n v="12.5"/>
    <n v="8.6"/>
    <n v="-0.7"/>
    <n v="798"/>
  </r>
  <r>
    <x v="106"/>
    <x v="4"/>
    <n v="52420"/>
    <n v="10.7"/>
    <n v="13.3"/>
    <n v="-1.9"/>
    <n v="560"/>
  </r>
  <r>
    <x v="107"/>
    <x v="7"/>
    <n v="57164"/>
    <n v="11.4"/>
    <n v="8.9"/>
    <n v="-2.2000000000000002"/>
    <n v="651"/>
  </r>
  <r>
    <x v="108"/>
    <x v="5"/>
    <n v="103039"/>
    <n v="12"/>
    <n v="8.5"/>
    <n v="13.4"/>
    <n v="1236"/>
  </r>
  <r>
    <x v="109"/>
    <x v="10"/>
    <n v="53618"/>
    <n v="11.1"/>
    <n v="10"/>
    <n v="2.2999999999999998"/>
    <n v="595"/>
  </r>
  <r>
    <x v="110"/>
    <x v="8"/>
    <n v="26608"/>
    <n v="9.1999999999999993"/>
    <n v="7"/>
    <n v="-0.9"/>
    <n v="244"/>
  </r>
  <r>
    <x v="111"/>
    <x v="14"/>
    <n v="51722"/>
    <n v="13"/>
    <n v="8.6999999999999993"/>
    <n v="5.9"/>
    <n v="672"/>
  </r>
  <r>
    <x v="112"/>
    <x v="8"/>
    <n v="69105"/>
    <n v="10.5"/>
    <n v="8.5"/>
    <n v="-1.8"/>
    <n v="725"/>
  </r>
  <r>
    <x v="113"/>
    <x v="2"/>
    <n v="42501"/>
    <n v="10.6"/>
    <n v="9.5"/>
    <n v="-2.8"/>
    <n v="450"/>
  </r>
  <r>
    <x v="114"/>
    <x v="9"/>
    <n v="124278"/>
    <n v="14.1"/>
    <n v="7.7"/>
    <n v="0.1"/>
    <n v="1752"/>
  </r>
  <r>
    <x v="115"/>
    <x v="0"/>
    <n v="66162"/>
    <n v="12.8"/>
    <n v="10.6"/>
    <n v="-2"/>
    <n v="846"/>
  </r>
  <r>
    <x v="116"/>
    <x v="5"/>
    <n v="36033"/>
    <n v="10.5"/>
    <n v="15.5"/>
    <n v="-2.2999999999999998"/>
    <n v="378"/>
  </r>
  <r>
    <x v="117"/>
    <x v="6"/>
    <n v="38063"/>
    <n v="11.6"/>
    <n v="10.6"/>
    <n v="-2.8"/>
    <n v="441"/>
  </r>
  <r>
    <x v="118"/>
    <x v="4"/>
    <n v="66807"/>
    <n v="10.6"/>
    <n v="11"/>
    <n v="10.8"/>
    <n v="708"/>
  </r>
  <r>
    <x v="119"/>
    <x v="1"/>
    <n v="50919"/>
    <n v="11.7"/>
    <n v="11.6"/>
    <n v="0.3"/>
    <n v="595"/>
  </r>
  <r>
    <x v="120"/>
    <x v="5"/>
    <n v="32072"/>
    <n v="10.1"/>
    <n v="13.3"/>
    <n v="-4.5"/>
    <n v="323"/>
  </r>
  <r>
    <x v="121"/>
    <x v="4"/>
    <n v="81151"/>
    <n v="10.8"/>
    <n v="12.3"/>
    <n v="-1.9"/>
    <n v="876"/>
  </r>
  <r>
    <x v="122"/>
    <x v="8"/>
    <n v="56811"/>
    <n v="10.4"/>
    <n v="9.6999999999999993"/>
    <n v="-1.8"/>
    <n v="590"/>
  </r>
  <r>
    <x v="123"/>
    <x v="10"/>
    <n v="56085"/>
    <n v="10.1"/>
    <n v="11.9"/>
    <n v="-3.4"/>
    <n v="566"/>
  </r>
  <r>
    <x v="124"/>
    <x v="7"/>
    <n v="89876"/>
    <n v="11"/>
    <n v="11.9"/>
    <n v="-2"/>
    <n v="988"/>
  </r>
  <r>
    <x v="125"/>
    <x v="7"/>
    <n v="144383"/>
    <n v="10.6"/>
    <n v="10.6"/>
    <n v="6.1"/>
    <n v="1530"/>
  </r>
  <r>
    <x v="126"/>
    <x v="10"/>
    <n v="105170"/>
    <n v="10.6"/>
    <n v="7.9"/>
    <n v="-2.8"/>
    <n v="1114"/>
  </r>
  <r>
    <x v="127"/>
    <x v="3"/>
    <n v="76618"/>
    <n v="10.199999999999999"/>
    <n v="10.4"/>
    <n v="2.2999999999999998"/>
    <n v="781"/>
  </r>
  <r>
    <x v="128"/>
    <x v="7"/>
    <n v="107953"/>
    <n v="12.2"/>
    <n v="9.8000000000000007"/>
    <n v="-4.0999999999999996"/>
    <n v="1317"/>
  </r>
  <r>
    <x v="129"/>
    <x v="10"/>
    <n v="47194"/>
    <n v="8.6"/>
    <n v="11.6"/>
    <n v="-2.8"/>
    <n v="405"/>
  </r>
  <r>
    <x v="130"/>
    <x v="7"/>
    <n v="57876"/>
    <n v="10.9"/>
    <n v="7.2"/>
    <n v="-2.5"/>
    <n v="630"/>
  </r>
  <r>
    <x v="131"/>
    <x v="1"/>
    <n v="294685"/>
    <n v="10.5"/>
    <n v="7.8"/>
    <n v="-1.4"/>
    <n v="3094"/>
  </r>
  <r>
    <x v="132"/>
    <x v="3"/>
    <n v="175402"/>
    <n v="10.5"/>
    <n v="9.6999999999999993"/>
    <n v="-2.2999999999999998"/>
    <n v="1841"/>
  </r>
  <r>
    <x v="133"/>
    <x v="0"/>
    <n v="357650"/>
    <n v="10"/>
    <n v="10.5"/>
    <n v="-4.5"/>
    <n v="3576"/>
  </r>
  <r>
    <x v="134"/>
    <x v="3"/>
    <n v="182749"/>
    <n v="9.9"/>
    <n v="11"/>
    <n v="-5"/>
    <n v="1809"/>
  </r>
  <r>
    <x v="135"/>
    <x v="7"/>
    <n v="67650"/>
    <n v="9.9"/>
    <n v="8.9"/>
    <n v="-3.6"/>
    <n v="669"/>
  </r>
  <r>
    <x v="136"/>
    <x v="3"/>
    <n v="113007"/>
    <n v="10.9"/>
    <n v="13.2"/>
    <n v="-0.2"/>
    <n v="1231"/>
  </r>
  <r>
    <x v="137"/>
    <x v="3"/>
    <n v="239319"/>
    <n v="9.9"/>
    <n v="11.1"/>
    <n v="-3.5"/>
    <n v="2369"/>
  </r>
  <r>
    <x v="138"/>
    <x v="3"/>
    <n v="127686"/>
    <n v="9.4"/>
    <n v="11"/>
    <n v="-3"/>
    <n v="1200"/>
  </r>
  <r>
    <x v="139"/>
    <x v="2"/>
    <n v="126419"/>
    <n v="10.3"/>
    <n v="9.5"/>
    <n v="-1.9"/>
    <n v="1302"/>
  </r>
  <r>
    <x v="140"/>
    <x v="13"/>
    <n v="456591"/>
    <n v="11.1"/>
    <n v="9.8000000000000007"/>
    <n v="-0.2"/>
    <n v="5068"/>
  </r>
  <r>
    <x v="141"/>
    <x v="13"/>
    <n v="247859"/>
    <n v="10"/>
    <n v="9.6"/>
    <n v="-3.8"/>
    <n v="2478"/>
  </r>
  <r>
    <x v="142"/>
    <x v="3"/>
    <n v="196167"/>
    <n v="9.5"/>
    <n v="9.8000000000000007"/>
    <n v="-2.6"/>
    <n v="1863"/>
  </r>
  <r>
    <x v="143"/>
    <x v="15"/>
    <n v="125383"/>
    <n v="11"/>
    <n v="9.1999999999999993"/>
    <n v="-1.6"/>
    <n v="1379"/>
  </r>
  <r>
    <x v="144"/>
    <x v="0"/>
    <n v="99074"/>
    <n v="10.7"/>
    <n v="10.199999999999999"/>
    <n v="-2.2000000000000002"/>
    <n v="1060"/>
  </r>
  <r>
    <x v="145"/>
    <x v="3"/>
    <n v="92988"/>
    <n v="10.4"/>
    <n v="7.7"/>
    <n v="-7.7"/>
    <n v="967"/>
  </r>
  <r>
    <x v="146"/>
    <x v="3"/>
    <n v="95036"/>
    <n v="9.6"/>
    <n v="10.1"/>
    <n v="-1.3"/>
    <n v="912"/>
  </r>
  <r>
    <x v="147"/>
    <x v="10"/>
    <n v="84564"/>
    <n v="8.8000000000000007"/>
    <n v="12.4"/>
    <n v="-3.4"/>
    <n v="744"/>
  </r>
  <r>
    <x v="148"/>
    <x v="14"/>
    <n v="107019"/>
    <n v="9.5"/>
    <n v="11.3"/>
    <n v="-4"/>
    <n v="1016"/>
  </r>
  <r>
    <x v="149"/>
    <x v="3"/>
    <n v="308548"/>
    <n v="9.4"/>
    <n v="11.7"/>
    <n v="-3.2"/>
    <n v="2900"/>
  </r>
  <r>
    <x v="150"/>
    <x v="12"/>
    <n v="204835"/>
    <n v="10"/>
    <n v="8.8000000000000007"/>
    <n v="-4.0999999999999996"/>
    <n v="2048"/>
  </r>
  <r>
    <x v="151"/>
    <x v="14"/>
    <n v="79516"/>
    <n v="10.1"/>
    <n v="8.1"/>
    <n v="-6.3"/>
    <n v="803"/>
  </r>
  <r>
    <x v="152"/>
    <x v="6"/>
    <n v="106987"/>
    <n v="9"/>
    <n v="8.5"/>
    <n v="-1.2"/>
    <n v="962"/>
  </r>
  <r>
    <x v="153"/>
    <x v="9"/>
    <n v="755000"/>
    <n v="10.7"/>
    <n v="9.8000000000000007"/>
    <n v="0.6"/>
    <n v="8078"/>
  </r>
  <r>
    <x v="154"/>
    <x v="8"/>
    <n v="47534"/>
    <n v="9.1"/>
    <n v="8.3000000000000007"/>
    <n v="-2.2999999999999998"/>
    <n v="432"/>
  </r>
  <r>
    <x v="155"/>
    <x v="10"/>
    <n v="104178"/>
    <n v="9.6999999999999993"/>
    <n v="10.3"/>
    <n v="-2.4"/>
    <n v="1010"/>
  </r>
  <r>
    <x v="156"/>
    <x v="14"/>
    <n v="64338"/>
    <n v="12.5"/>
    <n v="8.9"/>
    <n v="-1.9"/>
    <n v="804"/>
  </r>
  <r>
    <x v="157"/>
    <x v="4"/>
    <n v="742387"/>
    <n v="9.3000000000000007"/>
    <n v="14.3"/>
    <n v="-1.8"/>
    <n v="6904"/>
  </r>
  <r>
    <x v="158"/>
    <x v="1"/>
    <n v="63357"/>
    <n v="10.3"/>
    <n v="7"/>
    <n v="-2.1"/>
    <n v="652"/>
  </r>
  <r>
    <x v="159"/>
    <x v="7"/>
    <n v="349440"/>
    <n v="10.9"/>
    <n v="9.5"/>
    <n v="-2.2999999999999998"/>
    <n v="3808"/>
  </r>
  <r>
    <x v="160"/>
    <x v="3"/>
    <n v="74893"/>
    <n v="11"/>
    <n v="10.6"/>
    <n v="-1.5"/>
    <n v="823"/>
  </r>
  <r>
    <x v="161"/>
    <x v="9"/>
    <n v="84556"/>
    <n v="11.1"/>
    <n v="7.7"/>
    <n v="-1.8"/>
    <n v="938"/>
  </r>
  <r>
    <x v="162"/>
    <x v="2"/>
    <n v="176457"/>
    <n v="11.2"/>
    <n v="8.1"/>
    <n v="-1"/>
    <n v="1976"/>
  </r>
  <r>
    <x v="163"/>
    <x v="11"/>
    <n v="125792"/>
    <n v="9.4"/>
    <n v="8.6999999999999993"/>
    <n v="-3.4"/>
    <n v="1182"/>
  </r>
  <r>
    <x v="164"/>
    <x v="5"/>
    <n v="53837"/>
    <n v="11.3"/>
    <n v="7.1"/>
    <n v="-7.6"/>
    <n v="608"/>
  </r>
  <r>
    <x v="165"/>
    <x v="3"/>
    <n v="58519"/>
    <n v="10.4"/>
    <n v="11.4"/>
    <n v="-3.8"/>
    <n v="608"/>
  </r>
  <r>
    <x v="166"/>
    <x v="4"/>
    <n v="77810"/>
    <n v="10.6"/>
    <n v="11.1"/>
    <n v="-2.7"/>
    <n v="824"/>
  </r>
  <r>
    <x v="167"/>
    <x v="5"/>
    <n v="126542"/>
    <n v="11"/>
    <n v="9.5"/>
    <n v="-3.2"/>
    <n v="1391"/>
  </r>
  <r>
    <x v="168"/>
    <x v="14"/>
    <n v="554221"/>
    <n v="11.3"/>
    <n v="10.1"/>
    <n v="-5.3"/>
    <n v="6262"/>
  </r>
  <r>
    <x v="169"/>
    <x v="8"/>
    <n v="66389"/>
    <n v="10"/>
    <n v="9.6999999999999993"/>
    <n v="-4.0999999999999996"/>
    <n v="663"/>
  </r>
  <r>
    <x v="170"/>
    <x v="5"/>
    <n v="223397"/>
    <n v="10.8"/>
    <n v="10"/>
    <n v="-4.4000000000000004"/>
    <n v="2412"/>
  </r>
  <r>
    <x v="171"/>
    <x v="3"/>
    <n v="143394"/>
    <n v="10.9"/>
    <n v="11.4"/>
    <n v="-4"/>
    <n v="1562"/>
  </r>
  <r>
    <x v="172"/>
    <x v="3"/>
    <n v="141372"/>
    <n v="11.6"/>
    <n v="8.6"/>
    <n v="-1.3"/>
    <n v="1639"/>
  </r>
  <r>
    <x v="173"/>
    <x v="8"/>
    <n v="172770"/>
    <n v="11.1"/>
    <n v="8.6"/>
    <n v="-0.4"/>
    <n v="1917"/>
  </r>
  <r>
    <x v="174"/>
    <x v="5"/>
    <n v="77319"/>
    <n v="11.8"/>
    <n v="7.9"/>
    <n v="-2.1"/>
    <n v="912"/>
  </r>
  <r>
    <x v="175"/>
    <x v="3"/>
    <n v="70712"/>
    <n v="10.199999999999999"/>
    <n v="12.7"/>
    <n v="-3.3"/>
    <n v="721"/>
  </r>
  <r>
    <x v="176"/>
    <x v="4"/>
    <n v="48958"/>
    <n v="11"/>
    <n v="8.6"/>
    <n v="-1.6"/>
    <n v="538"/>
  </r>
  <r>
    <x v="177"/>
    <x v="13"/>
    <n v="97087"/>
    <n v="9.1999999999999993"/>
    <n v="9.8000000000000007"/>
    <n v="-2.9"/>
    <n v="893"/>
  </r>
  <r>
    <x v="178"/>
    <x v="13"/>
    <n v="38460"/>
    <n v="7.7"/>
    <n v="13"/>
    <n v="-3.5"/>
    <n v="296"/>
  </r>
  <r>
    <x v="179"/>
    <x v="3"/>
    <n v="219300"/>
    <n v="9"/>
    <n v="11.8"/>
    <n v="-4.8"/>
    <n v="1973"/>
  </r>
  <r>
    <x v="180"/>
    <x v="1"/>
    <n v="69499"/>
    <n v="10.4"/>
    <n v="7"/>
    <n v="-2.1"/>
    <n v="722"/>
  </r>
  <r>
    <x v="181"/>
    <x v="3"/>
    <n v="54091"/>
    <n v="10.199999999999999"/>
    <n v="11.8"/>
    <n v="-3.5"/>
    <n v="551"/>
  </r>
  <r>
    <x v="182"/>
    <x v="6"/>
    <n v="40765"/>
    <n v="8.4"/>
    <n v="9"/>
    <n v="0.5"/>
    <n v="342"/>
  </r>
  <r>
    <x v="183"/>
    <x v="6"/>
    <n v="406307"/>
    <n v="9.6999999999999993"/>
    <n v="10.9"/>
    <n v="-0.9"/>
    <n v="3941"/>
  </r>
  <r>
    <x v="184"/>
    <x v="8"/>
    <n v="49419"/>
    <n v="8.4"/>
    <n v="7.2"/>
    <n v="-5"/>
    <n v="415"/>
  </r>
  <r>
    <x v="185"/>
    <x v="9"/>
    <n v="115158"/>
    <n v="9"/>
    <n v="8.5"/>
    <n v="-3.1"/>
    <n v="1036"/>
  </r>
  <r>
    <x v="186"/>
    <x v="0"/>
    <n v="205718"/>
    <n v="10.8"/>
    <n v="9.1999999999999993"/>
    <n v="-3"/>
    <n v="2221"/>
  </r>
  <r>
    <x v="187"/>
    <x v="3"/>
    <n v="129449"/>
    <n v="11"/>
    <n v="8.3000000000000007"/>
    <n v="-2.7"/>
    <n v="1423"/>
  </r>
  <r>
    <x v="188"/>
    <x v="0"/>
    <n v="117402"/>
    <n v="9.6"/>
    <n v="10.4"/>
    <n v="-3.4"/>
    <n v="1127"/>
  </r>
  <r>
    <x v="189"/>
    <x v="10"/>
    <n v="632146"/>
    <n v="10.199999999999999"/>
    <n v="11"/>
    <n v="1.3"/>
    <n v="6447"/>
  </r>
  <r>
    <x v="190"/>
    <x v="3"/>
    <n v="187674"/>
    <n v="9.6"/>
    <n v="9.3000000000000007"/>
    <n v="-3.7"/>
    <n v="1801"/>
  </r>
  <r>
    <x v="191"/>
    <x v="7"/>
    <n v="66557"/>
    <n v="10.8"/>
    <n v="7.8"/>
    <n v="-3.1"/>
    <n v="718"/>
  </r>
  <r>
    <x v="192"/>
    <x v="15"/>
    <n v="117503"/>
    <n v="10.8"/>
    <n v="9.9"/>
    <n v="0.2"/>
    <n v="1269"/>
  </r>
  <r>
    <x v="193"/>
    <x v="3"/>
    <n v="62022"/>
    <n v="12.3"/>
    <n v="6.6"/>
    <n v="-6.9"/>
    <n v="762"/>
  </r>
  <r>
    <x v="194"/>
    <x v="5"/>
    <n v="46068"/>
    <n v="13"/>
    <n v="12.5"/>
    <n v="-2.8"/>
    <n v="598"/>
  </r>
  <r>
    <x v="195"/>
    <x v="13"/>
    <n v="62842"/>
    <n v="11.3"/>
    <n v="9.4"/>
    <n v="1"/>
    <n v="710"/>
  </r>
  <r>
    <x v="196"/>
    <x v="9"/>
    <n v="50114"/>
    <n v="10.3"/>
    <n v="14.5"/>
    <n v="0.3"/>
    <n v="516"/>
  </r>
  <r>
    <x v="197"/>
    <x v="14"/>
    <n v="36646"/>
    <n v="12.8"/>
    <n v="9.9"/>
    <n v="-1"/>
    <n v="469"/>
  </r>
  <r>
    <x v="198"/>
    <x v="15"/>
    <n v="58250"/>
    <n v="11.3"/>
    <n v="9.4"/>
    <n v="-2.4"/>
    <n v="658"/>
  </r>
  <r>
    <x v="199"/>
    <x v="8"/>
    <n v="133986"/>
    <n v="11.1"/>
    <n v="8.1999999999999993"/>
    <n v="-0.8"/>
    <n v="1487"/>
  </r>
  <r>
    <x v="200"/>
    <x v="3"/>
    <n v="92655"/>
    <n v="11.5"/>
    <n v="9.1999999999999993"/>
    <n v="4.8"/>
    <n v="1065"/>
  </r>
  <r>
    <x v="201"/>
    <x v="10"/>
    <n v="37036"/>
    <n v="12.9"/>
    <n v="10"/>
    <n v="-0.7"/>
    <n v="477"/>
  </r>
  <r>
    <x v="202"/>
    <x v="5"/>
    <n v="144294"/>
    <n v="12.7"/>
    <n v="10.5"/>
    <n v="5"/>
    <n v="1832"/>
  </r>
  <r>
    <x v="203"/>
    <x v="5"/>
    <n v="72713"/>
    <n v="11.3"/>
    <n v="11.4"/>
    <n v="-1.4"/>
    <n v="821"/>
  </r>
  <r>
    <x v="204"/>
    <x v="0"/>
    <n v="46877"/>
    <n v="10.199999999999999"/>
    <n v="9.6999999999999993"/>
    <n v="-2.2999999999999998"/>
    <n v="478"/>
  </r>
  <r>
    <x v="205"/>
    <x v="1"/>
    <n v="42212"/>
    <n v="8.3000000000000007"/>
    <n v="12.4"/>
    <n v="-3.5"/>
    <n v="350"/>
  </r>
  <r>
    <x v="206"/>
    <x v="2"/>
    <n v="50169"/>
    <n v="11.2"/>
    <n v="8.8000000000000007"/>
    <n v="-2.2000000000000002"/>
    <n v="561"/>
  </r>
  <r>
    <x v="207"/>
    <x v="5"/>
    <n v="1714446"/>
    <n v="11.1"/>
    <n v="10.7"/>
    <n v="2.2999999999999998"/>
    <n v="19030"/>
  </r>
  <r>
    <x v="208"/>
    <x v="9"/>
    <n v="119975"/>
    <n v="13.2"/>
    <n v="8.1999999999999993"/>
    <n v="2.4"/>
    <n v="1583"/>
  </r>
  <r>
    <x v="209"/>
    <x v="6"/>
    <n v="67074"/>
    <n v="10.7"/>
    <n v="9.6999999999999993"/>
    <n v="-0.9"/>
    <n v="717"/>
  </r>
  <r>
    <x v="210"/>
    <x v="3"/>
    <n v="71517"/>
    <n v="9.8000000000000007"/>
    <n v="12.1"/>
    <n v="0.8"/>
    <n v="700"/>
  </r>
  <r>
    <x v="211"/>
    <x v="0"/>
    <n v="85397"/>
    <n v="12.7"/>
    <n v="8.5"/>
    <n v="-1.6"/>
    <n v="1084"/>
  </r>
  <r>
    <x v="212"/>
    <x v="11"/>
    <n v="43814"/>
    <n v="10.8"/>
    <n v="9.1"/>
    <n v="-2.7"/>
    <n v="473"/>
  </r>
  <r>
    <x v="213"/>
    <x v="2"/>
    <n v="33444"/>
    <n v="11.8"/>
    <n v="9.9"/>
    <n v="-6"/>
    <n v="394"/>
  </r>
  <r>
    <x v="214"/>
    <x v="8"/>
    <n v="66947"/>
    <n v="8.8000000000000007"/>
    <n v="9.3000000000000007"/>
    <n v="-1.8"/>
    <n v="589"/>
  </r>
  <r>
    <x v="215"/>
    <x v="13"/>
    <n v="35642"/>
    <n v="11.8"/>
    <n v="9.3000000000000007"/>
    <n v="-1.6"/>
    <n v="420"/>
  </r>
  <r>
    <x v="215"/>
    <x v="5"/>
    <n v="76583"/>
    <n v="11.2"/>
    <n v="9.5"/>
    <n v="2.7"/>
    <n v="857"/>
  </r>
  <r>
    <x v="216"/>
    <x v="2"/>
    <n v="43749"/>
    <n v="13"/>
    <n v="9.1999999999999993"/>
    <n v="-2.2000000000000002"/>
    <n v="568"/>
  </r>
  <r>
    <x v="217"/>
    <x v="9"/>
    <n v="202701"/>
    <n v="13.6"/>
    <n v="7.5"/>
    <n v="0.1"/>
    <n v="2756"/>
  </r>
  <r>
    <x v="218"/>
    <x v="15"/>
    <n v="86890"/>
    <n v="11.9"/>
    <n v="10.3"/>
    <n v="-2"/>
    <n v="1033"/>
  </r>
  <r>
    <x v="219"/>
    <x v="9"/>
    <n v="185161"/>
    <n v="12"/>
    <n v="7.3"/>
    <n v="0.7"/>
    <n v="2221"/>
  </r>
  <r>
    <x v="220"/>
    <x v="14"/>
    <n v="72725"/>
    <n v="13.5"/>
    <n v="8.9"/>
    <n v="-0.9"/>
    <n v="981"/>
  </r>
  <r>
    <x v="221"/>
    <x v="11"/>
    <n v="143852"/>
    <n v="9.3000000000000007"/>
    <n v="9.8000000000000007"/>
    <n v="-2.1"/>
    <n v="1337"/>
  </r>
  <r>
    <x v="222"/>
    <x v="14"/>
    <n v="57042"/>
    <n v="13.2"/>
    <n v="8.9"/>
    <n v="0.3"/>
    <n v="752"/>
  </r>
  <r>
    <x v="223"/>
    <x v="10"/>
    <n v="72357"/>
    <n v="11.4"/>
    <n v="9.1"/>
    <n v="4.3"/>
    <n v="824"/>
  </r>
  <r>
    <x v="224"/>
    <x v="2"/>
    <n v="34111"/>
    <n v="11.4"/>
    <n v="8.6999999999999993"/>
    <n v="-3.4"/>
    <n v="388"/>
  </r>
  <r>
    <x v="225"/>
    <x v="11"/>
    <n v="67194"/>
    <n v="8.6999999999999993"/>
    <n v="9.6"/>
    <n v="-2.6"/>
    <n v="584"/>
  </r>
  <r>
    <x v="226"/>
    <x v="10"/>
    <n v="104047"/>
    <n v="11.2"/>
    <n v="9.6999999999999993"/>
    <n v="1.8"/>
    <n v="1165"/>
  </r>
  <r>
    <x v="227"/>
    <x v="9"/>
    <n v="113893"/>
    <n v="9.9"/>
    <n v="9.4"/>
    <n v="-1.7"/>
    <n v="1127"/>
  </r>
  <r>
    <x v="228"/>
    <x v="2"/>
    <n v="116766"/>
    <n v="11.6"/>
    <n v="9"/>
    <n v="6.5"/>
    <n v="1354"/>
  </r>
  <r>
    <x v="229"/>
    <x v="12"/>
    <n v="55471"/>
    <n v="9.5"/>
    <n v="13.3"/>
    <n v="-1.1000000000000001"/>
    <n v="526"/>
  </r>
  <r>
    <x v="230"/>
    <x v="4"/>
    <n v="78362"/>
    <n v="11.7"/>
    <n v="10.8"/>
    <n v="-2.8"/>
    <n v="916"/>
  </r>
  <r>
    <x v="231"/>
    <x v="11"/>
    <n v="135010"/>
    <n v="8.1"/>
    <n v="8.4"/>
    <n v="2.9"/>
    <n v="1093"/>
  </r>
  <r>
    <x v="231"/>
    <x v="7"/>
    <n v="62048"/>
    <n v="10.4"/>
    <n v="12.5"/>
    <n v="-2.7"/>
    <n v="645"/>
  </r>
  <r>
    <x v="232"/>
    <x v="2"/>
    <n v="104506"/>
    <n v="11.6"/>
    <n v="9.6"/>
    <n v="-3.7"/>
    <n v="1212"/>
  </r>
  <r>
    <x v="233"/>
    <x v="5"/>
    <n v="84578"/>
    <n v="12.5"/>
    <n v="10.3"/>
    <n v="1.4"/>
    <n v="1057"/>
  </r>
  <r>
    <x v="234"/>
    <x v="12"/>
    <n v="114670"/>
    <n v="9.3000000000000007"/>
    <n v="10.8"/>
    <n v="-2.1"/>
    <n v="1066"/>
  </r>
  <r>
    <x v="235"/>
    <x v="14"/>
    <n v="159332"/>
    <n v="11.5"/>
    <n v="8.9"/>
    <n v="0.2"/>
    <n v="1832"/>
  </r>
  <r>
    <x v="235"/>
    <x v="5"/>
    <n v="74511"/>
    <n v="10.4"/>
    <n v="11"/>
    <n v="-2.9"/>
    <n v="774"/>
  </r>
  <r>
    <x v="236"/>
    <x v="14"/>
    <n v="54973"/>
    <n v="11.9"/>
    <n v="10"/>
    <n v="1.1000000000000001"/>
    <n v="654"/>
  </r>
  <r>
    <x v="237"/>
    <x v="9"/>
    <n v="153602"/>
    <n v="10.4"/>
    <n v="9.1999999999999993"/>
    <n v="0"/>
    <n v="1597"/>
  </r>
  <r>
    <x v="238"/>
    <x v="5"/>
    <n v="119607"/>
    <n v="11.5"/>
    <n v="10"/>
    <n v="6.8"/>
    <n v="1375"/>
  </r>
  <r>
    <x v="239"/>
    <x v="4"/>
    <n v="119060"/>
    <n v="9.1"/>
    <n v="12.4"/>
    <n v="2.6"/>
    <n v="1083"/>
  </r>
  <r>
    <x v="240"/>
    <x v="4"/>
    <n v="52750"/>
    <n v="8.6999999999999993"/>
    <n v="12"/>
    <n v="-1.3"/>
    <n v="458"/>
  </r>
  <r>
    <x v="241"/>
    <x v="7"/>
    <n v="35921"/>
    <n v="11.2"/>
    <n v="12"/>
    <n v="-3.2"/>
    <n v="402"/>
  </r>
  <r>
    <x v="242"/>
    <x v="5"/>
    <n v="157392"/>
    <n v="12.5"/>
    <n v="8"/>
    <n v="16.899999999999999"/>
    <n v="1967"/>
  </r>
  <r>
    <x v="243"/>
    <x v="14"/>
    <n v="137562"/>
    <n v="11.7"/>
    <n v="9.1"/>
    <n v="-1.9"/>
    <n v="1609"/>
  </r>
  <r>
    <x v="244"/>
    <x v="12"/>
    <n v="41282"/>
    <n v="8.5"/>
    <n v="12.8"/>
    <n v="-3.4"/>
    <n v="350"/>
  </r>
  <r>
    <x v="245"/>
    <x v="4"/>
    <n v="90462"/>
    <n v="11.6"/>
    <n v="12.7"/>
    <n v="1.6"/>
    <n v="1049"/>
  </r>
  <r>
    <x v="246"/>
    <x v="2"/>
    <n v="57093"/>
    <n v="12.1"/>
    <n v="8.9"/>
    <n v="-5.7"/>
    <n v="690"/>
  </r>
  <r>
    <x v="247"/>
    <x v="14"/>
    <n v="62407"/>
    <n v="11.2"/>
    <n v="9.5"/>
    <n v="-0.6"/>
    <n v="698"/>
  </r>
  <r>
    <x v="248"/>
    <x v="5"/>
    <n v="107471"/>
    <n v="11.2"/>
    <n v="11"/>
    <n v="4.2"/>
    <n v="1203"/>
  </r>
  <r>
    <x v="249"/>
    <x v="5"/>
    <n v="87244"/>
    <n v="12.1"/>
    <n v="12.1"/>
    <n v="-0.1"/>
    <n v="1055"/>
  </r>
  <r>
    <x v="250"/>
    <x v="4"/>
    <n v="41618"/>
    <n v="10.1"/>
    <n v="14.1"/>
    <n v="-0.7"/>
    <n v="420"/>
  </r>
  <r>
    <x v="251"/>
    <x v="6"/>
    <n v="69087"/>
    <n v="10.9"/>
    <n v="6.8"/>
    <n v="12.7"/>
    <n v="753"/>
  </r>
  <r>
    <x v="252"/>
    <x v="10"/>
    <n v="61622"/>
    <n v="12.4"/>
    <n v="8.6999999999999993"/>
    <n v="-1.6"/>
    <n v="764"/>
  </r>
  <r>
    <x v="253"/>
    <x v="14"/>
    <n v="319258"/>
    <n v="13.1"/>
    <n v="7.1"/>
    <n v="18.899999999999999"/>
    <n v="4182"/>
  </r>
  <r>
    <x v="254"/>
    <x v="9"/>
    <n v="43419"/>
    <n v="10.7"/>
    <n v="11.5"/>
    <n v="1.4"/>
    <n v="464"/>
  </r>
  <r>
    <x v="255"/>
    <x v="11"/>
    <n v="58732"/>
    <n v="9"/>
    <n v="11"/>
    <n v="-2.9"/>
    <n v="528"/>
  </r>
  <r>
    <x v="256"/>
    <x v="5"/>
    <n v="150270"/>
    <n v="11.2"/>
    <n v="9.5"/>
    <n v="9.5"/>
    <n v="1683"/>
  </r>
  <r>
    <x v="257"/>
    <x v="5"/>
    <n v="52389"/>
    <n v="11.7"/>
    <n v="12.1"/>
    <n v="-4.2"/>
    <n v="612"/>
  </r>
  <r>
    <x v="258"/>
    <x v="8"/>
    <n v="71231"/>
    <n v="10.7"/>
    <n v="9.6"/>
    <n v="-1"/>
    <n v="762"/>
  </r>
  <r>
    <x v="259"/>
    <x v="8"/>
    <n v="78630"/>
    <n v="11.4"/>
    <n v="10.5"/>
    <n v="-0.6"/>
    <n v="896"/>
  </r>
  <r>
    <x v="260"/>
    <x v="5"/>
    <n v="43064"/>
    <n v="11.3"/>
    <n v="12.9"/>
    <n v="-3.7"/>
    <n v="486"/>
  </r>
  <r>
    <x v="261"/>
    <x v="3"/>
    <n v="106361"/>
    <n v="13.3"/>
    <n v="7.8"/>
    <n v="1.1000000000000001"/>
    <n v="1414"/>
  </r>
  <r>
    <x v="262"/>
    <x v="13"/>
    <n v="77238"/>
    <n v="13.3"/>
    <n v="8.1"/>
    <n v="5.2"/>
    <n v="1027"/>
  </r>
  <r>
    <x v="263"/>
    <x v="7"/>
    <n v="115860"/>
    <n v="9.9"/>
    <n v="11.2"/>
    <n v="-1.5"/>
    <n v="1147"/>
  </r>
  <r>
    <x v="264"/>
    <x v="5"/>
    <n v="50994"/>
    <n v="11.8"/>
    <n v="11.8"/>
    <n v="0.6"/>
    <n v="601"/>
  </r>
  <r>
    <x v="265"/>
    <x v="6"/>
    <n v="39930"/>
    <n v="11.5"/>
    <n v="9.6999999999999993"/>
    <n v="-2.2999999999999998"/>
    <n v="459"/>
  </r>
  <r>
    <x v="266"/>
    <x v="3"/>
    <n v="110448"/>
    <n v="8.6"/>
    <n v="9.1999999999999993"/>
    <n v="0.7"/>
    <n v="949"/>
  </r>
  <r>
    <x v="267"/>
    <x v="5"/>
    <n v="147212"/>
    <n v="11.7"/>
    <n v="9.5"/>
    <n v="2.2000000000000002"/>
    <n v="1722"/>
  </r>
  <r>
    <x v="268"/>
    <x v="4"/>
    <n v="117431"/>
    <n v="9.8000000000000007"/>
    <n v="12.4"/>
    <n v="-0.5"/>
    <n v="1150"/>
  </r>
  <r>
    <x v="269"/>
    <x v="0"/>
    <n v="41793"/>
    <n v="10.5"/>
    <n v="11.1"/>
    <n v="-2.4"/>
    <n v="438"/>
  </r>
  <r>
    <x v="270"/>
    <x v="7"/>
    <n v="60866"/>
    <n v="11.7"/>
    <n v="10.9"/>
    <n v="-4"/>
    <n v="712"/>
  </r>
  <r>
    <x v="271"/>
    <x v="14"/>
    <n v="59826"/>
    <n v="11.8"/>
    <n v="10.199999999999999"/>
    <n v="0.6"/>
    <n v="705"/>
  </r>
  <r>
    <x v="272"/>
    <x v="4"/>
    <n v="49053"/>
    <n v="11.4"/>
    <n v="11.6"/>
    <n v="-1.4"/>
    <n v="559"/>
  </r>
  <r>
    <x v="273"/>
    <x v="8"/>
    <n v="71751"/>
    <n v="11.7"/>
    <n v="8.1999999999999993"/>
    <n v="-0.8"/>
    <n v="839"/>
  </r>
  <r>
    <x v="274"/>
    <x v="3"/>
    <n v="74509"/>
    <n v="11"/>
    <n v="9.4"/>
    <n v="3.1"/>
    <n v="819"/>
  </r>
  <r>
    <x v="275"/>
    <x v="7"/>
    <n v="58342"/>
    <n v="11"/>
    <n v="11.4"/>
    <n v="-4.0999999999999996"/>
    <n v="641"/>
  </r>
  <r>
    <x v="276"/>
    <x v="0"/>
    <n v="43902"/>
    <n v="11.6"/>
    <n v="11.2"/>
    <n v="-3.4"/>
    <n v="509"/>
  </r>
  <r>
    <x v="277"/>
    <x v="8"/>
    <n v="164900"/>
    <n v="11.2"/>
    <n v="9.5"/>
    <n v="5.4"/>
    <n v="1846"/>
  </r>
  <r>
    <x v="278"/>
    <x v="12"/>
    <n v="80709"/>
    <n v="9.6999999999999993"/>
    <n v="11.8"/>
    <n v="-2.2000000000000002"/>
    <n v="782"/>
  </r>
  <r>
    <x v="279"/>
    <x v="8"/>
    <n v="94857"/>
    <n v="9.8000000000000007"/>
    <n v="8.3000000000000007"/>
    <n v="-1.5"/>
    <n v="929"/>
  </r>
  <r>
    <x v="280"/>
    <x v="1"/>
    <n v="21013"/>
    <n v="10.1"/>
    <n v="11.3"/>
    <n v="-2.4"/>
    <n v="212"/>
  </r>
  <r>
    <x v="281"/>
    <x v="0"/>
    <n v="41045"/>
    <n v="13.4"/>
    <n v="9.4"/>
    <n v="-2.5"/>
    <n v="550"/>
  </r>
  <r>
    <x v="282"/>
    <x v="5"/>
    <n v="80509"/>
    <n v="10.7"/>
    <n v="11.6"/>
    <n v="0.4"/>
    <n v="861"/>
  </r>
  <r>
    <x v="283"/>
    <x v="1"/>
    <n v="47286"/>
    <n v="9.3000000000000007"/>
    <n v="13.2"/>
    <n v="-4.2"/>
    <n v="439"/>
  </r>
  <r>
    <x v="284"/>
    <x v="4"/>
    <n v="119916"/>
    <n v="10.7"/>
    <n v="11.7"/>
    <n v="-1.7"/>
    <n v="1283"/>
  </r>
  <r>
    <x v="285"/>
    <x v="5"/>
    <n v="53028"/>
    <n v="10.3"/>
    <n v="12.2"/>
    <n v="-4.4000000000000004"/>
    <n v="546"/>
  </r>
  <r>
    <x v="286"/>
    <x v="12"/>
    <n v="78400"/>
    <n v="8.9"/>
    <n v="11"/>
    <n v="-3"/>
    <n v="697"/>
  </r>
  <r>
    <x v="287"/>
    <x v="4"/>
    <n v="37604"/>
    <n v="11.2"/>
    <n v="13.6"/>
    <n v="2.4"/>
    <n v="421"/>
  </r>
  <r>
    <x v="288"/>
    <x v="6"/>
    <n v="57298"/>
    <n v="10.199999999999999"/>
    <n v="9.6"/>
    <n v="-2.9"/>
    <n v="584"/>
  </r>
  <r>
    <x v="289"/>
    <x v="15"/>
    <n v="46413"/>
    <n v="12.5"/>
    <n v="9.6999999999999993"/>
    <n v="0.4"/>
    <n v="580"/>
  </r>
  <r>
    <x v="290"/>
    <x v="14"/>
    <n v="58516"/>
    <n v="11.5"/>
    <n v="9.6999999999999993"/>
    <n v="-2.5"/>
    <n v="672"/>
  </r>
  <r>
    <x v="291"/>
    <x v="13"/>
    <n v="93230"/>
    <n v="12.1"/>
    <n v="9"/>
    <n v="-0.2"/>
    <n v="1128"/>
  </r>
  <r>
    <x v="292"/>
    <x v="5"/>
    <n v="83928"/>
    <n v="11.5"/>
    <n v="10.4"/>
    <n v="0.8"/>
    <n v="965"/>
  </r>
  <r>
    <x v="293"/>
    <x v="5"/>
    <n v="55832"/>
    <n v="10.3"/>
    <n v="13.4"/>
    <n v="-3.5"/>
    <n v="575"/>
  </r>
  <r>
    <x v="294"/>
    <x v="1"/>
    <n v="70517"/>
    <n v="9.3000000000000007"/>
    <n v="12.5"/>
    <n v="-4.3"/>
    <n v="655"/>
  </r>
  <r>
    <x v="295"/>
    <x v="14"/>
    <n v="55408"/>
    <n v="12.4"/>
    <n v="9.6"/>
    <n v="1.5"/>
    <n v="687"/>
  </r>
  <r>
    <x v="295"/>
    <x v="10"/>
    <n v="50119"/>
    <n v="11.4"/>
    <n v="10.5"/>
    <n v="4.8"/>
    <n v="571"/>
  </r>
  <r>
    <x v="296"/>
    <x v="14"/>
    <n v="59307"/>
    <n v="12.8"/>
    <n v="9"/>
    <n v="-0.1"/>
    <n v="759"/>
  </r>
  <r>
    <x v="297"/>
    <x v="8"/>
    <n v="107815"/>
    <n v="9.3000000000000007"/>
    <n v="8.6"/>
    <n v="-3.9"/>
    <n v="1002"/>
  </r>
  <r>
    <x v="298"/>
    <x v="12"/>
    <n v="93280"/>
    <n v="10.3"/>
    <n v="11.2"/>
    <n v="-3.1"/>
    <n v="960"/>
  </r>
  <r>
    <x v="299"/>
    <x v="6"/>
    <n v="119340"/>
    <n v="11"/>
    <n v="9.1999999999999993"/>
    <n v="-0.6"/>
    <n v="1312"/>
  </r>
  <r>
    <x v="300"/>
    <x v="13"/>
    <n v="124056"/>
    <n v="12.9"/>
    <n v="8.9"/>
    <n v="-0.3"/>
    <n v="1600"/>
  </r>
  <r>
    <x v="301"/>
    <x v="12"/>
    <n v="73277"/>
    <n v="10.6"/>
    <n v="10.4"/>
    <n v="-2.5"/>
    <n v="776"/>
  </r>
  <r>
    <x v="302"/>
    <x v="11"/>
    <n v="79177"/>
    <n v="8.3000000000000007"/>
    <n v="8.6999999999999993"/>
    <n v="-1.6"/>
    <n v="657"/>
  </r>
  <r>
    <x v="303"/>
    <x v="15"/>
    <n v="49789"/>
    <n v="11.7"/>
    <n v="9.6"/>
    <n v="-3.3"/>
    <n v="582"/>
  </r>
  <r>
    <x v="304"/>
    <x v="10"/>
    <n v="43873"/>
    <n v="10"/>
    <n v="11.4"/>
    <n v="-1.2"/>
    <n v="438"/>
  </r>
  <r>
    <x v="305"/>
    <x v="8"/>
    <n v="61897"/>
    <n v="10.5"/>
    <n v="9.9"/>
    <n v="-0.9"/>
    <n v="649"/>
  </r>
  <r>
    <x v="306"/>
    <x v="15"/>
    <n v="35492"/>
    <n v="11.6"/>
    <n v="10.7"/>
    <n v="-2.2000000000000002"/>
    <n v="411"/>
  </r>
  <r>
    <x v="307"/>
    <x v="9"/>
    <n v="82736"/>
    <n v="12.2"/>
    <n v="9.5"/>
    <n v="0.4"/>
    <n v="1009"/>
  </r>
  <r>
    <x v="308"/>
    <x v="1"/>
    <n v="35148"/>
    <n v="10.7"/>
    <n v="10.8"/>
    <n v="-1.1000000000000001"/>
    <n v="376"/>
  </r>
  <r>
    <x v="309"/>
    <x v="10"/>
    <n v="159323"/>
    <n v="10.5"/>
    <n v="10.4"/>
    <n v="0"/>
    <n v="1672"/>
  </r>
  <r>
    <x v="309"/>
    <x v="7"/>
    <n v="72366"/>
    <n v="9.5"/>
    <n v="9.9"/>
    <n v="-0.2"/>
    <n v="687"/>
  </r>
  <r>
    <x v="310"/>
    <x v="6"/>
    <n v="48470"/>
    <n v="11.4"/>
    <n v="9.3000000000000007"/>
    <n v="-3.2"/>
    <n v="552"/>
  </r>
  <r>
    <x v="311"/>
    <x v="15"/>
    <n v="56038"/>
    <n v="11.8"/>
    <n v="10.1"/>
    <n v="0"/>
    <n v="661"/>
  </r>
  <r>
    <x v="312"/>
    <x v="0"/>
    <n v="97642"/>
    <n v="11.8"/>
    <n v="9.5"/>
    <n v="0.1"/>
    <n v="1152"/>
  </r>
  <r>
    <x v="313"/>
    <x v="14"/>
    <n v="87260"/>
    <n v="12"/>
    <n v="9.6"/>
    <n v="1.2"/>
    <n v="1047"/>
  </r>
  <r>
    <x v="314"/>
    <x v="6"/>
    <n v="77053"/>
    <n v="10.9"/>
    <n v="10.3"/>
    <n v="-1.4"/>
    <n v="839"/>
  </r>
  <r>
    <x v="315"/>
    <x v="2"/>
    <n v="69286"/>
    <n v="12.1"/>
    <n v="9.6999999999999993"/>
    <n v="-2.2000000000000002"/>
    <n v="838"/>
  </r>
  <r>
    <x v="316"/>
    <x v="13"/>
    <n v="41694"/>
    <n v="13.6"/>
    <n v="8.5"/>
    <n v="-4.4000000000000004"/>
    <n v="567"/>
  </r>
  <r>
    <x v="317"/>
    <x v="5"/>
    <n v="39912"/>
    <n v="11.5"/>
    <n v="10.7"/>
    <n v="-2"/>
    <n v="458"/>
  </r>
  <r>
    <x v="318"/>
    <x v="8"/>
    <n v="53487"/>
    <n v="8.5"/>
    <n v="8.5"/>
    <n v="-1.4"/>
    <n v="454"/>
  </r>
  <r>
    <x v="319"/>
    <x v="3"/>
    <n v="137496"/>
    <n v="9.6999999999999993"/>
    <n v="10"/>
    <n v="0.3"/>
    <n v="1333"/>
  </r>
  <r>
    <x v="320"/>
    <x v="9"/>
    <n v="195908"/>
    <n v="11.2"/>
    <n v="8.5"/>
    <n v="1.3"/>
    <n v="2194"/>
  </r>
  <r>
    <x v="321"/>
    <x v="9"/>
    <n v="65298"/>
    <n v="11"/>
    <n v="9.6999999999999993"/>
    <n v="1.7"/>
    <n v="718"/>
  </r>
  <r>
    <x v="322"/>
    <x v="13"/>
    <n v="113570"/>
    <n v="13.8"/>
    <n v="9.1999999999999993"/>
    <n v="-1.6"/>
    <n v="1567"/>
  </r>
  <r>
    <x v="323"/>
    <x v="4"/>
    <n v="120132"/>
    <n v="11"/>
    <n v="12.2"/>
    <n v="-1.6"/>
    <n v="1321"/>
  </r>
  <r>
    <x v="323"/>
    <x v="7"/>
    <n v="86657"/>
    <n v="9.6999999999999993"/>
    <n v="11.6"/>
    <n v="-4.0999999999999996"/>
    <n v="840"/>
  </r>
  <r>
    <x v="324"/>
    <x v="0"/>
    <n v="95187"/>
    <n v="11.7"/>
    <n v="8.3000000000000007"/>
    <n v="13.3"/>
    <n v="1113"/>
  </r>
  <r>
    <x v="325"/>
    <x v="10"/>
    <n v="79166"/>
    <n v="11.6"/>
    <n v="10.1"/>
    <n v="5"/>
    <n v="918"/>
  </r>
  <r>
    <x v="326"/>
    <x v="0"/>
    <n v="47622"/>
    <n v="12.6"/>
    <n v="8.6999999999999993"/>
    <n v="-1.1000000000000001"/>
    <n v="600"/>
  </r>
  <r>
    <x v="327"/>
    <x v="14"/>
    <n v="83691"/>
    <n v="12.4"/>
    <n v="10.1"/>
    <n v="-1.7"/>
    <n v="1037"/>
  </r>
  <r>
    <x v="328"/>
    <x v="0"/>
    <n v="34777"/>
    <n v="12.1"/>
    <n v="9.6999999999999993"/>
    <n v="-1.4"/>
    <n v="420"/>
  </r>
  <r>
    <x v="329"/>
    <x v="9"/>
    <n v="155923"/>
    <n v="11.7"/>
    <n v="9.1"/>
    <n v="-0.1"/>
    <n v="1824"/>
  </r>
  <r>
    <x v="330"/>
    <x v="14"/>
    <n v="68552"/>
    <n v="14"/>
    <n v="8.9"/>
    <n v="-0.2"/>
    <n v="959"/>
  </r>
  <r>
    <x v="331"/>
    <x v="10"/>
    <n v="179526"/>
    <n v="9"/>
    <n v="12.6"/>
    <n v="-3.7"/>
    <n v="1615"/>
  </r>
  <r>
    <x v="332"/>
    <x v="6"/>
    <n v="54098"/>
    <n v="10.8"/>
    <n v="9.1999999999999993"/>
    <n v="-3.3"/>
    <n v="584"/>
  </r>
  <r>
    <x v="333"/>
    <x v="5"/>
    <n v="105185"/>
    <n v="10.5"/>
    <n v="9.1999999999999993"/>
    <n v="11.2"/>
    <n v="1104"/>
  </r>
  <r>
    <x v="334"/>
    <x v="2"/>
    <n v="23327"/>
    <n v="11.2"/>
    <n v="10.8"/>
    <n v="-4.5999999999999996"/>
    <n v="261"/>
  </r>
  <r>
    <x v="335"/>
    <x v="5"/>
    <n v="67080"/>
    <n v="10.9"/>
    <n v="12.5"/>
    <n v="-2.8"/>
    <n v="731"/>
  </r>
  <r>
    <x v="336"/>
    <x v="13"/>
    <n v="192349"/>
    <n v="14.6"/>
    <n v="7.4"/>
    <n v="10.7"/>
    <n v="2808"/>
  </r>
  <r>
    <x v="337"/>
    <x v="9"/>
    <n v="110400"/>
    <n v="11.3"/>
    <n v="9.1"/>
    <n v="12.5"/>
    <n v="1247"/>
  </r>
  <r>
    <x v="338"/>
    <x v="4"/>
    <n v="77843"/>
    <n v="11.4"/>
    <n v="11.6"/>
    <n v="-0.7"/>
    <n v="887"/>
  </r>
  <r>
    <x v="339"/>
    <x v="4"/>
    <n v="42168"/>
    <n v="12"/>
    <n v="10.9"/>
    <n v="-1.8"/>
    <n v="506"/>
  </r>
  <r>
    <x v="340"/>
    <x v="0"/>
    <n v="85368"/>
    <n v="10.199999999999999"/>
    <n v="11.3"/>
    <n v="0"/>
    <n v="870"/>
  </r>
  <r>
    <x v="341"/>
    <x v="7"/>
    <n v="39526"/>
    <n v="10.8"/>
    <n v="12.7"/>
    <n v="-3.8"/>
    <n v="426"/>
  </r>
  <r>
    <x v="342"/>
    <x v="12"/>
    <n v="46668"/>
    <n v="9.6"/>
    <n v="12.3"/>
    <n v="-2.4"/>
    <n v="448"/>
  </r>
  <r>
    <x v="343"/>
    <x v="3"/>
    <n v="155982"/>
    <n v="11.2"/>
    <n v="9.6"/>
    <n v="0.6"/>
    <n v="1746"/>
  </r>
  <r>
    <x v="344"/>
    <x v="5"/>
    <n v="213714"/>
    <n v="13.1"/>
    <n v="8.6"/>
    <n v="11.5"/>
    <n v="2799"/>
  </r>
  <r>
    <x v="345"/>
    <x v="10"/>
    <n v="47344"/>
    <n v="10.8"/>
    <n v="10.4"/>
    <n v="-0.9"/>
    <n v="511"/>
  </r>
  <r>
    <x v="346"/>
    <x v="14"/>
    <n v="55591"/>
    <n v="12.3"/>
    <n v="8.6"/>
    <n v="0.2"/>
    <n v="683"/>
  </r>
  <r>
    <x v="347"/>
    <x v="10"/>
    <n v="111069"/>
    <n v="12.2"/>
    <n v="8.5"/>
    <n v="19.899999999999999"/>
    <n v="1355"/>
  </r>
  <r>
    <x v="348"/>
    <x v="14"/>
    <n v="74856"/>
    <n v="13.1"/>
    <n v="9"/>
    <n v="0.5"/>
    <n v="980"/>
  </r>
  <r>
    <x v="349"/>
    <x v="15"/>
    <n v="39055"/>
    <n v="10.7"/>
    <n v="9.8000000000000007"/>
    <n v="-0.9"/>
    <n v="417"/>
  </r>
  <r>
    <x v="350"/>
    <x v="1"/>
    <n v="59010"/>
    <n v="11"/>
    <n v="12.5"/>
    <n v="-3.7"/>
    <n v="649"/>
  </r>
  <r>
    <x v="351"/>
    <x v="5"/>
    <n v="72307"/>
    <n v="13.6"/>
    <n v="9.8000000000000007"/>
    <n v="-0.9"/>
    <n v="983"/>
  </r>
  <r>
    <x v="352"/>
    <x v="10"/>
    <n v="68575"/>
    <n v="10.199999999999999"/>
    <n v="11.2"/>
    <n v="-1.2"/>
    <n v="699"/>
  </r>
  <r>
    <x v="353"/>
    <x v="15"/>
    <n v="81658"/>
    <n v="11.1"/>
    <n v="10.1"/>
    <n v="-2.7"/>
    <n v="906"/>
  </r>
  <r>
    <x v="354"/>
    <x v="1"/>
    <n v="44385"/>
    <n v="11.1"/>
    <n v="9.6999999999999993"/>
    <n v="-4.7"/>
    <n v="492"/>
  </r>
  <r>
    <x v="355"/>
    <x v="7"/>
    <n v="109181"/>
    <n v="9.5"/>
    <n v="13"/>
    <n v="-0.6"/>
    <n v="1037"/>
  </r>
  <r>
    <x v="356"/>
    <x v="15"/>
    <n v="98364"/>
    <n v="11.3"/>
    <n v="10.4"/>
    <n v="-2.7"/>
    <n v="1111"/>
  </r>
  <r>
    <x v="357"/>
    <x v="3"/>
    <n v="122628"/>
    <n v="9.3000000000000007"/>
    <n v="12.7"/>
    <n v="-0.2"/>
    <n v="1140"/>
  </r>
  <r>
    <x v="358"/>
    <x v="4"/>
    <n v="67588"/>
    <n v="10.7"/>
    <n v="11.1"/>
    <n v="-1"/>
    <n v="723"/>
  </r>
  <r>
    <x v="359"/>
    <x v="4"/>
    <n v="161959"/>
    <n v="10.3"/>
    <n v="11.9"/>
    <n v="4.8"/>
    <n v="1668"/>
  </r>
  <r>
    <x v="360"/>
    <x v="10"/>
    <n v="92867"/>
    <n v="9.8000000000000007"/>
    <n v="10.8"/>
    <n v="-3.1"/>
    <n v="910"/>
  </r>
  <r>
    <x v="361"/>
    <x v="15"/>
    <n v="91638"/>
    <n v="11.4"/>
    <n v="7.8"/>
    <n v="5.8"/>
    <n v="1044"/>
  </r>
  <r>
    <x v="362"/>
    <x v="10"/>
    <n v="45376"/>
    <n v="10.4"/>
    <n v="11.9"/>
    <n v="-1.2"/>
    <n v="471"/>
  </r>
  <r>
    <x v="363"/>
    <x v="14"/>
    <n v="68737"/>
    <n v="12.3"/>
    <n v="9.1"/>
    <n v="-2.1"/>
    <n v="845"/>
  </r>
  <r>
    <x v="364"/>
    <x v="0"/>
    <n v="69985"/>
    <n v="11.6"/>
    <n v="9.9"/>
    <n v="-0.4"/>
    <n v="811"/>
  </r>
  <r>
    <x v="365"/>
    <x v="5"/>
    <n v="39671"/>
    <n v="10.3"/>
    <n v="10.7"/>
    <n v="-2.6"/>
    <n v="408"/>
  </r>
  <r>
    <x v="366"/>
    <x v="5"/>
    <n v="36796"/>
    <n v="11.3"/>
    <n v="12.2"/>
    <n v="-2"/>
    <n v="415"/>
  </r>
  <r>
    <x v="367"/>
    <x v="5"/>
    <n v="75408"/>
    <n v="13"/>
    <n v="12.2"/>
    <n v="2.2999999999999998"/>
    <n v="980"/>
  </r>
  <r>
    <x v="368"/>
    <x v="3"/>
    <n v="150850"/>
    <n v="10.9"/>
    <n v="10.8"/>
    <n v="1.5"/>
    <n v="16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BDAC3A-8E79-4ECF-B6F6-95A31B080DB4}" name="Tabela przestawna3" cacheId="1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J1:K12" firstHeaderRow="1" firstDataRow="1" firstDataCol="1"/>
  <pivotFields count="7">
    <pivotField axis="axisRow" showAll="0">
      <items count="11">
        <item x="8"/>
        <item x="6"/>
        <item x="0"/>
        <item x="1"/>
        <item x="3"/>
        <item x="7"/>
        <item x="4"/>
        <item x="5"/>
        <item x="9"/>
        <item x="2"/>
        <item t="default"/>
      </items>
    </pivotField>
    <pivotField showAll="0"/>
    <pivotField showAll="0"/>
    <pivotField showAll="0"/>
    <pivotField showAll="0"/>
    <pivotField numFmtId="2"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a z WSP_NATURALN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616380-6616-4B1E-B468-1EAF13C75046}" name="Tabela przestawna4" cacheId="2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J3:K20" firstHeaderRow="1" firstDataRow="1" firstDataCol="1"/>
  <pivotFields count="7">
    <pivotField showAll="0"/>
    <pivotField axis="axisRow" showAll="0">
      <items count="17">
        <item x="5"/>
        <item x="7"/>
        <item x="13"/>
        <item x="9"/>
        <item x="11"/>
        <item x="1"/>
        <item x="6"/>
        <item x="15"/>
        <item x="10"/>
        <item x="12"/>
        <item x="0"/>
        <item x="3"/>
        <item x="14"/>
        <item x="4"/>
        <item x="2"/>
        <item x="8"/>
        <item t="default"/>
      </items>
    </pivotField>
    <pivotField dataField="1" showAll="0">
      <items count="380">
        <item x="310"/>
        <item x="89"/>
        <item x="234"/>
        <item x="116"/>
        <item x="18"/>
        <item x="343"/>
        <item x="357"/>
        <item x="134"/>
        <item x="31"/>
        <item x="81"/>
        <item x="103"/>
        <item x="371"/>
        <item x="253"/>
        <item x="199"/>
        <item x="97"/>
        <item x="286"/>
        <item x="375"/>
        <item x="263"/>
        <item x="75"/>
        <item x="290"/>
        <item x="77"/>
        <item x="342"/>
        <item x="192"/>
        <item x="377"/>
        <item x="94"/>
        <item x="182"/>
        <item x="204"/>
        <item x="326"/>
        <item x="262"/>
        <item x="208"/>
        <item x="138"/>
        <item x="277"/>
        <item x="34"/>
        <item x="373"/>
        <item x="369"/>
        <item x="12"/>
        <item x="280"/>
        <item x="187"/>
        <item x="370"/>
        <item x="184"/>
        <item x="160"/>
        <item x="319"/>
        <item x="287"/>
        <item x="39"/>
        <item x="144"/>
        <item x="312"/>
        <item x="232"/>
        <item x="170"/>
        <item x="120"/>
        <item x="316"/>
        <item x="288"/>
        <item x="226"/>
        <item x="378"/>
        <item x="79"/>
        <item x="350"/>
        <item x="215"/>
        <item x="227"/>
        <item x="353"/>
        <item x="349"/>
        <item x="368"/>
        <item x="233"/>
        <item x="124"/>
        <item x="210"/>
        <item x="38"/>
        <item x="242"/>
        <item x="159"/>
        <item x="123"/>
        <item x="100"/>
        <item x="254"/>
        <item x="190"/>
        <item x="178"/>
        <item x="341"/>
        <item x="161"/>
        <item x="122"/>
        <item x="33"/>
        <item x="372"/>
        <item x="198"/>
        <item x="106"/>
        <item x="328"/>
        <item x="243"/>
        <item x="249"/>
        <item x="99"/>
        <item x="327"/>
        <item x="23"/>
        <item x="265"/>
        <item x="348"/>
        <item x="359"/>
        <item x="325"/>
        <item x="250"/>
        <item x="183"/>
        <item x="25"/>
        <item x="322"/>
        <item x="155"/>
        <item x="135"/>
        <item x="246"/>
        <item x="80"/>
        <item x="367"/>
        <item x="44"/>
        <item x="355"/>
        <item x="125"/>
        <item x="145"/>
        <item x="323"/>
        <item x="222"/>
        <item x="146"/>
        <item x="162"/>
        <item x="58"/>
        <item x="32"/>
        <item x="212"/>
        <item x="24"/>
        <item x="67"/>
        <item x="95"/>
        <item x="219"/>
        <item x="141"/>
        <item x="46"/>
        <item x="133"/>
        <item x="266"/>
        <item x="354"/>
        <item x="139"/>
        <item x="296"/>
        <item x="189"/>
        <item x="330"/>
        <item x="251"/>
        <item x="315"/>
        <item x="40"/>
        <item x="154"/>
        <item x="217"/>
        <item x="121"/>
        <item x="211"/>
        <item x="260"/>
        <item x="163"/>
        <item x="43"/>
        <item x="220"/>
        <item x="7"/>
        <item x="332"/>
        <item x="149"/>
        <item x="132"/>
        <item x="64"/>
        <item x="352"/>
        <item x="36"/>
        <item x="52"/>
        <item x="269"/>
        <item x="115"/>
        <item x="28"/>
        <item x="56"/>
        <item x="172"/>
        <item x="112"/>
        <item x="235"/>
        <item x="70"/>
        <item x="238"/>
        <item x="264"/>
        <item x="274"/>
        <item x="345"/>
        <item x="194"/>
        <item x="320"/>
        <item x="293"/>
        <item x="72"/>
        <item x="268"/>
        <item x="193"/>
        <item x="374"/>
        <item x="1"/>
        <item x="13"/>
        <item x="298"/>
        <item x="66"/>
        <item x="291"/>
        <item x="27"/>
        <item x="127"/>
        <item x="102"/>
        <item x="60"/>
        <item x="152"/>
        <item x="356"/>
        <item x="346"/>
        <item x="84"/>
        <item x="185"/>
        <item x="339"/>
        <item x="55"/>
        <item x="42"/>
        <item x="109"/>
        <item x="267"/>
        <item x="252"/>
        <item x="19"/>
        <item x="344"/>
        <item x="240"/>
        <item x="157"/>
        <item x="278"/>
        <item x="30"/>
        <item x="230"/>
        <item x="209"/>
        <item x="51"/>
        <item x="8"/>
        <item x="53"/>
        <item x="148"/>
        <item x="256"/>
        <item x="221"/>
        <item x="130"/>
        <item x="10"/>
        <item x="37"/>
        <item x="73"/>
        <item x="272"/>
        <item x="255"/>
        <item x="136"/>
        <item x="65"/>
        <item x="203"/>
        <item x="333"/>
        <item x="197"/>
        <item x="317"/>
        <item x="168"/>
        <item x="261"/>
        <item x="128"/>
        <item x="114"/>
        <item x="294"/>
        <item x="335"/>
        <item x="313"/>
        <item x="174"/>
        <item x="195"/>
        <item x="11"/>
        <item x="142"/>
        <item x="87"/>
        <item x="143"/>
        <item x="334"/>
        <item x="111"/>
        <item x="186"/>
        <item x="61"/>
        <item x="363"/>
        <item x="118"/>
        <item x="295"/>
        <item x="303"/>
        <item x="26"/>
        <item x="41"/>
        <item x="329"/>
        <item x="156"/>
        <item x="57"/>
        <item x="248"/>
        <item x="101"/>
        <item x="20"/>
        <item x="201"/>
        <item x="305"/>
        <item x="179"/>
        <item x="292"/>
        <item x="241"/>
        <item x="29"/>
        <item x="302"/>
        <item x="78"/>
        <item x="50"/>
        <item x="181"/>
        <item x="108"/>
        <item x="299"/>
        <item x="83"/>
        <item x="6"/>
        <item x="69"/>
        <item x="289"/>
        <item x="15"/>
        <item x="167"/>
        <item x="271"/>
        <item x="63"/>
        <item x="191"/>
        <item x="282"/>
        <item x="110"/>
        <item x="200"/>
        <item x="308"/>
        <item x="223"/>
        <item x="331"/>
        <item x="366"/>
        <item x="47"/>
        <item x="45"/>
        <item x="54"/>
        <item x="276"/>
        <item x="365"/>
        <item x="165"/>
        <item x="281"/>
        <item x="129"/>
        <item x="85"/>
        <item x="173"/>
        <item x="9"/>
        <item x="107"/>
        <item x="224"/>
        <item x="62"/>
        <item x="324"/>
        <item x="239"/>
        <item x="214"/>
        <item x="105"/>
        <item x="361"/>
        <item x="113"/>
        <item x="279"/>
        <item x="131"/>
        <item x="49"/>
        <item x="304"/>
        <item x="98"/>
        <item x="337"/>
        <item x="17"/>
        <item x="228"/>
        <item x="237"/>
        <item x="314"/>
        <item x="216"/>
        <item x="225"/>
        <item x="311"/>
        <item x="0"/>
        <item x="90"/>
        <item x="284"/>
        <item x="347"/>
        <item x="196"/>
        <item x="358"/>
        <item x="140"/>
        <item x="166"/>
        <item x="297"/>
        <item x="14"/>
        <item x="307"/>
        <item x="171"/>
        <item x="360"/>
        <item x="35"/>
        <item x="3"/>
        <item x="137"/>
        <item x="213"/>
        <item x="104"/>
        <item x="206"/>
        <item x="164"/>
        <item x="283"/>
        <item x="318"/>
        <item x="86"/>
        <item x="48"/>
        <item x="76"/>
        <item x="340"/>
        <item x="258"/>
        <item x="259"/>
        <item x="92"/>
        <item x="300"/>
        <item x="74"/>
        <item x="59"/>
        <item x="273"/>
        <item x="275"/>
        <item x="117"/>
        <item x="247"/>
        <item x="119"/>
        <item x="150"/>
        <item x="245"/>
        <item x="362"/>
        <item x="177"/>
        <item x="71"/>
        <item x="93"/>
        <item x="158"/>
        <item x="21"/>
        <item x="244"/>
        <item x="91"/>
        <item x="321"/>
        <item x="336"/>
        <item x="218"/>
        <item x="151"/>
        <item x="96"/>
        <item x="188"/>
        <item x="205"/>
        <item x="68"/>
        <item x="364"/>
        <item x="301"/>
        <item x="16"/>
        <item x="236"/>
        <item x="2"/>
        <item x="88"/>
        <item x="257"/>
        <item x="126"/>
        <item x="4"/>
        <item x="180"/>
        <item x="153"/>
        <item x="22"/>
        <item x="351"/>
        <item x="207"/>
        <item x="306"/>
        <item x="229"/>
        <item x="147"/>
        <item x="82"/>
        <item x="338"/>
        <item x="5"/>
        <item x="169"/>
        <item x="270"/>
        <item x="309"/>
        <item x="175"/>
        <item x="176"/>
        <item x="285"/>
        <item x="376"/>
        <item x="202"/>
        <item x="231"/>
        <item t="default"/>
      </items>
    </pivotField>
    <pivotField showAll="0"/>
    <pivotField showAll="0"/>
    <pivotField numFmtId="2"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a z ludnosc_ogolem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E637B3-AA85-4D14-A052-239081362378}" name="Tabela przestawna6" cacheId="3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J3:K16" firstHeaderRow="1" firstDataRow="1" firstDataCol="1" rowPageCount="1" colPageCount="1"/>
  <pivotFields count="7">
    <pivotField axis="axisRow" showAll="0">
      <items count="3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t="default"/>
      </items>
    </pivotField>
    <pivotField axis="axisPage" showAll="0">
      <items count="17">
        <item x="10"/>
        <item x="0"/>
        <item x="4"/>
        <item x="7"/>
        <item x="15"/>
        <item x="9"/>
        <item x="5"/>
        <item x="11"/>
        <item x="8"/>
        <item x="1"/>
        <item x="13"/>
        <item x="3"/>
        <item x="12"/>
        <item x="2"/>
        <item x="14"/>
        <item x="6"/>
        <item t="default"/>
      </items>
    </pivotField>
    <pivotField showAll="0"/>
    <pivotField showAll="0"/>
    <pivotField showAll="0"/>
    <pivotField numFmtId="2" showAll="0"/>
    <pivotField dataField="1" showAll="0"/>
  </pivotFields>
  <rowFields count="1">
    <field x="0"/>
  </rowFields>
  <rowItems count="13">
    <i>
      <x v="17"/>
    </i>
    <i>
      <x v="46"/>
    </i>
    <i>
      <x v="78"/>
    </i>
    <i>
      <x v="84"/>
    </i>
    <i>
      <x v="96"/>
    </i>
    <i>
      <x v="163"/>
    </i>
    <i>
      <x v="212"/>
    </i>
    <i>
      <x v="221"/>
    </i>
    <i>
      <x v="225"/>
    </i>
    <i>
      <x v="231"/>
    </i>
    <i>
      <x v="255"/>
    </i>
    <i>
      <x v="302"/>
    </i>
    <i t="grand">
      <x/>
    </i>
  </rowItems>
  <colItems count="1">
    <i/>
  </colItems>
  <pageFields count="1">
    <pageField fld="1" item="7" hier="-1"/>
  </pageFields>
  <dataFields count="1">
    <dataField name="Suma z liczba_urodzen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mografia_1" connectionId="1" xr16:uid="{CF0BF1EC-59A4-4C01-9C32-15E6974B15F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mografia_1" connectionId="2" xr16:uid="{7D50B418-91D9-481C-9B51-C6910BED6A81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mografia_1" connectionId="3" xr16:uid="{9F2CF4C3-62BA-437F-8012-3906BD342344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mografia_1" connectionId="4" xr16:uid="{183DF9A3-D34E-4EDC-9B24-239B267A0E12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48E11-FC6B-46D8-94FE-BA93DF12119E}">
  <dimension ref="A1:G381"/>
  <sheetViews>
    <sheetView topLeftCell="A340" zoomScale="130" zoomScaleNormal="130" workbookViewId="0">
      <selection activeCell="G381" sqref="G381"/>
    </sheetView>
  </sheetViews>
  <sheetFormatPr defaultRowHeight="15" x14ac:dyDescent="0.25"/>
  <cols>
    <col min="1" max="1" width="23.28515625" bestFit="1" customWidth="1"/>
    <col min="2" max="2" width="21" bestFit="1" customWidth="1"/>
    <col min="3" max="3" width="15.7109375" bestFit="1" customWidth="1"/>
    <col min="4" max="4" width="12.5703125" style="1" bestFit="1" customWidth="1"/>
    <col min="5" max="5" width="12.140625" bestFit="1" customWidth="1"/>
    <col min="6" max="6" width="14.28515625" style="2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391</v>
      </c>
    </row>
    <row r="2" spans="1:7" x14ac:dyDescent="0.25">
      <c r="A2" t="s">
        <v>6</v>
      </c>
      <c r="B2" t="s">
        <v>7</v>
      </c>
      <c r="C2">
        <v>55336</v>
      </c>
      <c r="D2" s="1">
        <v>11.3</v>
      </c>
      <c r="E2">
        <v>11.3</v>
      </c>
      <c r="F2" s="2">
        <v>0.8</v>
      </c>
      <c r="G2" t="str">
        <f>IF(AND(B2="mazowieckie", F2&lt;0), 1, "")</f>
        <v/>
      </c>
    </row>
    <row r="3" spans="1:7" x14ac:dyDescent="0.25">
      <c r="A3" t="s">
        <v>8</v>
      </c>
      <c r="B3" t="s">
        <v>9</v>
      </c>
      <c r="C3">
        <v>58763</v>
      </c>
      <c r="D3" s="1">
        <v>10.4</v>
      </c>
      <c r="E3">
        <v>10.5</v>
      </c>
      <c r="F3" s="2">
        <v>-1.1000000000000001</v>
      </c>
      <c r="G3" t="str">
        <f t="shared" ref="G3:G66" si="0">IF(AND(B3="mazowieckie", F3&lt;0), 1, "")</f>
        <v/>
      </c>
    </row>
    <row r="4" spans="1:7" x14ac:dyDescent="0.25">
      <c r="A4" t="s">
        <v>10</v>
      </c>
      <c r="B4" t="s">
        <v>11</v>
      </c>
      <c r="C4">
        <v>60128</v>
      </c>
      <c r="D4" s="1">
        <v>10.9</v>
      </c>
      <c r="E4">
        <v>10.3</v>
      </c>
      <c r="F4" s="2">
        <v>-6.1</v>
      </c>
      <c r="G4" t="str">
        <f t="shared" si="0"/>
        <v/>
      </c>
    </row>
    <row r="5" spans="1:7" x14ac:dyDescent="0.25">
      <c r="A5" t="s">
        <v>12</v>
      </c>
      <c r="B5" t="s">
        <v>13</v>
      </c>
      <c r="C5">
        <v>150950</v>
      </c>
      <c r="D5" s="1">
        <v>9.4</v>
      </c>
      <c r="E5">
        <v>13</v>
      </c>
      <c r="F5" s="2">
        <v>3.1</v>
      </c>
      <c r="G5" t="str">
        <f t="shared" si="0"/>
        <v/>
      </c>
    </row>
    <row r="6" spans="1:7" x14ac:dyDescent="0.25">
      <c r="A6" t="s">
        <v>14</v>
      </c>
      <c r="B6" t="s">
        <v>15</v>
      </c>
      <c r="C6">
        <v>112993</v>
      </c>
      <c r="D6" s="1">
        <v>11.5</v>
      </c>
      <c r="E6">
        <v>9.1</v>
      </c>
      <c r="F6" s="2">
        <v>-1.6</v>
      </c>
      <c r="G6" t="str">
        <f t="shared" si="0"/>
        <v/>
      </c>
    </row>
    <row r="7" spans="1:7" x14ac:dyDescent="0.25">
      <c r="A7" t="s">
        <v>16</v>
      </c>
      <c r="B7" t="s">
        <v>17</v>
      </c>
      <c r="C7">
        <v>33701</v>
      </c>
      <c r="D7" s="1">
        <v>15</v>
      </c>
      <c r="E7">
        <v>11</v>
      </c>
      <c r="F7" s="2">
        <v>-1.1000000000000001</v>
      </c>
      <c r="G7">
        <f t="shared" si="0"/>
        <v>1</v>
      </c>
    </row>
    <row r="8" spans="1:7" x14ac:dyDescent="0.25">
      <c r="A8" t="s">
        <v>18</v>
      </c>
      <c r="B8" t="s">
        <v>19</v>
      </c>
      <c r="C8">
        <v>48261</v>
      </c>
      <c r="D8" s="1">
        <v>11.7</v>
      </c>
      <c r="E8">
        <v>10.199999999999999</v>
      </c>
      <c r="F8" s="2">
        <v>-1</v>
      </c>
      <c r="G8" t="str">
        <f t="shared" si="0"/>
        <v/>
      </c>
    </row>
    <row r="9" spans="1:7" x14ac:dyDescent="0.25">
      <c r="A9" t="s">
        <v>20</v>
      </c>
      <c r="B9" t="s">
        <v>9</v>
      </c>
      <c r="C9">
        <v>139643</v>
      </c>
      <c r="D9" s="1">
        <v>10.1</v>
      </c>
      <c r="E9">
        <v>11.2</v>
      </c>
      <c r="F9" s="2">
        <v>7.3</v>
      </c>
      <c r="G9" t="str">
        <f t="shared" si="0"/>
        <v/>
      </c>
    </row>
    <row r="10" spans="1:7" x14ac:dyDescent="0.25">
      <c r="A10" t="s">
        <v>21</v>
      </c>
      <c r="B10" t="s">
        <v>22</v>
      </c>
      <c r="C10">
        <v>112846</v>
      </c>
      <c r="D10" s="1">
        <v>11.4</v>
      </c>
      <c r="E10">
        <v>12.6</v>
      </c>
      <c r="F10" s="2">
        <v>-2.7</v>
      </c>
      <c r="G10" t="str">
        <f t="shared" si="0"/>
        <v/>
      </c>
    </row>
    <row r="11" spans="1:7" x14ac:dyDescent="0.25">
      <c r="A11" t="s">
        <v>23</v>
      </c>
      <c r="B11" t="s">
        <v>9</v>
      </c>
      <c r="C11">
        <v>58463</v>
      </c>
      <c r="D11" s="1">
        <v>9.6</v>
      </c>
      <c r="E11">
        <v>12.7</v>
      </c>
      <c r="F11" s="2">
        <v>-3.1</v>
      </c>
      <c r="G11" t="str">
        <f t="shared" si="0"/>
        <v/>
      </c>
    </row>
    <row r="12" spans="1:7" x14ac:dyDescent="0.25">
      <c r="A12" t="s">
        <v>23</v>
      </c>
      <c r="B12" t="s">
        <v>13</v>
      </c>
      <c r="C12">
        <v>155571</v>
      </c>
      <c r="D12" s="1">
        <v>12</v>
      </c>
      <c r="E12">
        <v>9</v>
      </c>
      <c r="F12" s="2">
        <v>6.9</v>
      </c>
      <c r="G12" t="str">
        <f t="shared" si="0"/>
        <v/>
      </c>
    </row>
    <row r="13" spans="1:7" x14ac:dyDescent="0.25">
      <c r="A13" t="s">
        <v>24</v>
      </c>
      <c r="B13" t="s">
        <v>13</v>
      </c>
      <c r="C13">
        <v>56806</v>
      </c>
      <c r="D13" s="1">
        <v>12.2</v>
      </c>
      <c r="E13">
        <v>8.1999999999999993</v>
      </c>
      <c r="F13" s="2">
        <v>2.5</v>
      </c>
      <c r="G13" t="str">
        <f t="shared" si="0"/>
        <v/>
      </c>
    </row>
    <row r="14" spans="1:7" x14ac:dyDescent="0.25">
      <c r="A14" t="s">
        <v>25</v>
      </c>
      <c r="B14" t="s">
        <v>26</v>
      </c>
      <c r="C14">
        <v>22001</v>
      </c>
      <c r="D14" s="1">
        <v>11.3</v>
      </c>
      <c r="E14">
        <v>8.6999999999999993</v>
      </c>
      <c r="F14" s="2">
        <v>-4.2</v>
      </c>
      <c r="G14" t="str">
        <f t="shared" si="0"/>
        <v/>
      </c>
    </row>
    <row r="15" spans="1:7" x14ac:dyDescent="0.25">
      <c r="A15" t="s">
        <v>27</v>
      </c>
      <c r="B15" t="s">
        <v>22</v>
      </c>
      <c r="C15">
        <v>103226</v>
      </c>
      <c r="D15" s="1">
        <v>10.5</v>
      </c>
      <c r="E15">
        <v>11.1</v>
      </c>
      <c r="F15" s="2">
        <v>-2.1</v>
      </c>
      <c r="G15" t="str">
        <f t="shared" si="0"/>
        <v/>
      </c>
    </row>
    <row r="16" spans="1:7" x14ac:dyDescent="0.25">
      <c r="A16" t="s">
        <v>28</v>
      </c>
      <c r="B16" t="s">
        <v>29</v>
      </c>
      <c r="C16">
        <v>102181</v>
      </c>
      <c r="D16" s="1">
        <v>13.1</v>
      </c>
      <c r="E16">
        <v>9.4</v>
      </c>
      <c r="F16" s="2">
        <v>1</v>
      </c>
      <c r="G16" t="str">
        <f t="shared" si="0"/>
        <v/>
      </c>
    </row>
    <row r="17" spans="1:7" x14ac:dyDescent="0.25">
      <c r="A17" t="s">
        <v>30</v>
      </c>
      <c r="B17" t="s">
        <v>31</v>
      </c>
      <c r="C17">
        <v>89051</v>
      </c>
      <c r="D17" s="1">
        <v>11</v>
      </c>
      <c r="E17">
        <v>9.8000000000000007</v>
      </c>
      <c r="F17" s="2">
        <v>-0.1</v>
      </c>
      <c r="G17" t="str">
        <f t="shared" si="0"/>
        <v/>
      </c>
    </row>
    <row r="18" spans="1:7" x14ac:dyDescent="0.25">
      <c r="A18" t="s">
        <v>32</v>
      </c>
      <c r="B18" t="s">
        <v>11</v>
      </c>
      <c r="C18">
        <v>42927</v>
      </c>
      <c r="D18" s="1">
        <v>11.5</v>
      </c>
      <c r="E18">
        <v>10</v>
      </c>
      <c r="F18" s="2">
        <v>-5</v>
      </c>
      <c r="G18" t="str">
        <f t="shared" si="0"/>
        <v/>
      </c>
    </row>
    <row r="19" spans="1:7" x14ac:dyDescent="0.25">
      <c r="A19" t="s">
        <v>33</v>
      </c>
      <c r="B19" t="s">
        <v>7</v>
      </c>
      <c r="C19">
        <v>75579</v>
      </c>
      <c r="D19" s="1">
        <v>13.6</v>
      </c>
      <c r="E19">
        <v>10</v>
      </c>
      <c r="F19" s="2">
        <v>-1.3</v>
      </c>
      <c r="G19" t="str">
        <f t="shared" si="0"/>
        <v/>
      </c>
    </row>
    <row r="20" spans="1:7" x14ac:dyDescent="0.25">
      <c r="A20" t="s">
        <v>34</v>
      </c>
      <c r="B20" t="s">
        <v>29</v>
      </c>
      <c r="C20">
        <v>91297</v>
      </c>
      <c r="D20" s="1">
        <v>11.7</v>
      </c>
      <c r="E20">
        <v>8.8000000000000007</v>
      </c>
      <c r="F20" s="2">
        <v>0.9</v>
      </c>
      <c r="G20" t="str">
        <f t="shared" si="0"/>
        <v/>
      </c>
    </row>
    <row r="21" spans="1:7" x14ac:dyDescent="0.25">
      <c r="A21" t="s">
        <v>34</v>
      </c>
      <c r="B21" t="s">
        <v>35</v>
      </c>
      <c r="C21">
        <v>92188</v>
      </c>
      <c r="D21" s="1">
        <v>10.8</v>
      </c>
      <c r="E21">
        <v>9.6999999999999993</v>
      </c>
      <c r="F21" s="2">
        <v>-0.5</v>
      </c>
      <c r="G21" t="str">
        <f t="shared" si="0"/>
        <v/>
      </c>
    </row>
    <row r="22" spans="1:7" x14ac:dyDescent="0.25">
      <c r="A22" t="s">
        <v>36</v>
      </c>
      <c r="B22" t="s">
        <v>15</v>
      </c>
      <c r="C22">
        <v>30537</v>
      </c>
      <c r="D22" s="1">
        <v>10.199999999999999</v>
      </c>
      <c r="E22">
        <v>12.7</v>
      </c>
      <c r="F22" s="2">
        <v>0.2</v>
      </c>
      <c r="G22" t="str">
        <f t="shared" si="0"/>
        <v/>
      </c>
    </row>
    <row r="23" spans="1:7" x14ac:dyDescent="0.25">
      <c r="A23" t="s">
        <v>37</v>
      </c>
      <c r="B23" t="s">
        <v>26</v>
      </c>
      <c r="C23">
        <v>65253</v>
      </c>
      <c r="D23" s="1">
        <v>11.9</v>
      </c>
      <c r="E23">
        <v>8.5</v>
      </c>
      <c r="F23" s="2">
        <v>-2.1</v>
      </c>
      <c r="G23" t="str">
        <f t="shared" si="0"/>
        <v/>
      </c>
    </row>
    <row r="24" spans="1:7" x14ac:dyDescent="0.25">
      <c r="A24" t="s">
        <v>38</v>
      </c>
      <c r="B24" t="s">
        <v>39</v>
      </c>
      <c r="C24">
        <v>73127</v>
      </c>
      <c r="D24" s="1">
        <v>9.9</v>
      </c>
      <c r="E24">
        <v>12.4</v>
      </c>
      <c r="F24" s="2">
        <v>0.1</v>
      </c>
      <c r="G24" t="str">
        <f t="shared" si="0"/>
        <v/>
      </c>
    </row>
    <row r="25" spans="1:7" x14ac:dyDescent="0.25">
      <c r="A25" t="s">
        <v>40</v>
      </c>
      <c r="B25" t="s">
        <v>7</v>
      </c>
      <c r="C25">
        <v>103010</v>
      </c>
      <c r="D25" s="1">
        <v>11.5</v>
      </c>
      <c r="E25">
        <v>7.8</v>
      </c>
      <c r="F25" s="2">
        <v>15.1</v>
      </c>
      <c r="G25" t="str">
        <f t="shared" si="0"/>
        <v/>
      </c>
    </row>
    <row r="26" spans="1:7" x14ac:dyDescent="0.25">
      <c r="A26" t="s">
        <v>41</v>
      </c>
      <c r="B26" t="s">
        <v>42</v>
      </c>
      <c r="C26">
        <v>76043</v>
      </c>
      <c r="D26" s="1">
        <v>13.6</v>
      </c>
      <c r="E26">
        <v>7.9</v>
      </c>
      <c r="F26" s="2">
        <v>-2.7</v>
      </c>
      <c r="G26" t="str">
        <f t="shared" si="0"/>
        <v/>
      </c>
    </row>
    <row r="27" spans="1:7" x14ac:dyDescent="0.25">
      <c r="A27" t="s">
        <v>43</v>
      </c>
      <c r="B27" t="s">
        <v>7</v>
      </c>
      <c r="C27">
        <v>51456</v>
      </c>
      <c r="D27" s="1">
        <v>12.4</v>
      </c>
      <c r="E27">
        <v>10</v>
      </c>
      <c r="F27" s="2">
        <v>-2</v>
      </c>
      <c r="G27" t="str">
        <f t="shared" si="0"/>
        <v/>
      </c>
    </row>
    <row r="28" spans="1:7" x14ac:dyDescent="0.25">
      <c r="A28" t="s">
        <v>44</v>
      </c>
      <c r="B28" t="s">
        <v>22</v>
      </c>
      <c r="C28">
        <v>78765</v>
      </c>
      <c r="D28" s="1">
        <v>11.6</v>
      </c>
      <c r="E28">
        <v>13.2</v>
      </c>
      <c r="F28" s="2">
        <v>-1.4</v>
      </c>
      <c r="G28" t="str">
        <f t="shared" si="0"/>
        <v/>
      </c>
    </row>
    <row r="29" spans="1:7" x14ac:dyDescent="0.25">
      <c r="A29" t="s">
        <v>45</v>
      </c>
      <c r="B29" t="s">
        <v>46</v>
      </c>
      <c r="C29">
        <v>47389</v>
      </c>
      <c r="D29" s="1">
        <v>12.1</v>
      </c>
      <c r="E29">
        <v>10.1</v>
      </c>
      <c r="F29" s="2">
        <v>0.1</v>
      </c>
      <c r="G29" t="str">
        <f t="shared" si="0"/>
        <v/>
      </c>
    </row>
    <row r="30" spans="1:7" x14ac:dyDescent="0.25">
      <c r="A30" t="s">
        <v>47</v>
      </c>
      <c r="B30" t="s">
        <v>42</v>
      </c>
      <c r="C30">
        <v>93411</v>
      </c>
      <c r="D30" s="1">
        <v>13.9</v>
      </c>
      <c r="E30">
        <v>9</v>
      </c>
      <c r="F30" s="2">
        <v>-0.3</v>
      </c>
      <c r="G30" t="str">
        <f t="shared" si="0"/>
        <v/>
      </c>
    </row>
    <row r="31" spans="1:7" x14ac:dyDescent="0.25">
      <c r="A31" t="s">
        <v>48</v>
      </c>
      <c r="B31" t="s">
        <v>19</v>
      </c>
      <c r="C31">
        <v>49705</v>
      </c>
      <c r="D31" s="1">
        <v>12.1</v>
      </c>
      <c r="E31">
        <v>10.6</v>
      </c>
      <c r="F31" s="2">
        <v>-2.2999999999999998</v>
      </c>
      <c r="G31" t="str">
        <f t="shared" si="0"/>
        <v/>
      </c>
    </row>
    <row r="32" spans="1:7" x14ac:dyDescent="0.25">
      <c r="A32" t="s">
        <v>49</v>
      </c>
      <c r="B32" t="s">
        <v>29</v>
      </c>
      <c r="C32">
        <v>127645</v>
      </c>
      <c r="D32" s="1">
        <v>9.6</v>
      </c>
      <c r="E32">
        <v>10.3</v>
      </c>
      <c r="F32" s="2">
        <v>0.4</v>
      </c>
      <c r="G32" t="str">
        <f t="shared" si="0"/>
        <v/>
      </c>
    </row>
    <row r="33" spans="1:7" x14ac:dyDescent="0.25">
      <c r="A33" t="s">
        <v>50</v>
      </c>
      <c r="B33" t="s">
        <v>17</v>
      </c>
      <c r="C33">
        <v>90249</v>
      </c>
      <c r="D33" s="1">
        <v>11.4</v>
      </c>
      <c r="E33">
        <v>11.3</v>
      </c>
      <c r="F33" s="2">
        <v>-2.6</v>
      </c>
      <c r="G33">
        <f t="shared" si="0"/>
        <v>1</v>
      </c>
    </row>
    <row r="34" spans="1:7" x14ac:dyDescent="0.25">
      <c r="A34" t="s">
        <v>51</v>
      </c>
      <c r="B34" t="s">
        <v>13</v>
      </c>
      <c r="C34">
        <v>172809</v>
      </c>
      <c r="D34" s="1">
        <v>11.2</v>
      </c>
      <c r="E34">
        <v>10.199999999999999</v>
      </c>
      <c r="F34" s="2">
        <v>2.8</v>
      </c>
      <c r="G34" t="str">
        <f t="shared" si="0"/>
        <v/>
      </c>
    </row>
    <row r="35" spans="1:7" x14ac:dyDescent="0.25">
      <c r="A35" t="s">
        <v>52</v>
      </c>
      <c r="B35" t="s">
        <v>46</v>
      </c>
      <c r="C35">
        <v>86939</v>
      </c>
      <c r="D35" s="1">
        <v>12.9</v>
      </c>
      <c r="E35">
        <v>9.5</v>
      </c>
      <c r="F35" s="2">
        <v>-1.6</v>
      </c>
      <c r="G35" t="str">
        <f t="shared" si="0"/>
        <v/>
      </c>
    </row>
    <row r="36" spans="1:7" x14ac:dyDescent="0.25">
      <c r="A36" t="s">
        <v>53</v>
      </c>
      <c r="B36" t="s">
        <v>13</v>
      </c>
      <c r="C36">
        <v>134103</v>
      </c>
      <c r="D36" s="1">
        <v>9.6</v>
      </c>
      <c r="E36">
        <v>11.9</v>
      </c>
      <c r="F36" s="2">
        <v>3.7</v>
      </c>
      <c r="G36" t="str">
        <f t="shared" si="0"/>
        <v/>
      </c>
    </row>
    <row r="37" spans="1:7" x14ac:dyDescent="0.25">
      <c r="A37" t="s">
        <v>54</v>
      </c>
      <c r="B37" t="s">
        <v>42</v>
      </c>
      <c r="C37">
        <v>56762</v>
      </c>
      <c r="D37" s="1">
        <v>11.8</v>
      </c>
      <c r="E37">
        <v>8.4</v>
      </c>
      <c r="F37" s="2">
        <v>-3.6</v>
      </c>
      <c r="G37" t="str">
        <f t="shared" si="0"/>
        <v/>
      </c>
    </row>
    <row r="38" spans="1:7" x14ac:dyDescent="0.25">
      <c r="A38" t="s">
        <v>55</v>
      </c>
      <c r="B38" t="s">
        <v>29</v>
      </c>
      <c r="C38">
        <v>58664</v>
      </c>
      <c r="D38" s="1">
        <v>10.199999999999999</v>
      </c>
      <c r="E38">
        <v>9.1999999999999993</v>
      </c>
      <c r="F38" s="2">
        <v>-1</v>
      </c>
      <c r="G38" t="str">
        <f t="shared" si="0"/>
        <v/>
      </c>
    </row>
    <row r="39" spans="1:7" x14ac:dyDescent="0.25">
      <c r="A39" t="s">
        <v>56</v>
      </c>
      <c r="B39" t="s">
        <v>26</v>
      </c>
      <c r="C39">
        <v>133244</v>
      </c>
      <c r="D39" s="1">
        <v>11.6</v>
      </c>
      <c r="E39">
        <v>7.9</v>
      </c>
      <c r="F39" s="2">
        <v>-1.1000000000000001</v>
      </c>
      <c r="G39" t="str">
        <f t="shared" si="0"/>
        <v/>
      </c>
    </row>
    <row r="40" spans="1:7" x14ac:dyDescent="0.25">
      <c r="A40" t="s">
        <v>57</v>
      </c>
      <c r="B40" t="s">
        <v>19</v>
      </c>
      <c r="C40">
        <v>57485</v>
      </c>
      <c r="D40" s="1">
        <v>11.2</v>
      </c>
      <c r="E40">
        <v>9.4</v>
      </c>
      <c r="F40" s="2">
        <v>-3.6</v>
      </c>
      <c r="G40" t="str">
        <f t="shared" si="0"/>
        <v/>
      </c>
    </row>
    <row r="41" spans="1:7" x14ac:dyDescent="0.25">
      <c r="A41" t="s">
        <v>58</v>
      </c>
      <c r="B41" t="s">
        <v>11</v>
      </c>
      <c r="C41">
        <v>65188</v>
      </c>
      <c r="D41" s="1">
        <v>13.1</v>
      </c>
      <c r="E41">
        <v>9</v>
      </c>
      <c r="F41" s="2">
        <v>-3.6</v>
      </c>
      <c r="G41" t="str">
        <f t="shared" si="0"/>
        <v/>
      </c>
    </row>
    <row r="42" spans="1:7" x14ac:dyDescent="0.25">
      <c r="A42" t="s">
        <v>59</v>
      </c>
      <c r="B42" t="s">
        <v>31</v>
      </c>
      <c r="C42">
        <v>103636</v>
      </c>
      <c r="D42" s="1">
        <v>9.1999999999999993</v>
      </c>
      <c r="E42">
        <v>12.8</v>
      </c>
      <c r="F42" s="2">
        <v>-0.6</v>
      </c>
      <c r="G42" t="str">
        <f t="shared" si="0"/>
        <v/>
      </c>
    </row>
    <row r="43" spans="1:7" x14ac:dyDescent="0.25">
      <c r="A43" t="s">
        <v>60</v>
      </c>
      <c r="B43" t="s">
        <v>11</v>
      </c>
      <c r="C43">
        <v>56389</v>
      </c>
      <c r="D43" s="1">
        <v>11.6</v>
      </c>
      <c r="E43">
        <v>9.9</v>
      </c>
      <c r="F43" s="2">
        <v>-2</v>
      </c>
      <c r="G43" t="str">
        <f t="shared" si="0"/>
        <v/>
      </c>
    </row>
    <row r="44" spans="1:7" x14ac:dyDescent="0.25">
      <c r="A44" t="s">
        <v>61</v>
      </c>
      <c r="B44" t="s">
        <v>11</v>
      </c>
      <c r="C44">
        <v>86238</v>
      </c>
      <c r="D44" s="1">
        <v>12.1</v>
      </c>
      <c r="E44">
        <v>8.3000000000000007</v>
      </c>
      <c r="F44" s="2">
        <v>1.3</v>
      </c>
      <c r="G44" t="str">
        <f t="shared" si="0"/>
        <v/>
      </c>
    </row>
    <row r="45" spans="1:7" x14ac:dyDescent="0.25">
      <c r="A45" t="s">
        <v>62</v>
      </c>
      <c r="B45" t="s">
        <v>17</v>
      </c>
      <c r="C45">
        <v>106927</v>
      </c>
      <c r="D45" s="1">
        <v>13</v>
      </c>
      <c r="E45">
        <v>10.7</v>
      </c>
      <c r="F45" s="2">
        <v>-0.9</v>
      </c>
      <c r="G45">
        <f t="shared" si="0"/>
        <v>1</v>
      </c>
    </row>
    <row r="46" spans="1:7" x14ac:dyDescent="0.25">
      <c r="A46" t="s">
        <v>63</v>
      </c>
      <c r="B46" t="s">
        <v>42</v>
      </c>
      <c r="C46">
        <v>93191</v>
      </c>
      <c r="D46" s="1">
        <v>12.7</v>
      </c>
      <c r="E46">
        <v>6.7</v>
      </c>
      <c r="F46" s="2">
        <v>19.3</v>
      </c>
      <c r="G46" t="str">
        <f t="shared" si="0"/>
        <v/>
      </c>
    </row>
    <row r="47" spans="1:7" x14ac:dyDescent="0.25">
      <c r="A47" t="s">
        <v>64</v>
      </c>
      <c r="B47" t="s">
        <v>11</v>
      </c>
      <c r="C47">
        <v>56522</v>
      </c>
      <c r="D47" s="1">
        <v>11.3</v>
      </c>
      <c r="E47">
        <v>9.8000000000000007</v>
      </c>
      <c r="F47" s="2">
        <v>-2.7</v>
      </c>
      <c r="G47" t="str">
        <f t="shared" si="0"/>
        <v/>
      </c>
    </row>
    <row r="48" spans="1:7" x14ac:dyDescent="0.25">
      <c r="A48" t="s">
        <v>65</v>
      </c>
      <c r="B48" t="s">
        <v>13</v>
      </c>
      <c r="C48">
        <v>114093</v>
      </c>
      <c r="D48" s="1">
        <v>10.8</v>
      </c>
      <c r="E48">
        <v>10.6</v>
      </c>
      <c r="F48" s="2">
        <v>-0.1</v>
      </c>
      <c r="G48" t="str">
        <f t="shared" si="0"/>
        <v/>
      </c>
    </row>
    <row r="49" spans="1:7" x14ac:dyDescent="0.25">
      <c r="A49" t="s">
        <v>66</v>
      </c>
      <c r="B49" t="s">
        <v>31</v>
      </c>
      <c r="C49">
        <v>87712</v>
      </c>
      <c r="D49" s="1">
        <v>12.1</v>
      </c>
      <c r="E49">
        <v>7.6</v>
      </c>
      <c r="F49" s="2">
        <v>-3.3</v>
      </c>
      <c r="G49" t="str">
        <f t="shared" si="0"/>
        <v/>
      </c>
    </row>
    <row r="50" spans="1:7" x14ac:dyDescent="0.25">
      <c r="A50" t="s">
        <v>67</v>
      </c>
      <c r="B50" t="s">
        <v>35</v>
      </c>
      <c r="C50">
        <v>49422</v>
      </c>
      <c r="D50" s="1">
        <v>9.3000000000000007</v>
      </c>
      <c r="E50">
        <v>11.7</v>
      </c>
      <c r="F50" s="2">
        <v>-3.2</v>
      </c>
      <c r="G50" t="str">
        <f t="shared" si="0"/>
        <v/>
      </c>
    </row>
    <row r="51" spans="1:7" x14ac:dyDescent="0.25">
      <c r="A51" t="s">
        <v>68</v>
      </c>
      <c r="B51" t="s">
        <v>46</v>
      </c>
      <c r="C51">
        <v>141719</v>
      </c>
      <c r="D51" s="1">
        <v>12</v>
      </c>
      <c r="E51">
        <v>8.6</v>
      </c>
      <c r="F51" s="2">
        <v>-0.4</v>
      </c>
      <c r="G51" t="str">
        <f t="shared" si="0"/>
        <v/>
      </c>
    </row>
    <row r="52" spans="1:7" x14ac:dyDescent="0.25">
      <c r="A52" t="s">
        <v>69</v>
      </c>
      <c r="B52" t="s">
        <v>11</v>
      </c>
      <c r="C52">
        <v>26642</v>
      </c>
      <c r="D52" s="1">
        <v>12.7</v>
      </c>
      <c r="E52">
        <v>8.1</v>
      </c>
      <c r="F52" s="2">
        <v>-3.7</v>
      </c>
      <c r="G52" t="str">
        <f t="shared" si="0"/>
        <v/>
      </c>
    </row>
    <row r="53" spans="1:7" x14ac:dyDescent="0.25">
      <c r="A53" t="s">
        <v>70</v>
      </c>
      <c r="B53" t="s">
        <v>19</v>
      </c>
      <c r="C53">
        <v>79937</v>
      </c>
      <c r="D53" s="1">
        <v>11.1</v>
      </c>
      <c r="E53">
        <v>8.9</v>
      </c>
      <c r="F53" s="2">
        <v>2.2000000000000002</v>
      </c>
      <c r="G53" t="str">
        <f t="shared" si="0"/>
        <v/>
      </c>
    </row>
    <row r="54" spans="1:7" x14ac:dyDescent="0.25">
      <c r="A54" t="s">
        <v>71</v>
      </c>
      <c r="B54" t="s">
        <v>7</v>
      </c>
      <c r="C54">
        <v>45281</v>
      </c>
      <c r="D54" s="1">
        <v>11.9</v>
      </c>
      <c r="E54">
        <v>9.8000000000000007</v>
      </c>
      <c r="F54" s="2">
        <v>-1.4</v>
      </c>
      <c r="G54" t="str">
        <f t="shared" si="0"/>
        <v/>
      </c>
    </row>
    <row r="55" spans="1:7" x14ac:dyDescent="0.25">
      <c r="A55" t="s">
        <v>72</v>
      </c>
      <c r="B55" t="s">
        <v>29</v>
      </c>
      <c r="C55">
        <v>107017</v>
      </c>
      <c r="D55" s="1">
        <v>12.2</v>
      </c>
      <c r="E55">
        <v>8.8000000000000007</v>
      </c>
      <c r="F55" s="2">
        <v>-1.9</v>
      </c>
      <c r="G55" t="str">
        <f t="shared" si="0"/>
        <v/>
      </c>
    </row>
    <row r="56" spans="1:7" x14ac:dyDescent="0.25">
      <c r="A56" t="s">
        <v>73</v>
      </c>
      <c r="B56" t="s">
        <v>31</v>
      </c>
      <c r="C56">
        <v>36317</v>
      </c>
      <c r="D56" s="1">
        <v>10.9</v>
      </c>
      <c r="E56">
        <v>11.3</v>
      </c>
      <c r="F56" s="2">
        <v>-1.6</v>
      </c>
      <c r="G56" t="str">
        <f t="shared" si="0"/>
        <v/>
      </c>
    </row>
    <row r="57" spans="1:7" x14ac:dyDescent="0.25">
      <c r="A57" t="s">
        <v>74</v>
      </c>
      <c r="B57" t="s">
        <v>75</v>
      </c>
      <c r="C57">
        <v>67443</v>
      </c>
      <c r="D57" s="1">
        <v>12</v>
      </c>
      <c r="E57">
        <v>9</v>
      </c>
      <c r="F57" s="2">
        <v>5.7</v>
      </c>
      <c r="G57" t="str">
        <f t="shared" si="0"/>
        <v/>
      </c>
    </row>
    <row r="58" spans="1:7" x14ac:dyDescent="0.25">
      <c r="A58" t="s">
        <v>76</v>
      </c>
      <c r="B58" t="s">
        <v>17</v>
      </c>
      <c r="C58">
        <v>46766</v>
      </c>
      <c r="D58" s="1">
        <v>11.6</v>
      </c>
      <c r="E58">
        <v>10.9</v>
      </c>
      <c r="F58" s="2">
        <v>-2.7</v>
      </c>
      <c r="G58">
        <f t="shared" si="0"/>
        <v>1</v>
      </c>
    </row>
    <row r="59" spans="1:7" x14ac:dyDescent="0.25">
      <c r="A59" t="s">
        <v>77</v>
      </c>
      <c r="B59" t="s">
        <v>46</v>
      </c>
      <c r="C59">
        <v>76052</v>
      </c>
      <c r="D59" s="1">
        <v>12.6</v>
      </c>
      <c r="E59">
        <v>9.1</v>
      </c>
      <c r="F59" s="2">
        <v>-1.8</v>
      </c>
      <c r="G59" t="str">
        <f t="shared" si="0"/>
        <v/>
      </c>
    </row>
    <row r="60" spans="1:7" x14ac:dyDescent="0.25">
      <c r="A60" t="s">
        <v>78</v>
      </c>
      <c r="B60" t="s">
        <v>9</v>
      </c>
      <c r="C60">
        <v>49393</v>
      </c>
      <c r="D60" s="1">
        <v>10.5</v>
      </c>
      <c r="E60">
        <v>9.5</v>
      </c>
      <c r="F60" s="2">
        <v>-4.4000000000000004</v>
      </c>
      <c r="G60" t="str">
        <f t="shared" si="0"/>
        <v/>
      </c>
    </row>
    <row r="61" spans="1:7" x14ac:dyDescent="0.25">
      <c r="A61" t="s">
        <v>79</v>
      </c>
      <c r="B61" t="s">
        <v>17</v>
      </c>
      <c r="C61">
        <v>81923</v>
      </c>
      <c r="D61" s="1">
        <v>12.3</v>
      </c>
      <c r="E61">
        <v>10.6</v>
      </c>
      <c r="F61" s="2">
        <v>13.7</v>
      </c>
      <c r="G61" t="str">
        <f t="shared" si="0"/>
        <v/>
      </c>
    </row>
    <row r="62" spans="1:7" x14ac:dyDescent="0.25">
      <c r="A62" t="s">
        <v>79</v>
      </c>
      <c r="B62" t="s">
        <v>46</v>
      </c>
      <c r="C62">
        <v>49903</v>
      </c>
      <c r="D62" s="1">
        <v>13.3</v>
      </c>
      <c r="E62">
        <v>9.3000000000000007</v>
      </c>
      <c r="F62" s="2">
        <v>-0.8</v>
      </c>
      <c r="G62" t="str">
        <f t="shared" si="0"/>
        <v/>
      </c>
    </row>
    <row r="63" spans="1:7" x14ac:dyDescent="0.25">
      <c r="A63" t="s">
        <v>80</v>
      </c>
      <c r="B63" t="s">
        <v>17</v>
      </c>
      <c r="C63">
        <v>96957</v>
      </c>
      <c r="D63" s="1">
        <v>12.4</v>
      </c>
      <c r="E63">
        <v>11.4</v>
      </c>
      <c r="F63" s="2">
        <v>1.2</v>
      </c>
      <c r="G63" t="str">
        <f t="shared" si="0"/>
        <v/>
      </c>
    </row>
    <row r="64" spans="1:7" x14ac:dyDescent="0.25">
      <c r="A64" t="s">
        <v>81</v>
      </c>
      <c r="B64" t="s">
        <v>7</v>
      </c>
      <c r="C64">
        <v>38708</v>
      </c>
      <c r="D64" s="1">
        <v>11.4</v>
      </c>
      <c r="E64">
        <v>8.9</v>
      </c>
      <c r="F64" s="2">
        <v>-0.9</v>
      </c>
      <c r="G64" t="str">
        <f t="shared" si="0"/>
        <v/>
      </c>
    </row>
    <row r="65" spans="1:7" x14ac:dyDescent="0.25">
      <c r="A65" t="s">
        <v>82</v>
      </c>
      <c r="B65" t="s">
        <v>19</v>
      </c>
      <c r="C65">
        <v>60595</v>
      </c>
      <c r="D65" s="1">
        <v>11.6</v>
      </c>
      <c r="E65">
        <v>9.5</v>
      </c>
      <c r="F65" s="2">
        <v>-1.8</v>
      </c>
      <c r="G65" t="str">
        <f t="shared" si="0"/>
        <v/>
      </c>
    </row>
    <row r="66" spans="1:7" x14ac:dyDescent="0.25">
      <c r="A66" t="s">
        <v>83</v>
      </c>
      <c r="B66" t="s">
        <v>19</v>
      </c>
      <c r="C66">
        <v>82830</v>
      </c>
      <c r="D66" s="1">
        <v>10.8</v>
      </c>
      <c r="E66">
        <v>9.1</v>
      </c>
      <c r="F66" s="2">
        <v>-2.8</v>
      </c>
      <c r="G66" t="str">
        <f t="shared" si="0"/>
        <v/>
      </c>
    </row>
    <row r="67" spans="1:7" x14ac:dyDescent="0.25">
      <c r="A67" t="s">
        <v>84</v>
      </c>
      <c r="B67" t="s">
        <v>9</v>
      </c>
      <c r="C67">
        <v>46385</v>
      </c>
      <c r="D67" s="1">
        <v>8.3000000000000007</v>
      </c>
      <c r="E67">
        <v>15.1</v>
      </c>
      <c r="F67" s="2">
        <v>-3.6</v>
      </c>
      <c r="G67" t="str">
        <f t="shared" ref="G67:G130" si="1">IF(AND(B67="mazowieckie", F67&lt;0), 1, "")</f>
        <v/>
      </c>
    </row>
    <row r="68" spans="1:7" x14ac:dyDescent="0.25">
      <c r="A68" t="s">
        <v>85</v>
      </c>
      <c r="B68" t="s">
        <v>22</v>
      </c>
      <c r="C68">
        <v>67059</v>
      </c>
      <c r="D68" s="1">
        <v>10.1</v>
      </c>
      <c r="E68">
        <v>12.6</v>
      </c>
      <c r="F68" s="2">
        <v>-4.9000000000000004</v>
      </c>
      <c r="G68" t="str">
        <f t="shared" si="1"/>
        <v/>
      </c>
    </row>
    <row r="69" spans="1:7" x14ac:dyDescent="0.25">
      <c r="A69" t="s">
        <v>86</v>
      </c>
      <c r="B69" t="s">
        <v>11</v>
      </c>
      <c r="C69">
        <v>90442</v>
      </c>
      <c r="D69" s="1">
        <v>12.5</v>
      </c>
      <c r="E69">
        <v>8.4</v>
      </c>
      <c r="F69" s="2">
        <v>-1.2</v>
      </c>
      <c r="G69" t="str">
        <f t="shared" si="1"/>
        <v/>
      </c>
    </row>
    <row r="70" spans="1:7" x14ac:dyDescent="0.25">
      <c r="A70" t="s">
        <v>87</v>
      </c>
      <c r="B70" t="s">
        <v>7</v>
      </c>
      <c r="C70">
        <v>164112</v>
      </c>
      <c r="D70" s="1">
        <v>10.6</v>
      </c>
      <c r="E70">
        <v>10</v>
      </c>
      <c r="F70" s="2">
        <v>-1.6</v>
      </c>
      <c r="G70" t="str">
        <f t="shared" si="1"/>
        <v/>
      </c>
    </row>
    <row r="71" spans="1:7" x14ac:dyDescent="0.25">
      <c r="A71" t="s">
        <v>88</v>
      </c>
      <c r="B71" t="s">
        <v>22</v>
      </c>
      <c r="C71">
        <v>47242</v>
      </c>
      <c r="D71" s="1">
        <v>10.1</v>
      </c>
      <c r="E71">
        <v>12.8</v>
      </c>
      <c r="F71" s="2">
        <v>-1.4</v>
      </c>
      <c r="G71" t="str">
        <f t="shared" si="1"/>
        <v/>
      </c>
    </row>
    <row r="72" spans="1:7" x14ac:dyDescent="0.25">
      <c r="A72" t="s">
        <v>89</v>
      </c>
      <c r="B72" t="s">
        <v>46</v>
      </c>
      <c r="C72">
        <v>70821</v>
      </c>
      <c r="D72" s="1">
        <v>12.2</v>
      </c>
      <c r="E72">
        <v>9.5</v>
      </c>
      <c r="F72" s="2">
        <v>-1</v>
      </c>
      <c r="G72" t="str">
        <f t="shared" si="1"/>
        <v/>
      </c>
    </row>
    <row r="73" spans="1:7" x14ac:dyDescent="0.25">
      <c r="A73" t="s">
        <v>90</v>
      </c>
      <c r="B73" t="s">
        <v>26</v>
      </c>
      <c r="C73">
        <v>121654</v>
      </c>
      <c r="D73" s="1">
        <v>10.7</v>
      </c>
      <c r="E73">
        <v>9.3000000000000007</v>
      </c>
      <c r="F73" s="2">
        <v>-1.3</v>
      </c>
      <c r="G73" t="str">
        <f t="shared" si="1"/>
        <v/>
      </c>
    </row>
    <row r="74" spans="1:7" x14ac:dyDescent="0.25">
      <c r="A74" t="s">
        <v>91</v>
      </c>
      <c r="B74" t="s">
        <v>26</v>
      </c>
      <c r="C74">
        <v>114689</v>
      </c>
      <c r="D74" s="1">
        <v>10.1</v>
      </c>
      <c r="E74">
        <v>9.4</v>
      </c>
      <c r="F74" s="2">
        <v>-1.3</v>
      </c>
      <c r="G74" t="str">
        <f t="shared" si="1"/>
        <v/>
      </c>
    </row>
    <row r="75" spans="1:7" x14ac:dyDescent="0.25">
      <c r="A75" t="s">
        <v>92</v>
      </c>
      <c r="B75" t="s">
        <v>31</v>
      </c>
      <c r="C75">
        <v>51581</v>
      </c>
      <c r="D75" s="1">
        <v>9.9</v>
      </c>
      <c r="E75">
        <v>11.8</v>
      </c>
      <c r="F75" s="2">
        <v>-1.7</v>
      </c>
      <c r="G75" t="str">
        <f t="shared" si="1"/>
        <v/>
      </c>
    </row>
    <row r="76" spans="1:7" x14ac:dyDescent="0.25">
      <c r="A76" t="s">
        <v>93</v>
      </c>
      <c r="B76" t="s">
        <v>39</v>
      </c>
      <c r="C76">
        <v>88665</v>
      </c>
      <c r="D76" s="1">
        <v>10.4</v>
      </c>
      <c r="E76">
        <v>11.6</v>
      </c>
      <c r="F76" s="2">
        <v>-2</v>
      </c>
      <c r="G76" t="str">
        <f t="shared" si="1"/>
        <v/>
      </c>
    </row>
    <row r="77" spans="1:7" x14ac:dyDescent="0.25">
      <c r="A77" t="s">
        <v>94</v>
      </c>
      <c r="B77" t="s">
        <v>31</v>
      </c>
      <c r="C77">
        <v>63865</v>
      </c>
      <c r="D77" s="1">
        <v>9.3000000000000007</v>
      </c>
      <c r="E77">
        <v>12.3</v>
      </c>
      <c r="F77" s="2">
        <v>3.8</v>
      </c>
      <c r="G77" t="str">
        <f t="shared" si="1"/>
        <v/>
      </c>
    </row>
    <row r="78" spans="1:7" x14ac:dyDescent="0.25">
      <c r="A78" t="s">
        <v>95</v>
      </c>
      <c r="B78" t="s">
        <v>46</v>
      </c>
      <c r="C78">
        <v>81166</v>
      </c>
      <c r="D78" s="1">
        <v>11.7</v>
      </c>
      <c r="E78">
        <v>10.4</v>
      </c>
      <c r="F78" s="2">
        <v>2.8</v>
      </c>
      <c r="G78" t="str">
        <f t="shared" si="1"/>
        <v/>
      </c>
    </row>
    <row r="79" spans="1:7" x14ac:dyDescent="0.25">
      <c r="A79" t="s">
        <v>96</v>
      </c>
      <c r="B79" t="s">
        <v>31</v>
      </c>
      <c r="C79">
        <v>45562</v>
      </c>
      <c r="D79" s="1">
        <v>10.3</v>
      </c>
      <c r="E79">
        <v>11.2</v>
      </c>
      <c r="F79" s="2">
        <v>-3.9</v>
      </c>
      <c r="G79" t="str">
        <f t="shared" si="1"/>
        <v/>
      </c>
    </row>
    <row r="80" spans="1:7" x14ac:dyDescent="0.25">
      <c r="A80" t="s">
        <v>97</v>
      </c>
      <c r="B80" t="s">
        <v>19</v>
      </c>
      <c r="C80">
        <v>47769</v>
      </c>
      <c r="D80" s="1">
        <v>10.9</v>
      </c>
      <c r="E80">
        <v>10.8</v>
      </c>
      <c r="F80" s="2">
        <v>-1.3</v>
      </c>
      <c r="G80" t="str">
        <f t="shared" si="1"/>
        <v/>
      </c>
    </row>
    <row r="81" spans="1:7" x14ac:dyDescent="0.25">
      <c r="A81" t="s">
        <v>98</v>
      </c>
      <c r="B81" t="s">
        <v>42</v>
      </c>
      <c r="C81">
        <v>116000</v>
      </c>
      <c r="D81" s="1">
        <v>15.2</v>
      </c>
      <c r="E81">
        <v>6.5</v>
      </c>
      <c r="F81" s="2">
        <v>7.7</v>
      </c>
      <c r="G81" t="str">
        <f t="shared" si="1"/>
        <v/>
      </c>
    </row>
    <row r="82" spans="1:7" x14ac:dyDescent="0.25">
      <c r="A82" t="s">
        <v>99</v>
      </c>
      <c r="B82" t="s">
        <v>39</v>
      </c>
      <c r="C82">
        <v>35088</v>
      </c>
      <c r="D82" s="1">
        <v>8.3000000000000007</v>
      </c>
      <c r="E82">
        <v>12.5</v>
      </c>
      <c r="F82" s="2">
        <v>-1.8</v>
      </c>
      <c r="G82" t="str">
        <f t="shared" si="1"/>
        <v/>
      </c>
    </row>
    <row r="83" spans="1:7" x14ac:dyDescent="0.25">
      <c r="A83" t="s">
        <v>100</v>
      </c>
      <c r="B83" t="s">
        <v>35</v>
      </c>
      <c r="C83">
        <v>100320</v>
      </c>
      <c r="D83" s="1">
        <v>8.1</v>
      </c>
      <c r="E83">
        <v>10.199999999999999</v>
      </c>
      <c r="F83" s="2">
        <v>-3.3</v>
      </c>
      <c r="G83" t="str">
        <f t="shared" si="1"/>
        <v/>
      </c>
    </row>
    <row r="84" spans="1:7" x14ac:dyDescent="0.25">
      <c r="A84" t="s">
        <v>101</v>
      </c>
      <c r="B84" t="s">
        <v>46</v>
      </c>
      <c r="C84">
        <v>55903</v>
      </c>
      <c r="D84" s="1">
        <v>11.3</v>
      </c>
      <c r="E84">
        <v>9.3000000000000007</v>
      </c>
      <c r="F84" s="2">
        <v>-0.9</v>
      </c>
      <c r="G84" t="str">
        <f t="shared" si="1"/>
        <v/>
      </c>
    </row>
    <row r="85" spans="1:7" x14ac:dyDescent="0.25">
      <c r="A85" t="s">
        <v>102</v>
      </c>
      <c r="B85" t="s">
        <v>11</v>
      </c>
      <c r="C85">
        <v>64814</v>
      </c>
      <c r="D85" s="1">
        <v>10.8</v>
      </c>
      <c r="E85">
        <v>11.3</v>
      </c>
      <c r="F85" s="2">
        <v>-4.5999999999999996</v>
      </c>
      <c r="G85" t="str">
        <f t="shared" si="1"/>
        <v/>
      </c>
    </row>
    <row r="86" spans="1:7" x14ac:dyDescent="0.25">
      <c r="A86" t="s">
        <v>103</v>
      </c>
      <c r="B86" t="s">
        <v>39</v>
      </c>
      <c r="C86">
        <v>201643</v>
      </c>
      <c r="D86" s="1">
        <v>11.2</v>
      </c>
      <c r="E86">
        <v>9.1999999999999993</v>
      </c>
      <c r="F86" s="2">
        <v>2.9</v>
      </c>
      <c r="G86" t="str">
        <f t="shared" si="1"/>
        <v/>
      </c>
    </row>
    <row r="87" spans="1:7" x14ac:dyDescent="0.25">
      <c r="A87" t="s">
        <v>104</v>
      </c>
      <c r="B87" t="s">
        <v>13</v>
      </c>
      <c r="C87">
        <v>85001</v>
      </c>
      <c r="D87" s="1">
        <v>9.4</v>
      </c>
      <c r="E87">
        <v>10.4</v>
      </c>
      <c r="F87" s="2">
        <v>1.4</v>
      </c>
      <c r="G87" t="str">
        <f t="shared" si="1"/>
        <v/>
      </c>
    </row>
    <row r="88" spans="1:7" x14ac:dyDescent="0.25">
      <c r="A88" t="s">
        <v>105</v>
      </c>
      <c r="B88" t="s">
        <v>31</v>
      </c>
      <c r="C88">
        <v>163648</v>
      </c>
      <c r="D88" s="1">
        <v>9.8000000000000007</v>
      </c>
      <c r="E88">
        <v>12</v>
      </c>
      <c r="F88" s="2">
        <v>-2.6</v>
      </c>
      <c r="G88" t="str">
        <f t="shared" si="1"/>
        <v/>
      </c>
    </row>
    <row r="89" spans="1:7" x14ac:dyDescent="0.25">
      <c r="A89" t="s">
        <v>106</v>
      </c>
      <c r="B89" t="s">
        <v>35</v>
      </c>
      <c r="C89">
        <v>68801</v>
      </c>
      <c r="D89" s="1">
        <v>8.6</v>
      </c>
      <c r="E89">
        <v>9.5</v>
      </c>
      <c r="F89" s="2">
        <v>-2.4</v>
      </c>
      <c r="G89" t="str">
        <f t="shared" si="1"/>
        <v/>
      </c>
    </row>
    <row r="90" spans="1:7" x14ac:dyDescent="0.25">
      <c r="A90" t="s">
        <v>107</v>
      </c>
      <c r="B90" t="s">
        <v>26</v>
      </c>
      <c r="C90">
        <v>61546</v>
      </c>
      <c r="D90" s="1">
        <v>10</v>
      </c>
      <c r="E90">
        <v>8.5</v>
      </c>
      <c r="F90" s="2">
        <v>-0.4</v>
      </c>
      <c r="G90" t="str">
        <f t="shared" si="1"/>
        <v/>
      </c>
    </row>
    <row r="91" spans="1:7" x14ac:dyDescent="0.25">
      <c r="A91" t="s">
        <v>108</v>
      </c>
      <c r="B91" t="s">
        <v>9</v>
      </c>
      <c r="C91">
        <v>39053</v>
      </c>
      <c r="D91" s="1">
        <v>10.7</v>
      </c>
      <c r="E91">
        <v>9.6</v>
      </c>
      <c r="F91" s="2">
        <v>-5.9</v>
      </c>
      <c r="G91" t="str">
        <f t="shared" si="1"/>
        <v/>
      </c>
    </row>
    <row r="92" spans="1:7" x14ac:dyDescent="0.25">
      <c r="A92" t="s">
        <v>109</v>
      </c>
      <c r="B92" t="s">
        <v>19</v>
      </c>
      <c r="C92">
        <v>77095</v>
      </c>
      <c r="D92" s="1">
        <v>10.6</v>
      </c>
      <c r="E92">
        <v>8.6999999999999993</v>
      </c>
      <c r="F92" s="2">
        <v>0.8</v>
      </c>
      <c r="G92" t="str">
        <f t="shared" si="1"/>
        <v/>
      </c>
    </row>
    <row r="93" spans="1:7" x14ac:dyDescent="0.25">
      <c r="A93" t="s">
        <v>110</v>
      </c>
      <c r="B93" t="s">
        <v>46</v>
      </c>
      <c r="C93">
        <v>88274</v>
      </c>
      <c r="D93" s="1">
        <v>11.7</v>
      </c>
      <c r="E93">
        <v>10.8</v>
      </c>
      <c r="F93" s="2">
        <v>-1.2</v>
      </c>
      <c r="G93" t="str">
        <f t="shared" si="1"/>
        <v/>
      </c>
    </row>
    <row r="94" spans="1:7" x14ac:dyDescent="0.25">
      <c r="A94" t="s">
        <v>111</v>
      </c>
      <c r="B94" t="s">
        <v>39</v>
      </c>
      <c r="C94">
        <v>83005</v>
      </c>
      <c r="D94" s="1">
        <v>9.6999999999999993</v>
      </c>
      <c r="E94">
        <v>11.8</v>
      </c>
      <c r="F94" s="2">
        <v>-2</v>
      </c>
      <c r="G94" t="str">
        <f t="shared" si="1"/>
        <v/>
      </c>
    </row>
    <row r="95" spans="1:7" x14ac:dyDescent="0.25">
      <c r="A95" t="s">
        <v>112</v>
      </c>
      <c r="B95" t="s">
        <v>46</v>
      </c>
      <c r="C95">
        <v>125965</v>
      </c>
      <c r="D95" s="1">
        <v>11.7</v>
      </c>
      <c r="E95">
        <v>9.3000000000000007</v>
      </c>
      <c r="F95" s="2">
        <v>2.5</v>
      </c>
      <c r="G95" t="str">
        <f t="shared" si="1"/>
        <v/>
      </c>
    </row>
    <row r="96" spans="1:7" x14ac:dyDescent="0.25">
      <c r="A96" t="s">
        <v>113</v>
      </c>
      <c r="B96" t="s">
        <v>46</v>
      </c>
      <c r="C96">
        <v>78205</v>
      </c>
      <c r="D96" s="1">
        <v>11.4</v>
      </c>
      <c r="E96">
        <v>9.6</v>
      </c>
      <c r="F96" s="2">
        <v>-0.7</v>
      </c>
      <c r="G96" t="str">
        <f t="shared" si="1"/>
        <v/>
      </c>
    </row>
    <row r="97" spans="1:7" x14ac:dyDescent="0.25">
      <c r="A97" t="s">
        <v>114</v>
      </c>
      <c r="B97" t="s">
        <v>42</v>
      </c>
      <c r="C97">
        <v>68311</v>
      </c>
      <c r="D97" s="1">
        <v>15.2</v>
      </c>
      <c r="E97">
        <v>8</v>
      </c>
      <c r="F97" s="2">
        <v>0.4</v>
      </c>
      <c r="G97" t="str">
        <f t="shared" si="1"/>
        <v/>
      </c>
    </row>
    <row r="98" spans="1:7" x14ac:dyDescent="0.25">
      <c r="A98" t="s">
        <v>115</v>
      </c>
      <c r="B98" t="s">
        <v>19</v>
      </c>
      <c r="C98">
        <v>65049</v>
      </c>
      <c r="D98" s="1">
        <v>11.5</v>
      </c>
      <c r="E98">
        <v>9.3000000000000007</v>
      </c>
      <c r="F98" s="2">
        <v>3.8</v>
      </c>
      <c r="G98" t="str">
        <f t="shared" si="1"/>
        <v/>
      </c>
    </row>
    <row r="99" spans="1:7" x14ac:dyDescent="0.25">
      <c r="A99" t="s">
        <v>116</v>
      </c>
      <c r="B99" t="s">
        <v>17</v>
      </c>
      <c r="C99">
        <v>61199</v>
      </c>
      <c r="D99" s="1">
        <v>10.8</v>
      </c>
      <c r="E99">
        <v>11.2</v>
      </c>
      <c r="F99" s="2">
        <v>-2.9</v>
      </c>
      <c r="G99">
        <f t="shared" si="1"/>
        <v>1</v>
      </c>
    </row>
    <row r="100" spans="1:7" x14ac:dyDescent="0.25">
      <c r="A100" t="s">
        <v>117</v>
      </c>
      <c r="B100" t="s">
        <v>29</v>
      </c>
      <c r="C100">
        <v>253344</v>
      </c>
      <c r="D100" s="1">
        <v>11.2</v>
      </c>
      <c r="E100">
        <v>9.5</v>
      </c>
      <c r="F100" s="2">
        <v>9.9</v>
      </c>
      <c r="G100" t="str">
        <f t="shared" si="1"/>
        <v/>
      </c>
    </row>
    <row r="101" spans="1:7" x14ac:dyDescent="0.25">
      <c r="A101" t="s">
        <v>118</v>
      </c>
      <c r="B101" t="s">
        <v>35</v>
      </c>
      <c r="C101">
        <v>66795</v>
      </c>
      <c r="D101" s="1">
        <v>8.4</v>
      </c>
      <c r="E101">
        <v>8.1999999999999993</v>
      </c>
      <c r="F101" s="2">
        <v>-1.4</v>
      </c>
      <c r="G101" t="str">
        <f t="shared" si="1"/>
        <v/>
      </c>
    </row>
    <row r="102" spans="1:7" x14ac:dyDescent="0.25">
      <c r="A102" t="s">
        <v>119</v>
      </c>
      <c r="B102" t="s">
        <v>22</v>
      </c>
      <c r="C102">
        <v>98574</v>
      </c>
      <c r="D102" s="1">
        <v>9.6999999999999993</v>
      </c>
      <c r="E102">
        <v>10.9</v>
      </c>
      <c r="F102" s="2">
        <v>-2.4</v>
      </c>
      <c r="G102" t="str">
        <f t="shared" si="1"/>
        <v/>
      </c>
    </row>
    <row r="103" spans="1:7" x14ac:dyDescent="0.25">
      <c r="A103" t="s">
        <v>120</v>
      </c>
      <c r="B103" t="s">
        <v>22</v>
      </c>
      <c r="C103">
        <v>67824</v>
      </c>
      <c r="D103" s="1">
        <v>8.8000000000000007</v>
      </c>
      <c r="E103">
        <v>13.7</v>
      </c>
      <c r="F103" s="2">
        <v>-1</v>
      </c>
      <c r="G103" t="str">
        <f t="shared" si="1"/>
        <v/>
      </c>
    </row>
    <row r="104" spans="1:7" x14ac:dyDescent="0.25">
      <c r="A104" t="s">
        <v>121</v>
      </c>
      <c r="B104" t="s">
        <v>75</v>
      </c>
      <c r="C104">
        <v>56131</v>
      </c>
      <c r="D104" s="1">
        <v>11</v>
      </c>
      <c r="E104">
        <v>10.5</v>
      </c>
      <c r="F104" s="2">
        <v>-2.7</v>
      </c>
      <c r="G104" t="str">
        <f t="shared" si="1"/>
        <v/>
      </c>
    </row>
    <row r="105" spans="1:7" x14ac:dyDescent="0.25">
      <c r="A105" t="s">
        <v>121</v>
      </c>
      <c r="B105" t="s">
        <v>26</v>
      </c>
      <c r="C105">
        <v>110849</v>
      </c>
      <c r="D105" s="1">
        <v>11.1</v>
      </c>
      <c r="E105">
        <v>9.1999999999999993</v>
      </c>
      <c r="F105" s="2">
        <v>-0.1</v>
      </c>
      <c r="G105" t="str">
        <f t="shared" si="1"/>
        <v/>
      </c>
    </row>
    <row r="106" spans="1:7" x14ac:dyDescent="0.25">
      <c r="A106" t="s">
        <v>122</v>
      </c>
      <c r="B106" t="s">
        <v>46</v>
      </c>
      <c r="C106">
        <v>77440</v>
      </c>
      <c r="D106" s="1">
        <v>12.8</v>
      </c>
      <c r="E106">
        <v>9.8000000000000007</v>
      </c>
      <c r="F106" s="2">
        <v>-1.8</v>
      </c>
      <c r="G106" t="str">
        <f t="shared" si="1"/>
        <v/>
      </c>
    </row>
    <row r="107" spans="1:7" x14ac:dyDescent="0.25">
      <c r="A107" t="s">
        <v>123</v>
      </c>
      <c r="B107" t="s">
        <v>15</v>
      </c>
      <c r="C107">
        <v>102015</v>
      </c>
      <c r="D107" s="1">
        <v>9.5</v>
      </c>
      <c r="E107">
        <v>13.2</v>
      </c>
      <c r="F107" s="2">
        <v>-1.9</v>
      </c>
      <c r="G107" t="str">
        <f t="shared" si="1"/>
        <v/>
      </c>
    </row>
    <row r="108" spans="1:7" x14ac:dyDescent="0.25">
      <c r="A108" t="s">
        <v>124</v>
      </c>
      <c r="B108" t="s">
        <v>42</v>
      </c>
      <c r="C108">
        <v>81848</v>
      </c>
      <c r="D108" s="1">
        <v>13.6</v>
      </c>
      <c r="E108">
        <v>8.5</v>
      </c>
      <c r="F108" s="2">
        <v>0.3</v>
      </c>
      <c r="G108" t="str">
        <f t="shared" si="1"/>
        <v/>
      </c>
    </row>
    <row r="109" spans="1:7" x14ac:dyDescent="0.25">
      <c r="A109" t="s">
        <v>125</v>
      </c>
      <c r="B109" t="s">
        <v>26</v>
      </c>
      <c r="C109">
        <v>78359</v>
      </c>
      <c r="D109" s="1">
        <v>12.2</v>
      </c>
      <c r="E109">
        <v>8.9</v>
      </c>
      <c r="F109" s="2">
        <v>0.5</v>
      </c>
      <c r="G109" t="str">
        <f t="shared" si="1"/>
        <v/>
      </c>
    </row>
    <row r="110" spans="1:7" x14ac:dyDescent="0.25">
      <c r="A110" t="s">
        <v>126</v>
      </c>
      <c r="B110" t="s">
        <v>15</v>
      </c>
      <c r="C110">
        <v>50808</v>
      </c>
      <c r="D110" s="1">
        <v>9.9</v>
      </c>
      <c r="E110">
        <v>11.8</v>
      </c>
      <c r="F110" s="2">
        <v>0.6</v>
      </c>
      <c r="G110" t="str">
        <f t="shared" si="1"/>
        <v/>
      </c>
    </row>
    <row r="111" spans="1:7" x14ac:dyDescent="0.25">
      <c r="A111" t="s">
        <v>127</v>
      </c>
      <c r="B111" t="s">
        <v>42</v>
      </c>
      <c r="C111">
        <v>63915</v>
      </c>
      <c r="D111" s="1">
        <v>12.5</v>
      </c>
      <c r="E111">
        <v>8.6</v>
      </c>
      <c r="F111" s="2">
        <v>-0.7</v>
      </c>
      <c r="G111" t="str">
        <f t="shared" si="1"/>
        <v/>
      </c>
    </row>
    <row r="112" spans="1:7" x14ac:dyDescent="0.25">
      <c r="A112" t="s">
        <v>128</v>
      </c>
      <c r="B112" t="s">
        <v>15</v>
      </c>
      <c r="C112">
        <v>52420</v>
      </c>
      <c r="D112" s="1">
        <v>10.7</v>
      </c>
      <c r="E112">
        <v>13.3</v>
      </c>
      <c r="F112" s="2">
        <v>-1.9</v>
      </c>
      <c r="G112" t="str">
        <f t="shared" si="1"/>
        <v/>
      </c>
    </row>
    <row r="113" spans="1:7" x14ac:dyDescent="0.25">
      <c r="A113" t="s">
        <v>129</v>
      </c>
      <c r="B113" t="s">
        <v>22</v>
      </c>
      <c r="C113">
        <v>57164</v>
      </c>
      <c r="D113" s="1">
        <v>11.4</v>
      </c>
      <c r="E113">
        <v>8.9</v>
      </c>
      <c r="F113" s="2">
        <v>-2.2000000000000002</v>
      </c>
      <c r="G113" t="str">
        <f t="shared" si="1"/>
        <v/>
      </c>
    </row>
    <row r="114" spans="1:7" x14ac:dyDescent="0.25">
      <c r="A114" t="s">
        <v>130</v>
      </c>
      <c r="B114" t="s">
        <v>17</v>
      </c>
      <c r="C114">
        <v>103039</v>
      </c>
      <c r="D114" s="1">
        <v>12</v>
      </c>
      <c r="E114">
        <v>8.5</v>
      </c>
      <c r="F114" s="2">
        <v>13.4</v>
      </c>
      <c r="G114" t="str">
        <f t="shared" si="1"/>
        <v/>
      </c>
    </row>
    <row r="115" spans="1:7" x14ac:dyDescent="0.25">
      <c r="A115" t="s">
        <v>131</v>
      </c>
      <c r="B115" t="s">
        <v>31</v>
      </c>
      <c r="C115">
        <v>53618</v>
      </c>
      <c r="D115" s="1">
        <v>11.1</v>
      </c>
      <c r="E115">
        <v>10</v>
      </c>
      <c r="F115" s="2">
        <v>2.2999999999999998</v>
      </c>
      <c r="G115" t="str">
        <f t="shared" si="1"/>
        <v/>
      </c>
    </row>
    <row r="116" spans="1:7" x14ac:dyDescent="0.25">
      <c r="A116" t="s">
        <v>132</v>
      </c>
      <c r="B116" t="s">
        <v>26</v>
      </c>
      <c r="C116">
        <v>26608</v>
      </c>
      <c r="D116" s="1">
        <v>9.1999999999999993</v>
      </c>
      <c r="E116">
        <v>7</v>
      </c>
      <c r="F116" s="2">
        <v>-0.9</v>
      </c>
      <c r="G116" t="str">
        <f t="shared" si="1"/>
        <v/>
      </c>
    </row>
    <row r="117" spans="1:7" x14ac:dyDescent="0.25">
      <c r="A117" t="s">
        <v>133</v>
      </c>
      <c r="B117" t="s">
        <v>46</v>
      </c>
      <c r="C117">
        <v>51722</v>
      </c>
      <c r="D117" s="1">
        <v>13</v>
      </c>
      <c r="E117">
        <v>8.6999999999999993</v>
      </c>
      <c r="F117" s="2">
        <v>5.9</v>
      </c>
      <c r="G117" t="str">
        <f t="shared" si="1"/>
        <v/>
      </c>
    </row>
    <row r="118" spans="1:7" x14ac:dyDescent="0.25">
      <c r="A118" t="s">
        <v>134</v>
      </c>
      <c r="B118" t="s">
        <v>26</v>
      </c>
      <c r="C118">
        <v>69105</v>
      </c>
      <c r="D118" s="1">
        <v>10.5</v>
      </c>
      <c r="E118">
        <v>8.5</v>
      </c>
      <c r="F118" s="2">
        <v>-1.8</v>
      </c>
      <c r="G118" t="str">
        <f t="shared" si="1"/>
        <v/>
      </c>
    </row>
    <row r="119" spans="1:7" x14ac:dyDescent="0.25">
      <c r="A119" t="s">
        <v>135</v>
      </c>
      <c r="B119" t="s">
        <v>11</v>
      </c>
      <c r="C119">
        <v>42501</v>
      </c>
      <c r="D119" s="1">
        <v>10.6</v>
      </c>
      <c r="E119">
        <v>9.5</v>
      </c>
      <c r="F119" s="2">
        <v>-2.8</v>
      </c>
      <c r="G119" t="str">
        <f t="shared" si="1"/>
        <v/>
      </c>
    </row>
    <row r="120" spans="1:7" x14ac:dyDescent="0.25">
      <c r="A120" t="s">
        <v>136</v>
      </c>
      <c r="B120" t="s">
        <v>29</v>
      </c>
      <c r="C120">
        <v>124278</v>
      </c>
      <c r="D120" s="1">
        <v>14.1</v>
      </c>
      <c r="E120">
        <v>7.7</v>
      </c>
      <c r="F120" s="2">
        <v>0.1</v>
      </c>
      <c r="G120" t="str">
        <f t="shared" si="1"/>
        <v/>
      </c>
    </row>
    <row r="121" spans="1:7" x14ac:dyDescent="0.25">
      <c r="A121" t="s">
        <v>137</v>
      </c>
      <c r="B121" t="s">
        <v>7</v>
      </c>
      <c r="C121">
        <v>66162</v>
      </c>
      <c r="D121" s="1">
        <v>12.8</v>
      </c>
      <c r="E121">
        <v>10.6</v>
      </c>
      <c r="F121" s="2">
        <v>-2</v>
      </c>
      <c r="G121" t="str">
        <f t="shared" si="1"/>
        <v/>
      </c>
    </row>
    <row r="122" spans="1:7" x14ac:dyDescent="0.25">
      <c r="A122" t="s">
        <v>138</v>
      </c>
      <c r="B122" t="s">
        <v>17</v>
      </c>
      <c r="C122">
        <v>36033</v>
      </c>
      <c r="D122" s="1">
        <v>10.5</v>
      </c>
      <c r="E122">
        <v>15.5</v>
      </c>
      <c r="F122" s="2">
        <v>-2.2999999999999998</v>
      </c>
      <c r="G122">
        <f t="shared" si="1"/>
        <v>1</v>
      </c>
    </row>
    <row r="123" spans="1:7" x14ac:dyDescent="0.25">
      <c r="A123" t="s">
        <v>139</v>
      </c>
      <c r="B123" t="s">
        <v>19</v>
      </c>
      <c r="C123">
        <v>38063</v>
      </c>
      <c r="D123" s="1">
        <v>11.6</v>
      </c>
      <c r="E123">
        <v>10.6</v>
      </c>
      <c r="F123" s="2">
        <v>-2.8</v>
      </c>
      <c r="G123" t="str">
        <f t="shared" si="1"/>
        <v/>
      </c>
    </row>
    <row r="124" spans="1:7" x14ac:dyDescent="0.25">
      <c r="A124" t="s">
        <v>140</v>
      </c>
      <c r="B124" t="s">
        <v>15</v>
      </c>
      <c r="C124">
        <v>66807</v>
      </c>
      <c r="D124" s="1">
        <v>10.6</v>
      </c>
      <c r="E124">
        <v>11</v>
      </c>
      <c r="F124" s="2">
        <v>10.8</v>
      </c>
      <c r="G124" t="str">
        <f t="shared" si="1"/>
        <v/>
      </c>
    </row>
    <row r="125" spans="1:7" x14ac:dyDescent="0.25">
      <c r="A125" t="s">
        <v>141</v>
      </c>
      <c r="B125" t="s">
        <v>9</v>
      </c>
      <c r="C125">
        <v>50919</v>
      </c>
      <c r="D125" s="1">
        <v>11.7</v>
      </c>
      <c r="E125">
        <v>11.6</v>
      </c>
      <c r="F125" s="2">
        <v>0.3</v>
      </c>
      <c r="G125" t="str">
        <f t="shared" si="1"/>
        <v/>
      </c>
    </row>
    <row r="126" spans="1:7" x14ac:dyDescent="0.25">
      <c r="A126" t="s">
        <v>142</v>
      </c>
      <c r="B126" t="s">
        <v>17</v>
      </c>
      <c r="C126">
        <v>32072</v>
      </c>
      <c r="D126" s="1">
        <v>10.1</v>
      </c>
      <c r="E126">
        <v>13.3</v>
      </c>
      <c r="F126" s="2">
        <v>-4.5</v>
      </c>
      <c r="G126">
        <f t="shared" si="1"/>
        <v>1</v>
      </c>
    </row>
    <row r="127" spans="1:7" x14ac:dyDescent="0.25">
      <c r="A127" t="s">
        <v>143</v>
      </c>
      <c r="B127" t="s">
        <v>15</v>
      </c>
      <c r="C127">
        <v>81151</v>
      </c>
      <c r="D127" s="1">
        <v>10.8</v>
      </c>
      <c r="E127">
        <v>12.3</v>
      </c>
      <c r="F127" s="2">
        <v>-1.9</v>
      </c>
      <c r="G127" t="str">
        <f t="shared" si="1"/>
        <v/>
      </c>
    </row>
    <row r="128" spans="1:7" x14ac:dyDescent="0.25">
      <c r="A128" t="s">
        <v>144</v>
      </c>
      <c r="B128" t="s">
        <v>26</v>
      </c>
      <c r="C128">
        <v>56811</v>
      </c>
      <c r="D128" s="1">
        <v>10.4</v>
      </c>
      <c r="E128">
        <v>9.6999999999999993</v>
      </c>
      <c r="F128" s="2">
        <v>-1.8</v>
      </c>
      <c r="G128" t="str">
        <f t="shared" si="1"/>
        <v/>
      </c>
    </row>
    <row r="129" spans="1:7" x14ac:dyDescent="0.25">
      <c r="A129" t="s">
        <v>145</v>
      </c>
      <c r="B129" t="s">
        <v>31</v>
      </c>
      <c r="C129">
        <v>56085</v>
      </c>
      <c r="D129" s="1">
        <v>10.1</v>
      </c>
      <c r="E129">
        <v>11.9</v>
      </c>
      <c r="F129" s="2">
        <v>-3.4</v>
      </c>
      <c r="G129" t="str">
        <f t="shared" si="1"/>
        <v/>
      </c>
    </row>
    <row r="130" spans="1:7" x14ac:dyDescent="0.25">
      <c r="A130" t="s">
        <v>146</v>
      </c>
      <c r="B130" t="s">
        <v>22</v>
      </c>
      <c r="C130">
        <v>89876</v>
      </c>
      <c r="D130" s="1">
        <v>11</v>
      </c>
      <c r="E130">
        <v>11.9</v>
      </c>
      <c r="F130" s="2">
        <v>-2</v>
      </c>
      <c r="G130" t="str">
        <f t="shared" si="1"/>
        <v/>
      </c>
    </row>
    <row r="131" spans="1:7" x14ac:dyDescent="0.25">
      <c r="A131" t="s">
        <v>147</v>
      </c>
      <c r="B131" t="s">
        <v>22</v>
      </c>
      <c r="C131">
        <v>144383</v>
      </c>
      <c r="D131" s="1">
        <v>10.6</v>
      </c>
      <c r="E131">
        <v>10.6</v>
      </c>
      <c r="F131" s="2">
        <v>6.1</v>
      </c>
      <c r="G131" t="str">
        <f t="shared" ref="G131:G194" si="2">IF(AND(B131="mazowieckie", F131&lt;0), 1, "")</f>
        <v/>
      </c>
    </row>
    <row r="132" spans="1:7" x14ac:dyDescent="0.25">
      <c r="A132" t="s">
        <v>148</v>
      </c>
      <c r="B132" t="s">
        <v>31</v>
      </c>
      <c r="C132">
        <v>105170</v>
      </c>
      <c r="D132" s="1">
        <v>10.6</v>
      </c>
      <c r="E132">
        <v>7.9</v>
      </c>
      <c r="F132" s="2">
        <v>-2.8</v>
      </c>
      <c r="G132" t="str">
        <f t="shared" si="2"/>
        <v/>
      </c>
    </row>
    <row r="133" spans="1:7" x14ac:dyDescent="0.25">
      <c r="A133" t="s">
        <v>149</v>
      </c>
      <c r="B133" t="s">
        <v>13</v>
      </c>
      <c r="C133">
        <v>76618</v>
      </c>
      <c r="D133" s="1">
        <v>10.199999999999999</v>
      </c>
      <c r="E133">
        <v>10.4</v>
      </c>
      <c r="F133" s="2">
        <v>2.2999999999999998</v>
      </c>
      <c r="G133" t="str">
        <f t="shared" si="2"/>
        <v/>
      </c>
    </row>
    <row r="134" spans="1:7" x14ac:dyDescent="0.25">
      <c r="A134" t="s">
        <v>150</v>
      </c>
      <c r="B134" t="s">
        <v>22</v>
      </c>
      <c r="C134">
        <v>107953</v>
      </c>
      <c r="D134" s="1">
        <v>12.2</v>
      </c>
      <c r="E134">
        <v>9.8000000000000007</v>
      </c>
      <c r="F134" s="2">
        <v>-4.0999999999999996</v>
      </c>
      <c r="G134" t="str">
        <f t="shared" si="2"/>
        <v/>
      </c>
    </row>
    <row r="135" spans="1:7" x14ac:dyDescent="0.25">
      <c r="A135" t="s">
        <v>151</v>
      </c>
      <c r="B135" t="s">
        <v>31</v>
      </c>
      <c r="C135">
        <v>47194</v>
      </c>
      <c r="D135" s="1">
        <v>8.6</v>
      </c>
      <c r="E135">
        <v>11.6</v>
      </c>
      <c r="F135" s="2">
        <v>-2.8</v>
      </c>
      <c r="G135" t="str">
        <f t="shared" si="2"/>
        <v/>
      </c>
    </row>
    <row r="136" spans="1:7" x14ac:dyDescent="0.25">
      <c r="A136" t="s">
        <v>152</v>
      </c>
      <c r="B136" t="s">
        <v>22</v>
      </c>
      <c r="C136">
        <v>57876</v>
      </c>
      <c r="D136" s="1">
        <v>10.9</v>
      </c>
      <c r="E136">
        <v>7.2</v>
      </c>
      <c r="F136" s="2">
        <v>-2.5</v>
      </c>
      <c r="G136" t="str">
        <f t="shared" si="2"/>
        <v/>
      </c>
    </row>
    <row r="137" spans="1:7" x14ac:dyDescent="0.25">
      <c r="A137" t="s">
        <v>153</v>
      </c>
      <c r="B137" t="s">
        <v>9</v>
      </c>
      <c r="C137">
        <v>294685</v>
      </c>
      <c r="D137" s="1">
        <v>10.5</v>
      </c>
      <c r="E137">
        <v>7.8</v>
      </c>
      <c r="F137" s="2">
        <v>-1.4</v>
      </c>
      <c r="G137" t="str">
        <f t="shared" si="2"/>
        <v/>
      </c>
    </row>
    <row r="138" spans="1:7" x14ac:dyDescent="0.25">
      <c r="A138" t="s">
        <v>154</v>
      </c>
      <c r="B138" t="s">
        <v>13</v>
      </c>
      <c r="C138">
        <v>175402</v>
      </c>
      <c r="D138" s="1">
        <v>10.5</v>
      </c>
      <c r="E138">
        <v>9.6999999999999993</v>
      </c>
      <c r="F138" s="2">
        <v>-2.2999999999999998</v>
      </c>
      <c r="G138" t="str">
        <f t="shared" si="2"/>
        <v/>
      </c>
    </row>
    <row r="139" spans="1:7" x14ac:dyDescent="0.25">
      <c r="A139" t="s">
        <v>155</v>
      </c>
      <c r="B139" t="s">
        <v>7</v>
      </c>
      <c r="C139">
        <v>357650</v>
      </c>
      <c r="D139" s="1">
        <v>10</v>
      </c>
      <c r="E139">
        <v>10.5</v>
      </c>
      <c r="F139" s="2">
        <v>-4.5</v>
      </c>
      <c r="G139" t="str">
        <f t="shared" si="2"/>
        <v/>
      </c>
    </row>
    <row r="140" spans="1:7" x14ac:dyDescent="0.25">
      <c r="A140" t="s">
        <v>156</v>
      </c>
      <c r="B140" t="s">
        <v>13</v>
      </c>
      <c r="C140">
        <v>182749</v>
      </c>
      <c r="D140" s="1">
        <v>9.9</v>
      </c>
      <c r="E140">
        <v>11</v>
      </c>
      <c r="F140" s="2">
        <v>-5</v>
      </c>
      <c r="G140" t="str">
        <f t="shared" si="2"/>
        <v/>
      </c>
    </row>
    <row r="141" spans="1:7" x14ac:dyDescent="0.25">
      <c r="A141" t="s">
        <v>157</v>
      </c>
      <c r="B141" t="s">
        <v>22</v>
      </c>
      <c r="C141">
        <v>67650</v>
      </c>
      <c r="D141" s="1">
        <v>9.9</v>
      </c>
      <c r="E141">
        <v>8.9</v>
      </c>
      <c r="F141" s="2">
        <v>-3.6</v>
      </c>
      <c r="G141" t="str">
        <f t="shared" si="2"/>
        <v/>
      </c>
    </row>
    <row r="142" spans="1:7" x14ac:dyDescent="0.25">
      <c r="A142" t="s">
        <v>158</v>
      </c>
      <c r="B142" t="s">
        <v>13</v>
      </c>
      <c r="C142">
        <v>113007</v>
      </c>
      <c r="D142" s="1">
        <v>10.9</v>
      </c>
      <c r="E142">
        <v>13.2</v>
      </c>
      <c r="F142" s="2">
        <v>-0.2</v>
      </c>
      <c r="G142" t="str">
        <f t="shared" si="2"/>
        <v/>
      </c>
    </row>
    <row r="143" spans="1:7" x14ac:dyDescent="0.25">
      <c r="A143" t="s">
        <v>159</v>
      </c>
      <c r="B143" t="s">
        <v>13</v>
      </c>
      <c r="C143">
        <v>239319</v>
      </c>
      <c r="D143" s="1">
        <v>9.9</v>
      </c>
      <c r="E143">
        <v>11.1</v>
      </c>
      <c r="F143" s="2">
        <v>-3.5</v>
      </c>
      <c r="G143" t="str">
        <f t="shared" si="2"/>
        <v/>
      </c>
    </row>
    <row r="144" spans="1:7" x14ac:dyDescent="0.25">
      <c r="A144" t="s">
        <v>160</v>
      </c>
      <c r="B144" t="s">
        <v>13</v>
      </c>
      <c r="C144">
        <v>127686</v>
      </c>
      <c r="D144" s="1">
        <v>9.4</v>
      </c>
      <c r="E144">
        <v>11</v>
      </c>
      <c r="F144" s="2">
        <v>-3</v>
      </c>
      <c r="G144" t="str">
        <f t="shared" si="2"/>
        <v/>
      </c>
    </row>
    <row r="145" spans="1:7" x14ac:dyDescent="0.25">
      <c r="A145" t="s">
        <v>161</v>
      </c>
      <c r="B145" t="s">
        <v>11</v>
      </c>
      <c r="C145">
        <v>126419</v>
      </c>
      <c r="D145" s="1">
        <v>10.3</v>
      </c>
      <c r="E145">
        <v>9.5</v>
      </c>
      <c r="F145" s="2">
        <v>-1.9</v>
      </c>
      <c r="G145" t="str">
        <f t="shared" si="2"/>
        <v/>
      </c>
    </row>
    <row r="146" spans="1:7" x14ac:dyDescent="0.25">
      <c r="A146" t="s">
        <v>162</v>
      </c>
      <c r="B146" t="s">
        <v>42</v>
      </c>
      <c r="C146">
        <v>456591</v>
      </c>
      <c r="D146" s="1">
        <v>11.1</v>
      </c>
      <c r="E146">
        <v>9.8000000000000007</v>
      </c>
      <c r="F146" s="2">
        <v>-0.2</v>
      </c>
      <c r="G146" t="str">
        <f t="shared" si="2"/>
        <v/>
      </c>
    </row>
    <row r="147" spans="1:7" x14ac:dyDescent="0.25">
      <c r="A147" t="s">
        <v>163</v>
      </c>
      <c r="B147" t="s">
        <v>42</v>
      </c>
      <c r="C147">
        <v>247859</v>
      </c>
      <c r="D147" s="1">
        <v>10</v>
      </c>
      <c r="E147">
        <v>9.6</v>
      </c>
      <c r="F147" s="2">
        <v>-3.8</v>
      </c>
      <c r="G147" t="str">
        <f t="shared" si="2"/>
        <v/>
      </c>
    </row>
    <row r="148" spans="1:7" x14ac:dyDescent="0.25">
      <c r="A148" t="s">
        <v>164</v>
      </c>
      <c r="B148" t="s">
        <v>13</v>
      </c>
      <c r="C148">
        <v>196167</v>
      </c>
      <c r="D148" s="1">
        <v>9.5</v>
      </c>
      <c r="E148">
        <v>9.8000000000000007</v>
      </c>
      <c r="F148" s="2">
        <v>-2.6</v>
      </c>
      <c r="G148" t="str">
        <f t="shared" si="2"/>
        <v/>
      </c>
    </row>
    <row r="149" spans="1:7" x14ac:dyDescent="0.25">
      <c r="A149" t="s">
        <v>165</v>
      </c>
      <c r="B149" t="s">
        <v>75</v>
      </c>
      <c r="C149">
        <v>125383</v>
      </c>
      <c r="D149" s="1">
        <v>11</v>
      </c>
      <c r="E149">
        <v>9.1999999999999993</v>
      </c>
      <c r="F149" s="2">
        <v>-1.6</v>
      </c>
      <c r="G149" t="str">
        <f t="shared" si="2"/>
        <v/>
      </c>
    </row>
    <row r="150" spans="1:7" x14ac:dyDescent="0.25">
      <c r="A150" t="s">
        <v>166</v>
      </c>
      <c r="B150" t="s">
        <v>7</v>
      </c>
      <c r="C150">
        <v>99074</v>
      </c>
      <c r="D150" s="1">
        <v>10.7</v>
      </c>
      <c r="E150">
        <v>10.199999999999999</v>
      </c>
      <c r="F150" s="2">
        <v>-2.2000000000000002</v>
      </c>
      <c r="G150" t="str">
        <f t="shared" si="2"/>
        <v/>
      </c>
    </row>
    <row r="151" spans="1:7" x14ac:dyDescent="0.25">
      <c r="A151" t="s">
        <v>167</v>
      </c>
      <c r="B151" t="s">
        <v>13</v>
      </c>
      <c r="C151">
        <v>92988</v>
      </c>
      <c r="D151" s="1">
        <v>10.4</v>
      </c>
      <c r="E151">
        <v>7.7</v>
      </c>
      <c r="F151" s="2">
        <v>-7.7</v>
      </c>
      <c r="G151" t="str">
        <f t="shared" si="2"/>
        <v/>
      </c>
    </row>
    <row r="152" spans="1:7" x14ac:dyDescent="0.25">
      <c r="A152" t="s">
        <v>168</v>
      </c>
      <c r="B152" t="s">
        <v>13</v>
      </c>
      <c r="C152">
        <v>95036</v>
      </c>
      <c r="D152" s="1">
        <v>9.6</v>
      </c>
      <c r="E152">
        <v>10.1</v>
      </c>
      <c r="F152" s="2">
        <v>-1.3</v>
      </c>
      <c r="G152" t="str">
        <f t="shared" si="2"/>
        <v/>
      </c>
    </row>
    <row r="153" spans="1:7" x14ac:dyDescent="0.25">
      <c r="A153" t="s">
        <v>169</v>
      </c>
      <c r="B153" t="s">
        <v>31</v>
      </c>
      <c r="C153">
        <v>84564</v>
      </c>
      <c r="D153" s="1">
        <v>8.8000000000000007</v>
      </c>
      <c r="E153">
        <v>12.4</v>
      </c>
      <c r="F153" s="2">
        <v>-3.4</v>
      </c>
      <c r="G153" t="str">
        <f t="shared" si="2"/>
        <v/>
      </c>
    </row>
    <row r="154" spans="1:7" x14ac:dyDescent="0.25">
      <c r="A154" t="s">
        <v>170</v>
      </c>
      <c r="B154" t="s">
        <v>46</v>
      </c>
      <c r="C154">
        <v>107019</v>
      </c>
      <c r="D154" s="1">
        <v>9.5</v>
      </c>
      <c r="E154">
        <v>11.3</v>
      </c>
      <c r="F154" s="2">
        <v>-4</v>
      </c>
      <c r="G154" t="str">
        <f t="shared" si="2"/>
        <v/>
      </c>
    </row>
    <row r="155" spans="1:7" x14ac:dyDescent="0.25">
      <c r="A155" t="s">
        <v>171</v>
      </c>
      <c r="B155" t="s">
        <v>13</v>
      </c>
      <c r="C155">
        <v>308548</v>
      </c>
      <c r="D155" s="1">
        <v>9.4</v>
      </c>
      <c r="E155">
        <v>11.7</v>
      </c>
      <c r="F155" s="2">
        <v>-3.2</v>
      </c>
      <c r="G155" t="str">
        <f t="shared" si="2"/>
        <v/>
      </c>
    </row>
    <row r="156" spans="1:7" x14ac:dyDescent="0.25">
      <c r="A156" t="s">
        <v>172</v>
      </c>
      <c r="B156" t="s">
        <v>39</v>
      </c>
      <c r="C156">
        <v>204835</v>
      </c>
      <c r="D156" s="1">
        <v>10</v>
      </c>
      <c r="E156">
        <v>8.8000000000000007</v>
      </c>
      <c r="F156" s="2">
        <v>-4.0999999999999996</v>
      </c>
      <c r="G156" t="str">
        <f t="shared" si="2"/>
        <v/>
      </c>
    </row>
    <row r="157" spans="1:7" x14ac:dyDescent="0.25">
      <c r="A157" t="s">
        <v>173</v>
      </c>
      <c r="B157" t="s">
        <v>46</v>
      </c>
      <c r="C157">
        <v>79516</v>
      </c>
      <c r="D157" s="1">
        <v>10.1</v>
      </c>
      <c r="E157">
        <v>8.1</v>
      </c>
      <c r="F157" s="2">
        <v>-6.3</v>
      </c>
      <c r="G157" t="str">
        <f t="shared" si="2"/>
        <v/>
      </c>
    </row>
    <row r="158" spans="1:7" x14ac:dyDescent="0.25">
      <c r="A158" t="s">
        <v>174</v>
      </c>
      <c r="B158" t="s">
        <v>19</v>
      </c>
      <c r="C158">
        <v>106987</v>
      </c>
      <c r="D158" s="1">
        <v>9</v>
      </c>
      <c r="E158">
        <v>8.5</v>
      </c>
      <c r="F158" s="2">
        <v>-1.2</v>
      </c>
      <c r="G158" t="str">
        <f t="shared" si="2"/>
        <v/>
      </c>
    </row>
    <row r="159" spans="1:7" x14ac:dyDescent="0.25">
      <c r="A159" t="s">
        <v>175</v>
      </c>
      <c r="B159" t="s">
        <v>29</v>
      </c>
      <c r="C159">
        <v>755000</v>
      </c>
      <c r="D159" s="1">
        <v>10.7</v>
      </c>
      <c r="E159">
        <v>9.8000000000000007</v>
      </c>
      <c r="F159" s="2">
        <v>0.6</v>
      </c>
      <c r="G159" t="str">
        <f t="shared" si="2"/>
        <v/>
      </c>
    </row>
    <row r="160" spans="1:7" x14ac:dyDescent="0.25">
      <c r="A160" t="s">
        <v>176</v>
      </c>
      <c r="B160" t="s">
        <v>26</v>
      </c>
      <c r="C160">
        <v>47534</v>
      </c>
      <c r="D160" s="1">
        <v>9.1</v>
      </c>
      <c r="E160">
        <v>8.3000000000000007</v>
      </c>
      <c r="F160" s="2">
        <v>-2.2999999999999998</v>
      </c>
      <c r="G160" t="str">
        <f t="shared" si="2"/>
        <v/>
      </c>
    </row>
    <row r="161" spans="1:7" x14ac:dyDescent="0.25">
      <c r="A161" t="s">
        <v>177</v>
      </c>
      <c r="B161" t="s">
        <v>31</v>
      </c>
      <c r="C161">
        <v>104178</v>
      </c>
      <c r="D161" s="1">
        <v>9.6999999999999993</v>
      </c>
      <c r="E161">
        <v>10.3</v>
      </c>
      <c r="F161" s="2">
        <v>-2.4</v>
      </c>
      <c r="G161" t="str">
        <f t="shared" si="2"/>
        <v/>
      </c>
    </row>
    <row r="162" spans="1:7" x14ac:dyDescent="0.25">
      <c r="A162" t="s">
        <v>178</v>
      </c>
      <c r="B162" t="s">
        <v>46</v>
      </c>
      <c r="C162">
        <v>64338</v>
      </c>
      <c r="D162" s="1">
        <v>12.5</v>
      </c>
      <c r="E162">
        <v>8.9</v>
      </c>
      <c r="F162" s="2">
        <v>-1.9</v>
      </c>
      <c r="G162" t="str">
        <f t="shared" si="2"/>
        <v/>
      </c>
    </row>
    <row r="163" spans="1:7" x14ac:dyDescent="0.25">
      <c r="A163" t="s">
        <v>179</v>
      </c>
      <c r="B163" t="s">
        <v>15</v>
      </c>
      <c r="C163">
        <v>742387</v>
      </c>
      <c r="D163" s="1">
        <v>9.3000000000000007</v>
      </c>
      <c r="E163">
        <v>14.3</v>
      </c>
      <c r="F163" s="2">
        <v>-1.8</v>
      </c>
      <c r="G163" t="str">
        <f t="shared" si="2"/>
        <v/>
      </c>
    </row>
    <row r="164" spans="1:7" x14ac:dyDescent="0.25">
      <c r="A164" t="s">
        <v>180</v>
      </c>
      <c r="B164" t="s">
        <v>9</v>
      </c>
      <c r="C164">
        <v>63357</v>
      </c>
      <c r="D164" s="1">
        <v>10.3</v>
      </c>
      <c r="E164">
        <v>7</v>
      </c>
      <c r="F164" s="2">
        <v>-2.1</v>
      </c>
      <c r="G164" t="str">
        <f t="shared" si="2"/>
        <v/>
      </c>
    </row>
    <row r="165" spans="1:7" x14ac:dyDescent="0.25">
      <c r="A165" t="s">
        <v>181</v>
      </c>
      <c r="B165" t="s">
        <v>22</v>
      </c>
      <c r="C165">
        <v>349440</v>
      </c>
      <c r="D165" s="1">
        <v>10.9</v>
      </c>
      <c r="E165">
        <v>9.5</v>
      </c>
      <c r="F165" s="2">
        <v>-2.2999999999999998</v>
      </c>
      <c r="G165" t="str">
        <f t="shared" si="2"/>
        <v/>
      </c>
    </row>
    <row r="166" spans="1:7" x14ac:dyDescent="0.25">
      <c r="A166" t="s">
        <v>182</v>
      </c>
      <c r="B166" t="s">
        <v>13</v>
      </c>
      <c r="C166">
        <v>74893</v>
      </c>
      <c r="D166" s="1">
        <v>11</v>
      </c>
      <c r="E166">
        <v>10.6</v>
      </c>
      <c r="F166" s="2">
        <v>-1.5</v>
      </c>
      <c r="G166" t="str">
        <f t="shared" si="2"/>
        <v/>
      </c>
    </row>
    <row r="167" spans="1:7" x14ac:dyDescent="0.25">
      <c r="A167" t="s">
        <v>183</v>
      </c>
      <c r="B167" t="s">
        <v>29</v>
      </c>
      <c r="C167">
        <v>84556</v>
      </c>
      <c r="D167" s="1">
        <v>11.1</v>
      </c>
      <c r="E167">
        <v>7.7</v>
      </c>
      <c r="F167" s="2">
        <v>-1.8</v>
      </c>
      <c r="G167" t="str">
        <f t="shared" si="2"/>
        <v/>
      </c>
    </row>
    <row r="168" spans="1:7" x14ac:dyDescent="0.25">
      <c r="A168" t="s">
        <v>184</v>
      </c>
      <c r="B168" t="s">
        <v>11</v>
      </c>
      <c r="C168">
        <v>176457</v>
      </c>
      <c r="D168" s="1">
        <v>11.2</v>
      </c>
      <c r="E168">
        <v>8.1</v>
      </c>
      <c r="F168" s="2">
        <v>-1</v>
      </c>
      <c r="G168" t="str">
        <f t="shared" si="2"/>
        <v/>
      </c>
    </row>
    <row r="169" spans="1:7" x14ac:dyDescent="0.25">
      <c r="A169" t="s">
        <v>185</v>
      </c>
      <c r="B169" t="s">
        <v>35</v>
      </c>
      <c r="C169">
        <v>125792</v>
      </c>
      <c r="D169" s="1">
        <v>9.4</v>
      </c>
      <c r="E169">
        <v>8.6999999999999993</v>
      </c>
      <c r="F169" s="2">
        <v>-3.4</v>
      </c>
      <c r="G169" t="str">
        <f t="shared" si="2"/>
        <v/>
      </c>
    </row>
    <row r="170" spans="1:7" x14ac:dyDescent="0.25">
      <c r="A170" t="s">
        <v>186</v>
      </c>
      <c r="B170" t="s">
        <v>17</v>
      </c>
      <c r="C170">
        <v>53837</v>
      </c>
      <c r="D170" s="1">
        <v>11.3</v>
      </c>
      <c r="E170">
        <v>7.1</v>
      </c>
      <c r="F170" s="2">
        <v>-7.6</v>
      </c>
      <c r="G170">
        <f t="shared" si="2"/>
        <v>1</v>
      </c>
    </row>
    <row r="171" spans="1:7" x14ac:dyDescent="0.25">
      <c r="A171" t="s">
        <v>187</v>
      </c>
      <c r="B171" t="s">
        <v>13</v>
      </c>
      <c r="C171">
        <v>58519</v>
      </c>
      <c r="D171" s="1">
        <v>10.4</v>
      </c>
      <c r="E171">
        <v>11.4</v>
      </c>
      <c r="F171" s="2">
        <v>-3.8</v>
      </c>
      <c r="G171" t="str">
        <f t="shared" si="2"/>
        <v/>
      </c>
    </row>
    <row r="172" spans="1:7" x14ac:dyDescent="0.25">
      <c r="A172" t="s">
        <v>188</v>
      </c>
      <c r="B172" t="s">
        <v>15</v>
      </c>
      <c r="C172">
        <v>77810</v>
      </c>
      <c r="D172" s="1">
        <v>10.6</v>
      </c>
      <c r="E172">
        <v>11.1</v>
      </c>
      <c r="F172" s="2">
        <v>-2.7</v>
      </c>
      <c r="G172" t="str">
        <f t="shared" si="2"/>
        <v/>
      </c>
    </row>
    <row r="173" spans="1:7" x14ac:dyDescent="0.25">
      <c r="A173" t="s">
        <v>189</v>
      </c>
      <c r="B173" t="s">
        <v>17</v>
      </c>
      <c r="C173">
        <v>126542</v>
      </c>
      <c r="D173" s="1">
        <v>11</v>
      </c>
      <c r="E173">
        <v>9.5</v>
      </c>
      <c r="F173" s="2">
        <v>-3.2</v>
      </c>
      <c r="G173">
        <f t="shared" si="2"/>
        <v>1</v>
      </c>
    </row>
    <row r="174" spans="1:7" x14ac:dyDescent="0.25">
      <c r="A174" t="s">
        <v>190</v>
      </c>
      <c r="B174" t="s">
        <v>46</v>
      </c>
      <c r="C174">
        <v>554221</v>
      </c>
      <c r="D174" s="1">
        <v>11.3</v>
      </c>
      <c r="E174">
        <v>10.1</v>
      </c>
      <c r="F174" s="2">
        <v>-5.3</v>
      </c>
      <c r="G174" t="str">
        <f t="shared" si="2"/>
        <v/>
      </c>
    </row>
    <row r="175" spans="1:7" x14ac:dyDescent="0.25">
      <c r="A175" t="s">
        <v>191</v>
      </c>
      <c r="B175" t="s">
        <v>26</v>
      </c>
      <c r="C175">
        <v>66389</v>
      </c>
      <c r="D175" s="1">
        <v>10</v>
      </c>
      <c r="E175">
        <v>9.6999999999999993</v>
      </c>
      <c r="F175" s="2">
        <v>-4.0999999999999996</v>
      </c>
      <c r="G175" t="str">
        <f t="shared" si="2"/>
        <v/>
      </c>
    </row>
    <row r="176" spans="1:7" x14ac:dyDescent="0.25">
      <c r="A176" t="s">
        <v>192</v>
      </c>
      <c r="B176" t="s">
        <v>17</v>
      </c>
      <c r="C176">
        <v>223397</v>
      </c>
      <c r="D176" s="1">
        <v>10.8</v>
      </c>
      <c r="E176">
        <v>10</v>
      </c>
      <c r="F176" s="2">
        <v>-4.4000000000000004</v>
      </c>
      <c r="G176">
        <f t="shared" si="2"/>
        <v>1</v>
      </c>
    </row>
    <row r="177" spans="1:7" x14ac:dyDescent="0.25">
      <c r="A177" t="s">
        <v>193</v>
      </c>
      <c r="B177" t="s">
        <v>13</v>
      </c>
      <c r="C177">
        <v>143394</v>
      </c>
      <c r="D177" s="1">
        <v>10.9</v>
      </c>
      <c r="E177">
        <v>11.4</v>
      </c>
      <c r="F177" s="2">
        <v>-4</v>
      </c>
      <c r="G177" t="str">
        <f t="shared" si="2"/>
        <v/>
      </c>
    </row>
    <row r="178" spans="1:7" x14ac:dyDescent="0.25">
      <c r="A178" t="s">
        <v>194</v>
      </c>
      <c r="B178" t="s">
        <v>13</v>
      </c>
      <c r="C178">
        <v>141372</v>
      </c>
      <c r="D178" s="1">
        <v>11.6</v>
      </c>
      <c r="E178">
        <v>8.6</v>
      </c>
      <c r="F178" s="2">
        <v>-1.3</v>
      </c>
      <c r="G178" t="str">
        <f t="shared" si="2"/>
        <v/>
      </c>
    </row>
    <row r="179" spans="1:7" x14ac:dyDescent="0.25">
      <c r="A179" t="s">
        <v>195</v>
      </c>
      <c r="B179" t="s">
        <v>26</v>
      </c>
      <c r="C179">
        <v>172770</v>
      </c>
      <c r="D179" s="1">
        <v>11.1</v>
      </c>
      <c r="E179">
        <v>8.6</v>
      </c>
      <c r="F179" s="2">
        <v>-0.4</v>
      </c>
      <c r="G179" t="str">
        <f t="shared" si="2"/>
        <v/>
      </c>
    </row>
    <row r="180" spans="1:7" x14ac:dyDescent="0.25">
      <c r="A180" t="s">
        <v>196</v>
      </c>
      <c r="B180" t="s">
        <v>17</v>
      </c>
      <c r="C180">
        <v>77319</v>
      </c>
      <c r="D180" s="1">
        <v>11.8</v>
      </c>
      <c r="E180">
        <v>7.9</v>
      </c>
      <c r="F180" s="2">
        <v>-2.1</v>
      </c>
      <c r="G180">
        <f t="shared" si="2"/>
        <v>1</v>
      </c>
    </row>
    <row r="181" spans="1:7" x14ac:dyDescent="0.25">
      <c r="A181" t="s">
        <v>197</v>
      </c>
      <c r="B181" t="s">
        <v>13</v>
      </c>
      <c r="C181">
        <v>70712</v>
      </c>
      <c r="D181" s="1">
        <v>10.199999999999999</v>
      </c>
      <c r="E181">
        <v>12.7</v>
      </c>
      <c r="F181" s="2">
        <v>-3.3</v>
      </c>
      <c r="G181" t="str">
        <f t="shared" si="2"/>
        <v/>
      </c>
    </row>
    <row r="182" spans="1:7" x14ac:dyDescent="0.25">
      <c r="A182" t="s">
        <v>198</v>
      </c>
      <c r="B182" t="s">
        <v>15</v>
      </c>
      <c r="C182">
        <v>48958</v>
      </c>
      <c r="D182" s="1">
        <v>11</v>
      </c>
      <c r="E182">
        <v>8.6</v>
      </c>
      <c r="F182" s="2">
        <v>-1.6</v>
      </c>
      <c r="G182" t="str">
        <f t="shared" si="2"/>
        <v/>
      </c>
    </row>
    <row r="183" spans="1:7" x14ac:dyDescent="0.25">
      <c r="A183" t="s">
        <v>199</v>
      </c>
      <c r="B183" t="s">
        <v>42</v>
      </c>
      <c r="C183">
        <v>97087</v>
      </c>
      <c r="D183" s="1">
        <v>9.1999999999999993</v>
      </c>
      <c r="E183">
        <v>9.8000000000000007</v>
      </c>
      <c r="F183" s="2">
        <v>-2.9</v>
      </c>
      <c r="G183" t="str">
        <f t="shared" si="2"/>
        <v/>
      </c>
    </row>
    <row r="184" spans="1:7" x14ac:dyDescent="0.25">
      <c r="A184" t="s">
        <v>200</v>
      </c>
      <c r="B184" t="s">
        <v>42</v>
      </c>
      <c r="C184">
        <v>38460</v>
      </c>
      <c r="D184" s="1">
        <v>7.7</v>
      </c>
      <c r="E184">
        <v>13</v>
      </c>
      <c r="F184" s="2">
        <v>-3.5</v>
      </c>
      <c r="G184" t="str">
        <f t="shared" si="2"/>
        <v/>
      </c>
    </row>
    <row r="185" spans="1:7" x14ac:dyDescent="0.25">
      <c r="A185" t="s">
        <v>201</v>
      </c>
      <c r="B185" t="s">
        <v>13</v>
      </c>
      <c r="C185">
        <v>219300</v>
      </c>
      <c r="D185" s="1">
        <v>9</v>
      </c>
      <c r="E185">
        <v>11.8</v>
      </c>
      <c r="F185" s="2">
        <v>-4.8</v>
      </c>
      <c r="G185" t="str">
        <f t="shared" si="2"/>
        <v/>
      </c>
    </row>
    <row r="186" spans="1:7" x14ac:dyDescent="0.25">
      <c r="A186" t="s">
        <v>202</v>
      </c>
      <c r="B186" t="s">
        <v>9</v>
      </c>
      <c r="C186">
        <v>69499</v>
      </c>
      <c r="D186" s="1">
        <v>10.4</v>
      </c>
      <c r="E186">
        <v>7</v>
      </c>
      <c r="F186" s="2">
        <v>-2.1</v>
      </c>
      <c r="G186" t="str">
        <f t="shared" si="2"/>
        <v/>
      </c>
    </row>
    <row r="187" spans="1:7" x14ac:dyDescent="0.25">
      <c r="A187" t="s">
        <v>203</v>
      </c>
      <c r="B187" t="s">
        <v>13</v>
      </c>
      <c r="C187">
        <v>54091</v>
      </c>
      <c r="D187" s="1">
        <v>10.199999999999999</v>
      </c>
      <c r="E187">
        <v>11.8</v>
      </c>
      <c r="F187" s="2">
        <v>-3.5</v>
      </c>
      <c r="G187" t="str">
        <f t="shared" si="2"/>
        <v/>
      </c>
    </row>
    <row r="188" spans="1:7" x14ac:dyDescent="0.25">
      <c r="A188" t="s">
        <v>204</v>
      </c>
      <c r="B188" t="s">
        <v>19</v>
      </c>
      <c r="C188">
        <v>40765</v>
      </c>
      <c r="D188" s="1">
        <v>8.4</v>
      </c>
      <c r="E188">
        <v>9</v>
      </c>
      <c r="F188" s="2">
        <v>0.5</v>
      </c>
      <c r="G188" t="str">
        <f t="shared" si="2"/>
        <v/>
      </c>
    </row>
    <row r="189" spans="1:7" x14ac:dyDescent="0.25">
      <c r="A189" t="s">
        <v>205</v>
      </c>
      <c r="B189" t="s">
        <v>19</v>
      </c>
      <c r="C189">
        <v>406307</v>
      </c>
      <c r="D189" s="1">
        <v>9.6999999999999993</v>
      </c>
      <c r="E189">
        <v>10.9</v>
      </c>
      <c r="F189" s="2">
        <v>-0.9</v>
      </c>
      <c r="G189" t="str">
        <f t="shared" si="2"/>
        <v/>
      </c>
    </row>
    <row r="190" spans="1:7" x14ac:dyDescent="0.25">
      <c r="A190" t="s">
        <v>206</v>
      </c>
      <c r="B190" t="s">
        <v>26</v>
      </c>
      <c r="C190">
        <v>49419</v>
      </c>
      <c r="D190" s="1">
        <v>8.4</v>
      </c>
      <c r="E190">
        <v>7.2</v>
      </c>
      <c r="F190" s="2">
        <v>-5</v>
      </c>
      <c r="G190" t="str">
        <f t="shared" si="2"/>
        <v/>
      </c>
    </row>
    <row r="191" spans="1:7" x14ac:dyDescent="0.25">
      <c r="A191" t="s">
        <v>207</v>
      </c>
      <c r="B191" t="s">
        <v>29</v>
      </c>
      <c r="C191">
        <v>115158</v>
      </c>
      <c r="D191" s="1">
        <v>9</v>
      </c>
      <c r="E191">
        <v>8.5</v>
      </c>
      <c r="F191" s="2">
        <v>-3.1</v>
      </c>
      <c r="G191" t="str">
        <f t="shared" si="2"/>
        <v/>
      </c>
    </row>
    <row r="192" spans="1:7" x14ac:dyDescent="0.25">
      <c r="A192" t="s">
        <v>208</v>
      </c>
      <c r="B192" t="s">
        <v>7</v>
      </c>
      <c r="C192">
        <v>205718</v>
      </c>
      <c r="D192" s="1">
        <v>10.8</v>
      </c>
      <c r="E192">
        <v>9.1999999999999993</v>
      </c>
      <c r="F192" s="2">
        <v>-3</v>
      </c>
      <c r="G192" t="str">
        <f t="shared" si="2"/>
        <v/>
      </c>
    </row>
    <row r="193" spans="1:7" x14ac:dyDescent="0.25">
      <c r="A193" t="s">
        <v>209</v>
      </c>
      <c r="B193" t="s">
        <v>13</v>
      </c>
      <c r="C193">
        <v>129449</v>
      </c>
      <c r="D193" s="1">
        <v>11</v>
      </c>
      <c r="E193">
        <v>8.3000000000000007</v>
      </c>
      <c r="F193" s="2">
        <v>-2.7</v>
      </c>
      <c r="G193" t="str">
        <f t="shared" si="2"/>
        <v/>
      </c>
    </row>
    <row r="194" spans="1:7" x14ac:dyDescent="0.25">
      <c r="A194" t="s">
        <v>210</v>
      </c>
      <c r="B194" t="s">
        <v>7</v>
      </c>
      <c r="C194">
        <v>117402</v>
      </c>
      <c r="D194" s="1">
        <v>9.6</v>
      </c>
      <c r="E194">
        <v>10.4</v>
      </c>
      <c r="F194" s="2">
        <v>-3.4</v>
      </c>
      <c r="G194" t="str">
        <f t="shared" si="2"/>
        <v/>
      </c>
    </row>
    <row r="195" spans="1:7" x14ac:dyDescent="0.25">
      <c r="A195" t="s">
        <v>211</v>
      </c>
      <c r="B195" t="s">
        <v>31</v>
      </c>
      <c r="C195">
        <v>632146</v>
      </c>
      <c r="D195" s="1">
        <v>10.199999999999999</v>
      </c>
      <c r="E195">
        <v>11</v>
      </c>
      <c r="F195" s="2">
        <v>1.3</v>
      </c>
      <c r="G195" t="str">
        <f t="shared" ref="G195:G258" si="3">IF(AND(B195="mazowieckie", F195&lt;0), 1, "")</f>
        <v/>
      </c>
    </row>
    <row r="196" spans="1:7" x14ac:dyDescent="0.25">
      <c r="A196" t="s">
        <v>212</v>
      </c>
      <c r="B196" t="s">
        <v>13</v>
      </c>
      <c r="C196">
        <v>187674</v>
      </c>
      <c r="D196" s="1">
        <v>9.6</v>
      </c>
      <c r="E196">
        <v>9.3000000000000007</v>
      </c>
      <c r="F196" s="2">
        <v>-3.7</v>
      </c>
      <c r="G196" t="str">
        <f t="shared" si="3"/>
        <v/>
      </c>
    </row>
    <row r="197" spans="1:7" x14ac:dyDescent="0.25">
      <c r="A197" t="s">
        <v>213</v>
      </c>
      <c r="B197" t="s">
        <v>22</v>
      </c>
      <c r="C197">
        <v>66557</v>
      </c>
      <c r="D197" s="1">
        <v>10.8</v>
      </c>
      <c r="E197">
        <v>7.8</v>
      </c>
      <c r="F197" s="2">
        <v>-3.1</v>
      </c>
      <c r="G197" t="str">
        <f t="shared" si="3"/>
        <v/>
      </c>
    </row>
    <row r="198" spans="1:7" x14ac:dyDescent="0.25">
      <c r="A198" t="s">
        <v>214</v>
      </c>
      <c r="B198" t="s">
        <v>75</v>
      </c>
      <c r="C198">
        <v>117503</v>
      </c>
      <c r="D198" s="1">
        <v>10.8</v>
      </c>
      <c r="E198">
        <v>9.9</v>
      </c>
      <c r="F198" s="2">
        <v>0.2</v>
      </c>
      <c r="G198" t="str">
        <f t="shared" si="3"/>
        <v/>
      </c>
    </row>
    <row r="199" spans="1:7" x14ac:dyDescent="0.25">
      <c r="A199" t="s">
        <v>215</v>
      </c>
      <c r="B199" t="s">
        <v>13</v>
      </c>
      <c r="C199">
        <v>62022</v>
      </c>
      <c r="D199" s="1">
        <v>12.3</v>
      </c>
      <c r="E199">
        <v>6.6</v>
      </c>
      <c r="F199" s="2">
        <v>-6.9</v>
      </c>
      <c r="G199" t="str">
        <f t="shared" si="3"/>
        <v/>
      </c>
    </row>
    <row r="200" spans="1:7" x14ac:dyDescent="0.25">
      <c r="A200" t="s">
        <v>216</v>
      </c>
      <c r="B200" t="s">
        <v>17</v>
      </c>
      <c r="C200">
        <v>46068</v>
      </c>
      <c r="D200" s="1">
        <v>13</v>
      </c>
      <c r="E200">
        <v>12.5</v>
      </c>
      <c r="F200" s="2">
        <v>-2.8</v>
      </c>
      <c r="G200">
        <f t="shared" si="3"/>
        <v>1</v>
      </c>
    </row>
    <row r="201" spans="1:7" x14ac:dyDescent="0.25">
      <c r="A201" t="s">
        <v>217</v>
      </c>
      <c r="B201" t="s">
        <v>42</v>
      </c>
      <c r="C201">
        <v>62842</v>
      </c>
      <c r="D201" s="1">
        <v>11.3</v>
      </c>
      <c r="E201">
        <v>9.4</v>
      </c>
      <c r="F201" s="2">
        <v>1</v>
      </c>
      <c r="G201" t="str">
        <f t="shared" si="3"/>
        <v/>
      </c>
    </row>
    <row r="202" spans="1:7" x14ac:dyDescent="0.25">
      <c r="A202" t="s">
        <v>218</v>
      </c>
      <c r="B202" t="s">
        <v>29</v>
      </c>
      <c r="C202">
        <v>50114</v>
      </c>
      <c r="D202" s="1">
        <v>10.3</v>
      </c>
      <c r="E202">
        <v>14.5</v>
      </c>
      <c r="F202" s="2">
        <v>0.3</v>
      </c>
      <c r="G202" t="str">
        <f t="shared" si="3"/>
        <v/>
      </c>
    </row>
    <row r="203" spans="1:7" x14ac:dyDescent="0.25">
      <c r="A203" t="s">
        <v>219</v>
      </c>
      <c r="B203" t="s">
        <v>46</v>
      </c>
      <c r="C203">
        <v>36646</v>
      </c>
      <c r="D203" s="1">
        <v>12.8</v>
      </c>
      <c r="E203">
        <v>9.9</v>
      </c>
      <c r="F203" s="2">
        <v>-1</v>
      </c>
      <c r="G203" t="str">
        <f t="shared" si="3"/>
        <v/>
      </c>
    </row>
    <row r="204" spans="1:7" x14ac:dyDescent="0.25">
      <c r="A204" t="s">
        <v>220</v>
      </c>
      <c r="B204" t="s">
        <v>75</v>
      </c>
      <c r="C204">
        <v>58250</v>
      </c>
      <c r="D204" s="1">
        <v>11.3</v>
      </c>
      <c r="E204">
        <v>9.4</v>
      </c>
      <c r="F204" s="2">
        <v>-2.4</v>
      </c>
      <c r="G204" t="str">
        <f t="shared" si="3"/>
        <v/>
      </c>
    </row>
    <row r="205" spans="1:7" x14ac:dyDescent="0.25">
      <c r="A205" t="s">
        <v>221</v>
      </c>
      <c r="B205" t="s">
        <v>26</v>
      </c>
      <c r="C205">
        <v>133986</v>
      </c>
      <c r="D205" s="1">
        <v>11.1</v>
      </c>
      <c r="E205">
        <v>8.1999999999999993</v>
      </c>
      <c r="F205" s="2">
        <v>-0.8</v>
      </c>
      <c r="G205" t="str">
        <f t="shared" si="3"/>
        <v/>
      </c>
    </row>
    <row r="206" spans="1:7" x14ac:dyDescent="0.25">
      <c r="A206" t="s">
        <v>222</v>
      </c>
      <c r="B206" t="s">
        <v>13</v>
      </c>
      <c r="C206">
        <v>92655</v>
      </c>
      <c r="D206" s="1">
        <v>11.5</v>
      </c>
      <c r="E206">
        <v>9.1999999999999993</v>
      </c>
      <c r="F206" s="2">
        <v>4.8</v>
      </c>
      <c r="G206" t="str">
        <f t="shared" si="3"/>
        <v/>
      </c>
    </row>
    <row r="207" spans="1:7" x14ac:dyDescent="0.25">
      <c r="A207" t="s">
        <v>223</v>
      </c>
      <c r="B207" t="s">
        <v>31</v>
      </c>
      <c r="C207">
        <v>37036</v>
      </c>
      <c r="D207" s="1">
        <v>12.9</v>
      </c>
      <c r="E207">
        <v>10</v>
      </c>
      <c r="F207" s="2">
        <v>-0.7</v>
      </c>
      <c r="G207" t="str">
        <f t="shared" si="3"/>
        <v/>
      </c>
    </row>
    <row r="208" spans="1:7" x14ac:dyDescent="0.25">
      <c r="A208" t="s">
        <v>224</v>
      </c>
      <c r="B208" t="s">
        <v>17</v>
      </c>
      <c r="C208">
        <v>144294</v>
      </c>
      <c r="D208" s="1">
        <v>12.7</v>
      </c>
      <c r="E208">
        <v>10.5</v>
      </c>
      <c r="F208" s="2">
        <v>5</v>
      </c>
      <c r="G208" t="str">
        <f t="shared" si="3"/>
        <v/>
      </c>
    </row>
    <row r="209" spans="1:7" x14ac:dyDescent="0.25">
      <c r="A209" t="s">
        <v>225</v>
      </c>
      <c r="B209" t="s">
        <v>17</v>
      </c>
      <c r="C209">
        <v>72713</v>
      </c>
      <c r="D209" s="1">
        <v>11.3</v>
      </c>
      <c r="E209">
        <v>11.4</v>
      </c>
      <c r="F209" s="2">
        <v>-1.4</v>
      </c>
      <c r="G209">
        <f t="shared" si="3"/>
        <v>1</v>
      </c>
    </row>
    <row r="210" spans="1:7" x14ac:dyDescent="0.25">
      <c r="A210" t="s">
        <v>226</v>
      </c>
      <c r="B210" t="s">
        <v>7</v>
      </c>
      <c r="C210">
        <v>46877</v>
      </c>
      <c r="D210" s="1">
        <v>10.199999999999999</v>
      </c>
      <c r="E210">
        <v>9.6999999999999993</v>
      </c>
      <c r="F210" s="2">
        <v>-2.2999999999999998</v>
      </c>
      <c r="G210" t="str">
        <f t="shared" si="3"/>
        <v/>
      </c>
    </row>
    <row r="211" spans="1:7" x14ac:dyDescent="0.25">
      <c r="A211" t="s">
        <v>227</v>
      </c>
      <c r="B211" t="s">
        <v>9</v>
      </c>
      <c r="C211">
        <v>42212</v>
      </c>
      <c r="D211" s="1">
        <v>8.3000000000000007</v>
      </c>
      <c r="E211">
        <v>12.4</v>
      </c>
      <c r="F211" s="2">
        <v>-3.5</v>
      </c>
      <c r="G211" t="str">
        <f t="shared" si="3"/>
        <v/>
      </c>
    </row>
    <row r="212" spans="1:7" x14ac:dyDescent="0.25">
      <c r="A212" t="s">
        <v>228</v>
      </c>
      <c r="B212" t="s">
        <v>11</v>
      </c>
      <c r="C212">
        <v>50169</v>
      </c>
      <c r="D212" s="1">
        <v>11.2</v>
      </c>
      <c r="E212">
        <v>8.8000000000000007</v>
      </c>
      <c r="F212" s="2">
        <v>-2.2000000000000002</v>
      </c>
      <c r="G212" t="str">
        <f t="shared" si="3"/>
        <v/>
      </c>
    </row>
    <row r="213" spans="1:7" x14ac:dyDescent="0.25">
      <c r="A213" t="s">
        <v>229</v>
      </c>
      <c r="B213" t="s">
        <v>17</v>
      </c>
      <c r="C213">
        <v>1714446</v>
      </c>
      <c r="D213" s="1">
        <v>11.1</v>
      </c>
      <c r="E213">
        <v>10.7</v>
      </c>
      <c r="F213" s="2">
        <v>2.2999999999999998</v>
      </c>
      <c r="G213" t="str">
        <f t="shared" si="3"/>
        <v/>
      </c>
    </row>
    <row r="214" spans="1:7" x14ac:dyDescent="0.25">
      <c r="A214" t="s">
        <v>230</v>
      </c>
      <c r="B214" t="s">
        <v>29</v>
      </c>
      <c r="C214">
        <v>119975</v>
      </c>
      <c r="D214" s="1">
        <v>13.2</v>
      </c>
      <c r="E214">
        <v>8.1999999999999993</v>
      </c>
      <c r="F214" s="2">
        <v>2.4</v>
      </c>
      <c r="G214" t="str">
        <f t="shared" si="3"/>
        <v/>
      </c>
    </row>
    <row r="215" spans="1:7" x14ac:dyDescent="0.25">
      <c r="A215" t="s">
        <v>231</v>
      </c>
      <c r="B215" t="s">
        <v>19</v>
      </c>
      <c r="C215">
        <v>67074</v>
      </c>
      <c r="D215" s="1">
        <v>10.7</v>
      </c>
      <c r="E215">
        <v>9.6999999999999993</v>
      </c>
      <c r="F215" s="2">
        <v>-0.9</v>
      </c>
      <c r="G215" t="str">
        <f t="shared" si="3"/>
        <v/>
      </c>
    </row>
    <row r="216" spans="1:7" x14ac:dyDescent="0.25">
      <c r="A216" t="s">
        <v>232</v>
      </c>
      <c r="B216" t="s">
        <v>13</v>
      </c>
      <c r="C216">
        <v>71517</v>
      </c>
      <c r="D216" s="1">
        <v>9.8000000000000007</v>
      </c>
      <c r="E216">
        <v>12.1</v>
      </c>
      <c r="F216" s="2">
        <v>0.8</v>
      </c>
      <c r="G216" t="str">
        <f t="shared" si="3"/>
        <v/>
      </c>
    </row>
    <row r="217" spans="1:7" x14ac:dyDescent="0.25">
      <c r="A217" t="s">
        <v>233</v>
      </c>
      <c r="B217" t="s">
        <v>7</v>
      </c>
      <c r="C217">
        <v>85397</v>
      </c>
      <c r="D217" s="1">
        <v>12.7</v>
      </c>
      <c r="E217">
        <v>8.5</v>
      </c>
      <c r="F217" s="2">
        <v>-1.6</v>
      </c>
      <c r="G217" t="str">
        <f t="shared" si="3"/>
        <v/>
      </c>
    </row>
    <row r="218" spans="1:7" x14ac:dyDescent="0.25">
      <c r="A218" t="s">
        <v>234</v>
      </c>
      <c r="B218" t="s">
        <v>35</v>
      </c>
      <c r="C218">
        <v>43814</v>
      </c>
      <c r="D218" s="1">
        <v>10.8</v>
      </c>
      <c r="E218">
        <v>9.1</v>
      </c>
      <c r="F218" s="2">
        <v>-2.7</v>
      </c>
      <c r="G218" t="str">
        <f t="shared" si="3"/>
        <v/>
      </c>
    </row>
    <row r="219" spans="1:7" x14ac:dyDescent="0.25">
      <c r="A219" t="s">
        <v>235</v>
      </c>
      <c r="B219" t="s">
        <v>11</v>
      </c>
      <c r="C219">
        <v>33444</v>
      </c>
      <c r="D219" s="1">
        <v>11.8</v>
      </c>
      <c r="E219">
        <v>9.9</v>
      </c>
      <c r="F219" s="2">
        <v>-6</v>
      </c>
      <c r="G219" t="str">
        <f t="shared" si="3"/>
        <v/>
      </c>
    </row>
    <row r="220" spans="1:7" x14ac:dyDescent="0.25">
      <c r="A220" t="s">
        <v>236</v>
      </c>
      <c r="B220" t="s">
        <v>26</v>
      </c>
      <c r="C220">
        <v>66947</v>
      </c>
      <c r="D220" s="1">
        <v>8.8000000000000007</v>
      </c>
      <c r="E220">
        <v>9.3000000000000007</v>
      </c>
      <c r="F220" s="2">
        <v>-1.8</v>
      </c>
      <c r="G220" t="str">
        <f t="shared" si="3"/>
        <v/>
      </c>
    </row>
    <row r="221" spans="1:7" x14ac:dyDescent="0.25">
      <c r="A221" t="s">
        <v>237</v>
      </c>
      <c r="B221" t="s">
        <v>17</v>
      </c>
      <c r="C221">
        <v>76583</v>
      </c>
      <c r="D221" s="1">
        <v>11.2</v>
      </c>
      <c r="E221">
        <v>9.5</v>
      </c>
      <c r="F221" s="2">
        <v>2.7</v>
      </c>
      <c r="G221" t="str">
        <f t="shared" si="3"/>
        <v/>
      </c>
    </row>
    <row r="222" spans="1:7" x14ac:dyDescent="0.25">
      <c r="A222" t="s">
        <v>237</v>
      </c>
      <c r="B222" t="s">
        <v>42</v>
      </c>
      <c r="C222">
        <v>35642</v>
      </c>
      <c r="D222" s="1">
        <v>11.8</v>
      </c>
      <c r="E222">
        <v>9.3000000000000007</v>
      </c>
      <c r="F222" s="2">
        <v>-1.6</v>
      </c>
      <c r="G222" t="str">
        <f t="shared" si="3"/>
        <v/>
      </c>
    </row>
    <row r="223" spans="1:7" x14ac:dyDescent="0.25">
      <c r="A223" t="s">
        <v>238</v>
      </c>
      <c r="B223" t="s">
        <v>11</v>
      </c>
      <c r="C223">
        <v>43749</v>
      </c>
      <c r="D223" s="1">
        <v>13</v>
      </c>
      <c r="E223">
        <v>9.1999999999999993</v>
      </c>
      <c r="F223" s="2">
        <v>-2.2000000000000002</v>
      </c>
      <c r="G223" t="str">
        <f t="shared" si="3"/>
        <v/>
      </c>
    </row>
    <row r="224" spans="1:7" x14ac:dyDescent="0.25">
      <c r="A224" t="s">
        <v>239</v>
      </c>
      <c r="B224" t="s">
        <v>29</v>
      </c>
      <c r="C224">
        <v>202701</v>
      </c>
      <c r="D224" s="1">
        <v>13.6</v>
      </c>
      <c r="E224">
        <v>7.5</v>
      </c>
      <c r="F224" s="2">
        <v>0.1</v>
      </c>
      <c r="G224" t="str">
        <f t="shared" si="3"/>
        <v/>
      </c>
    </row>
    <row r="225" spans="1:7" x14ac:dyDescent="0.25">
      <c r="A225" t="s">
        <v>240</v>
      </c>
      <c r="B225" t="s">
        <v>75</v>
      </c>
      <c r="C225">
        <v>86890</v>
      </c>
      <c r="D225" s="1">
        <v>11.9</v>
      </c>
      <c r="E225">
        <v>10.3</v>
      </c>
      <c r="F225" s="2">
        <v>-2</v>
      </c>
      <c r="G225" t="str">
        <f t="shared" si="3"/>
        <v/>
      </c>
    </row>
    <row r="226" spans="1:7" x14ac:dyDescent="0.25">
      <c r="A226" t="s">
        <v>241</v>
      </c>
      <c r="B226" t="s">
        <v>29</v>
      </c>
      <c r="C226">
        <v>185161</v>
      </c>
      <c r="D226" s="1">
        <v>12</v>
      </c>
      <c r="E226">
        <v>7.3</v>
      </c>
      <c r="F226" s="2">
        <v>0.7</v>
      </c>
      <c r="G226" t="str">
        <f t="shared" si="3"/>
        <v/>
      </c>
    </row>
    <row r="227" spans="1:7" x14ac:dyDescent="0.25">
      <c r="A227" t="s">
        <v>242</v>
      </c>
      <c r="B227" t="s">
        <v>46</v>
      </c>
      <c r="C227">
        <v>72725</v>
      </c>
      <c r="D227" s="1">
        <v>13.5</v>
      </c>
      <c r="E227">
        <v>8.9</v>
      </c>
      <c r="F227" s="2">
        <v>-0.9</v>
      </c>
      <c r="G227" t="str">
        <f t="shared" si="3"/>
        <v/>
      </c>
    </row>
    <row r="228" spans="1:7" x14ac:dyDescent="0.25">
      <c r="A228" t="s">
        <v>243</v>
      </c>
      <c r="B228" t="s">
        <v>35</v>
      </c>
      <c r="C228">
        <v>143852</v>
      </c>
      <c r="D228" s="1">
        <v>9.3000000000000007</v>
      </c>
      <c r="E228">
        <v>9.8000000000000007</v>
      </c>
      <c r="F228" s="2">
        <v>-2.1</v>
      </c>
      <c r="G228" t="str">
        <f t="shared" si="3"/>
        <v/>
      </c>
    </row>
    <row r="229" spans="1:7" x14ac:dyDescent="0.25">
      <c r="A229" t="s">
        <v>244</v>
      </c>
      <c r="B229" t="s">
        <v>46</v>
      </c>
      <c r="C229">
        <v>57042</v>
      </c>
      <c r="D229" s="1">
        <v>13.2</v>
      </c>
      <c r="E229">
        <v>8.9</v>
      </c>
      <c r="F229" s="2">
        <v>0.3</v>
      </c>
      <c r="G229" t="str">
        <f t="shared" si="3"/>
        <v/>
      </c>
    </row>
    <row r="230" spans="1:7" x14ac:dyDescent="0.25">
      <c r="A230" t="s">
        <v>245</v>
      </c>
      <c r="B230" t="s">
        <v>31</v>
      </c>
      <c r="C230">
        <v>72357</v>
      </c>
      <c r="D230" s="1">
        <v>11.4</v>
      </c>
      <c r="E230">
        <v>9.1</v>
      </c>
      <c r="F230" s="2">
        <v>4.3</v>
      </c>
      <c r="G230" t="str">
        <f t="shared" si="3"/>
        <v/>
      </c>
    </row>
    <row r="231" spans="1:7" x14ac:dyDescent="0.25">
      <c r="A231" t="s">
        <v>246</v>
      </c>
      <c r="B231" t="s">
        <v>11</v>
      </c>
      <c r="C231">
        <v>34111</v>
      </c>
      <c r="D231" s="1">
        <v>11.4</v>
      </c>
      <c r="E231">
        <v>8.6999999999999993</v>
      </c>
      <c r="F231" s="2">
        <v>-3.4</v>
      </c>
      <c r="G231" t="str">
        <f t="shared" si="3"/>
        <v/>
      </c>
    </row>
    <row r="232" spans="1:7" x14ac:dyDescent="0.25">
      <c r="A232" t="s">
        <v>247</v>
      </c>
      <c r="B232" t="s">
        <v>35</v>
      </c>
      <c r="C232">
        <v>67194</v>
      </c>
      <c r="D232" s="1">
        <v>8.6999999999999993</v>
      </c>
      <c r="E232">
        <v>9.6</v>
      </c>
      <c r="F232" s="2">
        <v>-2.6</v>
      </c>
      <c r="G232" t="str">
        <f t="shared" si="3"/>
        <v/>
      </c>
    </row>
    <row r="233" spans="1:7" x14ac:dyDescent="0.25">
      <c r="A233" t="s">
        <v>248</v>
      </c>
      <c r="B233" t="s">
        <v>31</v>
      </c>
      <c r="C233">
        <v>104047</v>
      </c>
      <c r="D233" s="1">
        <v>11.2</v>
      </c>
      <c r="E233">
        <v>9.6999999999999993</v>
      </c>
      <c r="F233" s="2">
        <v>1.8</v>
      </c>
      <c r="G233" t="str">
        <f t="shared" si="3"/>
        <v/>
      </c>
    </row>
    <row r="234" spans="1:7" x14ac:dyDescent="0.25">
      <c r="A234" t="s">
        <v>249</v>
      </c>
      <c r="B234" t="s">
        <v>29</v>
      </c>
      <c r="C234">
        <v>113893</v>
      </c>
      <c r="D234" s="1">
        <v>9.9</v>
      </c>
      <c r="E234">
        <v>9.4</v>
      </c>
      <c r="F234" s="2">
        <v>-1.7</v>
      </c>
      <c r="G234" t="str">
        <f t="shared" si="3"/>
        <v/>
      </c>
    </row>
    <row r="235" spans="1:7" x14ac:dyDescent="0.25">
      <c r="A235" t="s">
        <v>250</v>
      </c>
      <c r="B235" t="s">
        <v>11</v>
      </c>
      <c r="C235">
        <v>116766</v>
      </c>
      <c r="D235" s="1">
        <v>11.6</v>
      </c>
      <c r="E235">
        <v>9</v>
      </c>
      <c r="F235" s="2">
        <v>6.5</v>
      </c>
      <c r="G235" t="str">
        <f t="shared" si="3"/>
        <v/>
      </c>
    </row>
    <row r="236" spans="1:7" x14ac:dyDescent="0.25">
      <c r="A236" t="s">
        <v>251</v>
      </c>
      <c r="B236" t="s">
        <v>39</v>
      </c>
      <c r="C236">
        <v>55471</v>
      </c>
      <c r="D236" s="1">
        <v>9.5</v>
      </c>
      <c r="E236">
        <v>13.3</v>
      </c>
      <c r="F236" s="2">
        <v>-1.1000000000000001</v>
      </c>
      <c r="G236" t="str">
        <f t="shared" si="3"/>
        <v/>
      </c>
    </row>
    <row r="237" spans="1:7" x14ac:dyDescent="0.25">
      <c r="A237" t="s">
        <v>252</v>
      </c>
      <c r="B237" t="s">
        <v>15</v>
      </c>
      <c r="C237">
        <v>78362</v>
      </c>
      <c r="D237" s="1">
        <v>11.7</v>
      </c>
      <c r="E237">
        <v>10.8</v>
      </c>
      <c r="F237" s="2">
        <v>-2.8</v>
      </c>
      <c r="G237" t="str">
        <f t="shared" si="3"/>
        <v/>
      </c>
    </row>
    <row r="238" spans="1:7" x14ac:dyDescent="0.25">
      <c r="A238" t="s">
        <v>253</v>
      </c>
      <c r="B238" t="s">
        <v>22</v>
      </c>
      <c r="C238">
        <v>62048</v>
      </c>
      <c r="D238" s="1">
        <v>10.4</v>
      </c>
      <c r="E238">
        <v>12.5</v>
      </c>
      <c r="F238" s="2">
        <v>-2.7</v>
      </c>
      <c r="G238" t="str">
        <f t="shared" si="3"/>
        <v/>
      </c>
    </row>
    <row r="239" spans="1:7" x14ac:dyDescent="0.25">
      <c r="A239" t="s">
        <v>253</v>
      </c>
      <c r="B239" t="s">
        <v>35</v>
      </c>
      <c r="C239">
        <v>135010</v>
      </c>
      <c r="D239" s="1">
        <v>8.1</v>
      </c>
      <c r="E239">
        <v>8.4</v>
      </c>
      <c r="F239" s="2">
        <v>2.9</v>
      </c>
      <c r="G239" t="str">
        <f t="shared" si="3"/>
        <v/>
      </c>
    </row>
    <row r="240" spans="1:7" x14ac:dyDescent="0.25">
      <c r="A240" t="s">
        <v>254</v>
      </c>
      <c r="B240" t="s">
        <v>11</v>
      </c>
      <c r="C240">
        <v>104506</v>
      </c>
      <c r="D240" s="1">
        <v>11.6</v>
      </c>
      <c r="E240">
        <v>9.6</v>
      </c>
      <c r="F240" s="2">
        <v>-3.7</v>
      </c>
      <c r="G240" t="str">
        <f t="shared" si="3"/>
        <v/>
      </c>
    </row>
    <row r="241" spans="1:7" x14ac:dyDescent="0.25">
      <c r="A241" t="s">
        <v>255</v>
      </c>
      <c r="B241" t="s">
        <v>17</v>
      </c>
      <c r="C241">
        <v>84578</v>
      </c>
      <c r="D241" s="1">
        <v>12.5</v>
      </c>
      <c r="E241">
        <v>10.3</v>
      </c>
      <c r="F241" s="2">
        <v>1.4</v>
      </c>
      <c r="G241" t="str">
        <f t="shared" si="3"/>
        <v/>
      </c>
    </row>
    <row r="242" spans="1:7" x14ac:dyDescent="0.25">
      <c r="A242" t="s">
        <v>256</v>
      </c>
      <c r="B242" t="s">
        <v>39</v>
      </c>
      <c r="C242">
        <v>114670</v>
      </c>
      <c r="D242" s="1">
        <v>9.3000000000000007</v>
      </c>
      <c r="E242">
        <v>10.8</v>
      </c>
      <c r="F242" s="2">
        <v>-2.1</v>
      </c>
      <c r="G242" t="str">
        <f t="shared" si="3"/>
        <v/>
      </c>
    </row>
    <row r="243" spans="1:7" x14ac:dyDescent="0.25">
      <c r="A243" t="s">
        <v>257</v>
      </c>
      <c r="B243" t="s">
        <v>17</v>
      </c>
      <c r="C243">
        <v>74511</v>
      </c>
      <c r="D243" s="1">
        <v>10.4</v>
      </c>
      <c r="E243">
        <v>11</v>
      </c>
      <c r="F243" s="2">
        <v>-2.9</v>
      </c>
      <c r="G243">
        <f t="shared" si="3"/>
        <v>1</v>
      </c>
    </row>
    <row r="244" spans="1:7" x14ac:dyDescent="0.25">
      <c r="A244" t="s">
        <v>257</v>
      </c>
      <c r="B244" t="s">
        <v>46</v>
      </c>
      <c r="C244">
        <v>159332</v>
      </c>
      <c r="D244" s="1">
        <v>11.5</v>
      </c>
      <c r="E244">
        <v>8.9</v>
      </c>
      <c r="F244" s="2">
        <v>0.2</v>
      </c>
      <c r="G244" t="str">
        <f t="shared" si="3"/>
        <v/>
      </c>
    </row>
    <row r="245" spans="1:7" x14ac:dyDescent="0.25">
      <c r="A245" t="s">
        <v>258</v>
      </c>
      <c r="B245" t="s">
        <v>46</v>
      </c>
      <c r="C245">
        <v>54973</v>
      </c>
      <c r="D245" s="1">
        <v>11.9</v>
      </c>
      <c r="E245">
        <v>10</v>
      </c>
      <c r="F245" s="2">
        <v>1.1000000000000001</v>
      </c>
      <c r="G245" t="str">
        <f t="shared" si="3"/>
        <v/>
      </c>
    </row>
    <row r="246" spans="1:7" x14ac:dyDescent="0.25">
      <c r="A246" t="s">
        <v>259</v>
      </c>
      <c r="B246" t="s">
        <v>29</v>
      </c>
      <c r="C246">
        <v>153602</v>
      </c>
      <c r="D246" s="1">
        <v>10.4</v>
      </c>
      <c r="E246">
        <v>9.1999999999999993</v>
      </c>
      <c r="F246" s="2">
        <v>0</v>
      </c>
      <c r="G246" t="str">
        <f t="shared" si="3"/>
        <v/>
      </c>
    </row>
    <row r="247" spans="1:7" x14ac:dyDescent="0.25">
      <c r="A247" t="s">
        <v>260</v>
      </c>
      <c r="B247" t="s">
        <v>17</v>
      </c>
      <c r="C247">
        <v>119607</v>
      </c>
      <c r="D247" s="1">
        <v>11.5</v>
      </c>
      <c r="E247">
        <v>10</v>
      </c>
      <c r="F247" s="2">
        <v>6.8</v>
      </c>
      <c r="G247" t="str">
        <f t="shared" si="3"/>
        <v/>
      </c>
    </row>
    <row r="248" spans="1:7" x14ac:dyDescent="0.25">
      <c r="A248" t="s">
        <v>261</v>
      </c>
      <c r="B248" t="s">
        <v>15</v>
      </c>
      <c r="C248">
        <v>119060</v>
      </c>
      <c r="D248" s="1">
        <v>9.1</v>
      </c>
      <c r="E248">
        <v>12.4</v>
      </c>
      <c r="F248" s="2">
        <v>2.6</v>
      </c>
      <c r="G248" t="str">
        <f t="shared" si="3"/>
        <v/>
      </c>
    </row>
    <row r="249" spans="1:7" x14ac:dyDescent="0.25">
      <c r="A249" t="s">
        <v>262</v>
      </c>
      <c r="B249" t="s">
        <v>15</v>
      </c>
      <c r="C249">
        <v>52750</v>
      </c>
      <c r="D249" s="1">
        <v>8.6999999999999993</v>
      </c>
      <c r="E249">
        <v>12</v>
      </c>
      <c r="F249" s="2">
        <v>-1.3</v>
      </c>
      <c r="G249" t="str">
        <f t="shared" si="3"/>
        <v/>
      </c>
    </row>
    <row r="250" spans="1:7" x14ac:dyDescent="0.25">
      <c r="A250" t="s">
        <v>263</v>
      </c>
      <c r="B250" t="s">
        <v>22</v>
      </c>
      <c r="C250">
        <v>35921</v>
      </c>
      <c r="D250" s="1">
        <v>11.2</v>
      </c>
      <c r="E250">
        <v>12</v>
      </c>
      <c r="F250" s="2">
        <v>-3.2</v>
      </c>
      <c r="G250" t="str">
        <f t="shared" si="3"/>
        <v/>
      </c>
    </row>
    <row r="251" spans="1:7" x14ac:dyDescent="0.25">
      <c r="A251" t="s">
        <v>264</v>
      </c>
      <c r="B251" t="s">
        <v>17</v>
      </c>
      <c r="C251">
        <v>157392</v>
      </c>
      <c r="D251" s="1">
        <v>12.5</v>
      </c>
      <c r="E251">
        <v>8</v>
      </c>
      <c r="F251" s="2">
        <v>16.899999999999999</v>
      </c>
      <c r="G251" t="str">
        <f t="shared" si="3"/>
        <v/>
      </c>
    </row>
    <row r="252" spans="1:7" x14ac:dyDescent="0.25">
      <c r="A252" t="s">
        <v>265</v>
      </c>
      <c r="B252" t="s">
        <v>46</v>
      </c>
      <c r="C252">
        <v>137562</v>
      </c>
      <c r="D252" s="1">
        <v>11.7</v>
      </c>
      <c r="E252">
        <v>9.1</v>
      </c>
      <c r="F252" s="2">
        <v>-1.9</v>
      </c>
      <c r="G252" t="str">
        <f t="shared" si="3"/>
        <v/>
      </c>
    </row>
    <row r="253" spans="1:7" x14ac:dyDescent="0.25">
      <c r="A253" t="s">
        <v>266</v>
      </c>
      <c r="B253" t="s">
        <v>39</v>
      </c>
      <c r="C253">
        <v>41282</v>
      </c>
      <c r="D253" s="1">
        <v>8.5</v>
      </c>
      <c r="E253">
        <v>12.8</v>
      </c>
      <c r="F253" s="2">
        <v>-3.4</v>
      </c>
      <c r="G253" t="str">
        <f t="shared" si="3"/>
        <v/>
      </c>
    </row>
    <row r="254" spans="1:7" x14ac:dyDescent="0.25">
      <c r="A254" t="s">
        <v>267</v>
      </c>
      <c r="B254" t="s">
        <v>15</v>
      </c>
      <c r="C254">
        <v>90462</v>
      </c>
      <c r="D254" s="1">
        <v>11.6</v>
      </c>
      <c r="E254">
        <v>12.7</v>
      </c>
      <c r="F254" s="2">
        <v>1.6</v>
      </c>
      <c r="G254" t="str">
        <f t="shared" si="3"/>
        <v/>
      </c>
    </row>
    <row r="255" spans="1:7" x14ac:dyDescent="0.25">
      <c r="A255" t="s">
        <v>268</v>
      </c>
      <c r="B255" t="s">
        <v>11</v>
      </c>
      <c r="C255">
        <v>57093</v>
      </c>
      <c r="D255" s="1">
        <v>12.1</v>
      </c>
      <c r="E255">
        <v>8.9</v>
      </c>
      <c r="F255" s="2">
        <v>-5.7</v>
      </c>
      <c r="G255" t="str">
        <f t="shared" si="3"/>
        <v/>
      </c>
    </row>
    <row r="256" spans="1:7" x14ac:dyDescent="0.25">
      <c r="A256" t="s">
        <v>269</v>
      </c>
      <c r="B256" t="s">
        <v>46</v>
      </c>
      <c r="C256">
        <v>62407</v>
      </c>
      <c r="D256" s="1">
        <v>11.2</v>
      </c>
      <c r="E256">
        <v>9.5</v>
      </c>
      <c r="F256" s="2">
        <v>-0.6</v>
      </c>
      <c r="G256" t="str">
        <f t="shared" si="3"/>
        <v/>
      </c>
    </row>
    <row r="257" spans="1:7" x14ac:dyDescent="0.25">
      <c r="A257" t="s">
        <v>270</v>
      </c>
      <c r="B257" t="s">
        <v>17</v>
      </c>
      <c r="C257">
        <v>107471</v>
      </c>
      <c r="D257" s="1">
        <v>11.2</v>
      </c>
      <c r="E257">
        <v>11</v>
      </c>
      <c r="F257" s="2">
        <v>4.2</v>
      </c>
      <c r="G257" t="str">
        <f t="shared" si="3"/>
        <v/>
      </c>
    </row>
    <row r="258" spans="1:7" x14ac:dyDescent="0.25">
      <c r="A258" t="s">
        <v>271</v>
      </c>
      <c r="B258" t="s">
        <v>17</v>
      </c>
      <c r="C258">
        <v>87244</v>
      </c>
      <c r="D258" s="1">
        <v>12.1</v>
      </c>
      <c r="E258">
        <v>12.1</v>
      </c>
      <c r="F258" s="2">
        <v>-0.1</v>
      </c>
      <c r="G258">
        <f t="shared" si="3"/>
        <v>1</v>
      </c>
    </row>
    <row r="259" spans="1:7" x14ac:dyDescent="0.25">
      <c r="A259" t="s">
        <v>272</v>
      </c>
      <c r="B259" t="s">
        <v>15</v>
      </c>
      <c r="C259">
        <v>41618</v>
      </c>
      <c r="D259" s="1">
        <v>10.1</v>
      </c>
      <c r="E259">
        <v>14.1</v>
      </c>
      <c r="F259" s="2">
        <v>-0.7</v>
      </c>
      <c r="G259" t="str">
        <f t="shared" ref="G259:G322" si="4">IF(AND(B259="mazowieckie", F259&lt;0), 1, "")</f>
        <v/>
      </c>
    </row>
    <row r="260" spans="1:7" x14ac:dyDescent="0.25">
      <c r="A260" t="s">
        <v>273</v>
      </c>
      <c r="B260" t="s">
        <v>19</v>
      </c>
      <c r="C260">
        <v>69087</v>
      </c>
      <c r="D260" s="1">
        <v>10.9</v>
      </c>
      <c r="E260">
        <v>6.8</v>
      </c>
      <c r="F260" s="2">
        <v>12.7</v>
      </c>
      <c r="G260" t="str">
        <f t="shared" si="4"/>
        <v/>
      </c>
    </row>
    <row r="261" spans="1:7" x14ac:dyDescent="0.25">
      <c r="A261" t="s">
        <v>274</v>
      </c>
      <c r="B261" t="s">
        <v>31</v>
      </c>
      <c r="C261">
        <v>61622</v>
      </c>
      <c r="D261" s="1">
        <v>12.4</v>
      </c>
      <c r="E261">
        <v>8.6999999999999993</v>
      </c>
      <c r="F261" s="2">
        <v>-1.6</v>
      </c>
      <c r="G261" t="str">
        <f t="shared" si="4"/>
        <v/>
      </c>
    </row>
    <row r="262" spans="1:7" x14ac:dyDescent="0.25">
      <c r="A262" t="s">
        <v>275</v>
      </c>
      <c r="B262" t="s">
        <v>46</v>
      </c>
      <c r="C262">
        <v>319258</v>
      </c>
      <c r="D262" s="1">
        <v>13.1</v>
      </c>
      <c r="E262">
        <v>7.1</v>
      </c>
      <c r="F262" s="2">
        <v>18.899999999999999</v>
      </c>
      <c r="G262" t="str">
        <f t="shared" si="4"/>
        <v/>
      </c>
    </row>
    <row r="263" spans="1:7" x14ac:dyDescent="0.25">
      <c r="A263" t="s">
        <v>276</v>
      </c>
      <c r="B263" t="s">
        <v>29</v>
      </c>
      <c r="C263">
        <v>43419</v>
      </c>
      <c r="D263" s="1">
        <v>10.7</v>
      </c>
      <c r="E263">
        <v>11.5</v>
      </c>
      <c r="F263" s="2">
        <v>1.4</v>
      </c>
      <c r="G263" t="str">
        <f t="shared" si="4"/>
        <v/>
      </c>
    </row>
    <row r="264" spans="1:7" x14ac:dyDescent="0.25">
      <c r="A264" t="s">
        <v>277</v>
      </c>
      <c r="B264" t="s">
        <v>35</v>
      </c>
      <c r="C264">
        <v>58732</v>
      </c>
      <c r="D264" s="1">
        <v>9</v>
      </c>
      <c r="E264">
        <v>11</v>
      </c>
      <c r="F264" s="2">
        <v>-2.9</v>
      </c>
      <c r="G264" t="str">
        <f t="shared" si="4"/>
        <v/>
      </c>
    </row>
    <row r="265" spans="1:7" x14ac:dyDescent="0.25">
      <c r="A265" t="s">
        <v>278</v>
      </c>
      <c r="B265" t="s">
        <v>17</v>
      </c>
      <c r="C265">
        <v>150270</v>
      </c>
      <c r="D265" s="1">
        <v>11.2</v>
      </c>
      <c r="E265">
        <v>9.5</v>
      </c>
      <c r="F265" s="2">
        <v>9.5</v>
      </c>
      <c r="G265" t="str">
        <f t="shared" si="4"/>
        <v/>
      </c>
    </row>
    <row r="266" spans="1:7" x14ac:dyDescent="0.25">
      <c r="A266" t="s">
        <v>279</v>
      </c>
      <c r="B266" t="s">
        <v>17</v>
      </c>
      <c r="C266">
        <v>52389</v>
      </c>
      <c r="D266" s="1">
        <v>11.7</v>
      </c>
      <c r="E266">
        <v>12.1</v>
      </c>
      <c r="F266" s="2">
        <v>-4.2</v>
      </c>
      <c r="G266">
        <f t="shared" si="4"/>
        <v>1</v>
      </c>
    </row>
    <row r="267" spans="1:7" x14ac:dyDescent="0.25">
      <c r="A267" t="s">
        <v>280</v>
      </c>
      <c r="B267" t="s">
        <v>26</v>
      </c>
      <c r="C267">
        <v>71231</v>
      </c>
      <c r="D267" s="1">
        <v>10.7</v>
      </c>
      <c r="E267">
        <v>9.6</v>
      </c>
      <c r="F267" s="2">
        <v>-1</v>
      </c>
      <c r="G267" t="str">
        <f t="shared" si="4"/>
        <v/>
      </c>
    </row>
    <row r="268" spans="1:7" x14ac:dyDescent="0.25">
      <c r="A268" t="s">
        <v>281</v>
      </c>
      <c r="B268" t="s">
        <v>26</v>
      </c>
      <c r="C268">
        <v>78630</v>
      </c>
      <c r="D268" s="1">
        <v>11.4</v>
      </c>
      <c r="E268">
        <v>10.5</v>
      </c>
      <c r="F268" s="2">
        <v>-0.6</v>
      </c>
      <c r="G268" t="str">
        <f t="shared" si="4"/>
        <v/>
      </c>
    </row>
    <row r="269" spans="1:7" x14ac:dyDescent="0.25">
      <c r="A269" t="s">
        <v>282</v>
      </c>
      <c r="B269" t="s">
        <v>17</v>
      </c>
      <c r="C269">
        <v>43064</v>
      </c>
      <c r="D269" s="1">
        <v>11.3</v>
      </c>
      <c r="E269">
        <v>12.9</v>
      </c>
      <c r="F269" s="2">
        <v>-3.7</v>
      </c>
      <c r="G269">
        <f t="shared" si="4"/>
        <v>1</v>
      </c>
    </row>
    <row r="270" spans="1:7" x14ac:dyDescent="0.25">
      <c r="A270" t="s">
        <v>283</v>
      </c>
      <c r="B270" t="s">
        <v>13</v>
      </c>
      <c r="C270">
        <v>106361</v>
      </c>
      <c r="D270" s="1">
        <v>13.3</v>
      </c>
      <c r="E270">
        <v>7.8</v>
      </c>
      <c r="F270" s="2">
        <v>1.1000000000000001</v>
      </c>
      <c r="G270" t="str">
        <f t="shared" si="4"/>
        <v/>
      </c>
    </row>
    <row r="271" spans="1:7" x14ac:dyDescent="0.25">
      <c r="A271" t="s">
        <v>284</v>
      </c>
      <c r="B271" t="s">
        <v>42</v>
      </c>
      <c r="C271">
        <v>77238</v>
      </c>
      <c r="D271" s="1">
        <v>13.3</v>
      </c>
      <c r="E271">
        <v>8.1</v>
      </c>
      <c r="F271" s="2">
        <v>5.2</v>
      </c>
      <c r="G271" t="str">
        <f t="shared" si="4"/>
        <v/>
      </c>
    </row>
    <row r="272" spans="1:7" x14ac:dyDescent="0.25">
      <c r="A272" t="s">
        <v>285</v>
      </c>
      <c r="B272" t="s">
        <v>22</v>
      </c>
      <c r="C272">
        <v>115860</v>
      </c>
      <c r="D272" s="1">
        <v>9.9</v>
      </c>
      <c r="E272">
        <v>11.2</v>
      </c>
      <c r="F272" s="2">
        <v>-1.5</v>
      </c>
      <c r="G272" t="str">
        <f t="shared" si="4"/>
        <v/>
      </c>
    </row>
    <row r="273" spans="1:7" x14ac:dyDescent="0.25">
      <c r="A273" t="s">
        <v>286</v>
      </c>
      <c r="B273" t="s">
        <v>17</v>
      </c>
      <c r="C273">
        <v>50994</v>
      </c>
      <c r="D273" s="1">
        <v>11.8</v>
      </c>
      <c r="E273">
        <v>11.8</v>
      </c>
      <c r="F273" s="2">
        <v>0.6</v>
      </c>
      <c r="G273" t="str">
        <f t="shared" si="4"/>
        <v/>
      </c>
    </row>
    <row r="274" spans="1:7" x14ac:dyDescent="0.25">
      <c r="A274" t="s">
        <v>287</v>
      </c>
      <c r="B274" t="s">
        <v>19</v>
      </c>
      <c r="C274">
        <v>39930</v>
      </c>
      <c r="D274" s="1">
        <v>11.5</v>
      </c>
      <c r="E274">
        <v>9.6999999999999993</v>
      </c>
      <c r="F274" s="2">
        <v>-2.2999999999999998</v>
      </c>
      <c r="G274" t="str">
        <f t="shared" si="4"/>
        <v/>
      </c>
    </row>
    <row r="275" spans="1:7" x14ac:dyDescent="0.25">
      <c r="A275" t="s">
        <v>288</v>
      </c>
      <c r="B275" t="s">
        <v>13</v>
      </c>
      <c r="C275">
        <v>110448</v>
      </c>
      <c r="D275" s="1">
        <v>8.6</v>
      </c>
      <c r="E275">
        <v>9.1999999999999993</v>
      </c>
      <c r="F275" s="2">
        <v>0.7</v>
      </c>
      <c r="G275" t="str">
        <f t="shared" si="4"/>
        <v/>
      </c>
    </row>
    <row r="276" spans="1:7" x14ac:dyDescent="0.25">
      <c r="A276" t="s">
        <v>289</v>
      </c>
      <c r="B276" t="s">
        <v>17</v>
      </c>
      <c r="C276">
        <v>147212</v>
      </c>
      <c r="D276" s="1">
        <v>11.7</v>
      </c>
      <c r="E276">
        <v>9.5</v>
      </c>
      <c r="F276" s="2">
        <v>2.2000000000000002</v>
      </c>
      <c r="G276" t="str">
        <f t="shared" si="4"/>
        <v/>
      </c>
    </row>
    <row r="277" spans="1:7" x14ac:dyDescent="0.25">
      <c r="A277" t="s">
        <v>290</v>
      </c>
      <c r="B277" t="s">
        <v>15</v>
      </c>
      <c r="C277">
        <v>117431</v>
      </c>
      <c r="D277" s="1">
        <v>9.8000000000000007</v>
      </c>
      <c r="E277">
        <v>12.4</v>
      </c>
      <c r="F277" s="2">
        <v>-0.5</v>
      </c>
      <c r="G277" t="str">
        <f t="shared" si="4"/>
        <v/>
      </c>
    </row>
    <row r="278" spans="1:7" x14ac:dyDescent="0.25">
      <c r="A278" t="s">
        <v>291</v>
      </c>
      <c r="B278" t="s">
        <v>7</v>
      </c>
      <c r="C278">
        <v>41793</v>
      </c>
      <c r="D278" s="1">
        <v>10.5</v>
      </c>
      <c r="E278">
        <v>11.1</v>
      </c>
      <c r="F278" s="2">
        <v>-2.4</v>
      </c>
      <c r="G278" t="str">
        <f t="shared" si="4"/>
        <v/>
      </c>
    </row>
    <row r="279" spans="1:7" x14ac:dyDescent="0.25">
      <c r="A279" t="s">
        <v>292</v>
      </c>
      <c r="B279" t="s">
        <v>22</v>
      </c>
      <c r="C279">
        <v>60866</v>
      </c>
      <c r="D279" s="1">
        <v>11.7</v>
      </c>
      <c r="E279">
        <v>10.9</v>
      </c>
      <c r="F279" s="2">
        <v>-4</v>
      </c>
      <c r="G279" t="str">
        <f t="shared" si="4"/>
        <v/>
      </c>
    </row>
    <row r="280" spans="1:7" x14ac:dyDescent="0.25">
      <c r="A280" t="s">
        <v>293</v>
      </c>
      <c r="B280" t="s">
        <v>46</v>
      </c>
      <c r="C280">
        <v>59826</v>
      </c>
      <c r="D280" s="1">
        <v>11.8</v>
      </c>
      <c r="E280">
        <v>10.199999999999999</v>
      </c>
      <c r="F280" s="2">
        <v>0.6</v>
      </c>
      <c r="G280" t="str">
        <f t="shared" si="4"/>
        <v/>
      </c>
    </row>
    <row r="281" spans="1:7" x14ac:dyDescent="0.25">
      <c r="A281" t="s">
        <v>294</v>
      </c>
      <c r="B281" t="s">
        <v>15</v>
      </c>
      <c r="C281">
        <v>49053</v>
      </c>
      <c r="D281" s="1">
        <v>11.4</v>
      </c>
      <c r="E281">
        <v>11.6</v>
      </c>
      <c r="F281" s="2">
        <v>-1.4</v>
      </c>
      <c r="G281" t="str">
        <f t="shared" si="4"/>
        <v/>
      </c>
    </row>
    <row r="282" spans="1:7" x14ac:dyDescent="0.25">
      <c r="A282" t="s">
        <v>295</v>
      </c>
      <c r="B282" t="s">
        <v>26</v>
      </c>
      <c r="C282">
        <v>71751</v>
      </c>
      <c r="D282" s="1">
        <v>11.7</v>
      </c>
      <c r="E282">
        <v>8.1999999999999993</v>
      </c>
      <c r="F282" s="2">
        <v>-0.8</v>
      </c>
      <c r="G282" t="str">
        <f t="shared" si="4"/>
        <v/>
      </c>
    </row>
    <row r="283" spans="1:7" x14ac:dyDescent="0.25">
      <c r="A283" t="s">
        <v>296</v>
      </c>
      <c r="B283" t="s">
        <v>13</v>
      </c>
      <c r="C283">
        <v>74509</v>
      </c>
      <c r="D283" s="1">
        <v>11</v>
      </c>
      <c r="E283">
        <v>9.4</v>
      </c>
      <c r="F283" s="2">
        <v>3.1</v>
      </c>
      <c r="G283" t="str">
        <f t="shared" si="4"/>
        <v/>
      </c>
    </row>
    <row r="284" spans="1:7" x14ac:dyDescent="0.25">
      <c r="A284" t="s">
        <v>297</v>
      </c>
      <c r="B284" t="s">
        <v>22</v>
      </c>
      <c r="C284">
        <v>58342</v>
      </c>
      <c r="D284" s="1">
        <v>11</v>
      </c>
      <c r="E284">
        <v>11.4</v>
      </c>
      <c r="F284" s="2">
        <v>-4.0999999999999996</v>
      </c>
      <c r="G284" t="str">
        <f t="shared" si="4"/>
        <v/>
      </c>
    </row>
    <row r="285" spans="1:7" x14ac:dyDescent="0.25">
      <c r="A285" t="s">
        <v>298</v>
      </c>
      <c r="B285" t="s">
        <v>7</v>
      </c>
      <c r="C285">
        <v>43902</v>
      </c>
      <c r="D285" s="1">
        <v>11.6</v>
      </c>
      <c r="E285">
        <v>11.2</v>
      </c>
      <c r="F285" s="2">
        <v>-3.4</v>
      </c>
      <c r="G285" t="str">
        <f t="shared" si="4"/>
        <v/>
      </c>
    </row>
    <row r="286" spans="1:7" x14ac:dyDescent="0.25">
      <c r="A286" t="s">
        <v>299</v>
      </c>
      <c r="B286" t="s">
        <v>26</v>
      </c>
      <c r="C286">
        <v>164900</v>
      </c>
      <c r="D286" s="1">
        <v>11.2</v>
      </c>
      <c r="E286">
        <v>9.5</v>
      </c>
      <c r="F286" s="2">
        <v>5.4</v>
      </c>
      <c r="G286" t="str">
        <f t="shared" si="4"/>
        <v/>
      </c>
    </row>
    <row r="287" spans="1:7" x14ac:dyDescent="0.25">
      <c r="A287" t="s">
        <v>300</v>
      </c>
      <c r="B287" t="s">
        <v>39</v>
      </c>
      <c r="C287">
        <v>80709</v>
      </c>
      <c r="D287" s="1">
        <v>9.6999999999999993</v>
      </c>
      <c r="E287">
        <v>11.8</v>
      </c>
      <c r="F287" s="2">
        <v>-2.2000000000000002</v>
      </c>
      <c r="G287" t="str">
        <f t="shared" si="4"/>
        <v/>
      </c>
    </row>
    <row r="288" spans="1:7" x14ac:dyDescent="0.25">
      <c r="A288" t="s">
        <v>301</v>
      </c>
      <c r="B288" t="s">
        <v>26</v>
      </c>
      <c r="C288">
        <v>94857</v>
      </c>
      <c r="D288" s="1">
        <v>9.8000000000000007</v>
      </c>
      <c r="E288">
        <v>8.3000000000000007</v>
      </c>
      <c r="F288" s="2">
        <v>-1.5</v>
      </c>
      <c r="G288" t="str">
        <f t="shared" si="4"/>
        <v/>
      </c>
    </row>
    <row r="289" spans="1:7" x14ac:dyDescent="0.25">
      <c r="A289" t="s">
        <v>302</v>
      </c>
      <c r="B289" t="s">
        <v>9</v>
      </c>
      <c r="C289">
        <v>21013</v>
      </c>
      <c r="D289" s="1">
        <v>10.1</v>
      </c>
      <c r="E289">
        <v>11.3</v>
      </c>
      <c r="F289" s="2">
        <v>-2.4</v>
      </c>
      <c r="G289" t="str">
        <f t="shared" si="4"/>
        <v/>
      </c>
    </row>
    <row r="290" spans="1:7" x14ac:dyDescent="0.25">
      <c r="A290" t="s">
        <v>303</v>
      </c>
      <c r="B290" t="s">
        <v>7</v>
      </c>
      <c r="C290">
        <v>41045</v>
      </c>
      <c r="D290" s="1">
        <v>13.4</v>
      </c>
      <c r="E290">
        <v>9.4</v>
      </c>
      <c r="F290" s="2">
        <v>-2.5</v>
      </c>
      <c r="G290" t="str">
        <f t="shared" si="4"/>
        <v/>
      </c>
    </row>
    <row r="291" spans="1:7" x14ac:dyDescent="0.25">
      <c r="A291" t="s">
        <v>304</v>
      </c>
      <c r="B291" t="s">
        <v>17</v>
      </c>
      <c r="C291">
        <v>80509</v>
      </c>
      <c r="D291" s="1">
        <v>10.7</v>
      </c>
      <c r="E291">
        <v>11.6</v>
      </c>
      <c r="F291" s="2">
        <v>0.4</v>
      </c>
      <c r="G291" t="str">
        <f t="shared" si="4"/>
        <v/>
      </c>
    </row>
    <row r="292" spans="1:7" x14ac:dyDescent="0.25">
      <c r="A292" t="s">
        <v>305</v>
      </c>
      <c r="B292" t="s">
        <v>9</v>
      </c>
      <c r="C292">
        <v>47286</v>
      </c>
      <c r="D292" s="1">
        <v>9.3000000000000007</v>
      </c>
      <c r="E292">
        <v>13.2</v>
      </c>
      <c r="F292" s="2">
        <v>-4.2</v>
      </c>
      <c r="G292" t="str">
        <f t="shared" si="4"/>
        <v/>
      </c>
    </row>
    <row r="293" spans="1:7" x14ac:dyDescent="0.25">
      <c r="A293" t="s">
        <v>306</v>
      </c>
      <c r="B293" t="s">
        <v>15</v>
      </c>
      <c r="C293">
        <v>119916</v>
      </c>
      <c r="D293" s="1">
        <v>10.7</v>
      </c>
      <c r="E293">
        <v>11.7</v>
      </c>
      <c r="F293" s="2">
        <v>-1.7</v>
      </c>
      <c r="G293" t="str">
        <f t="shared" si="4"/>
        <v/>
      </c>
    </row>
    <row r="294" spans="1:7" x14ac:dyDescent="0.25">
      <c r="A294" t="s">
        <v>307</v>
      </c>
      <c r="B294" t="s">
        <v>17</v>
      </c>
      <c r="C294">
        <v>53028</v>
      </c>
      <c r="D294" s="1">
        <v>10.3</v>
      </c>
      <c r="E294">
        <v>12.2</v>
      </c>
      <c r="F294" s="2">
        <v>-4.4000000000000004</v>
      </c>
      <c r="G294">
        <f t="shared" si="4"/>
        <v>1</v>
      </c>
    </row>
    <row r="295" spans="1:7" x14ac:dyDescent="0.25">
      <c r="A295" t="s">
        <v>308</v>
      </c>
      <c r="B295" t="s">
        <v>39</v>
      </c>
      <c r="C295">
        <v>78400</v>
      </c>
      <c r="D295" s="1">
        <v>8.9</v>
      </c>
      <c r="E295">
        <v>11</v>
      </c>
      <c r="F295" s="2">
        <v>-3</v>
      </c>
      <c r="G295" t="str">
        <f t="shared" si="4"/>
        <v/>
      </c>
    </row>
    <row r="296" spans="1:7" x14ac:dyDescent="0.25">
      <c r="A296" t="s">
        <v>309</v>
      </c>
      <c r="B296" t="s">
        <v>15</v>
      </c>
      <c r="C296">
        <v>37604</v>
      </c>
      <c r="D296" s="1">
        <v>11.2</v>
      </c>
      <c r="E296">
        <v>13.6</v>
      </c>
      <c r="F296" s="2">
        <v>2.4</v>
      </c>
      <c r="G296" t="str">
        <f t="shared" si="4"/>
        <v/>
      </c>
    </row>
    <row r="297" spans="1:7" x14ac:dyDescent="0.25">
      <c r="A297" t="s">
        <v>310</v>
      </c>
      <c r="B297" t="s">
        <v>19</v>
      </c>
      <c r="C297">
        <v>57298</v>
      </c>
      <c r="D297" s="1">
        <v>10.199999999999999</v>
      </c>
      <c r="E297">
        <v>9.6</v>
      </c>
      <c r="F297" s="2">
        <v>-2.9</v>
      </c>
      <c r="G297" t="str">
        <f t="shared" si="4"/>
        <v/>
      </c>
    </row>
    <row r="298" spans="1:7" x14ac:dyDescent="0.25">
      <c r="A298" t="s">
        <v>311</v>
      </c>
      <c r="B298" t="s">
        <v>75</v>
      </c>
      <c r="C298">
        <v>46413</v>
      </c>
      <c r="D298" s="1">
        <v>12.5</v>
      </c>
      <c r="E298">
        <v>9.6999999999999993</v>
      </c>
      <c r="F298" s="2">
        <v>0.4</v>
      </c>
      <c r="G298" t="str">
        <f t="shared" si="4"/>
        <v/>
      </c>
    </row>
    <row r="299" spans="1:7" x14ac:dyDescent="0.25">
      <c r="A299" t="s">
        <v>312</v>
      </c>
      <c r="B299" t="s">
        <v>46</v>
      </c>
      <c r="C299">
        <v>58516</v>
      </c>
      <c r="D299" s="1">
        <v>11.5</v>
      </c>
      <c r="E299">
        <v>9.6999999999999993</v>
      </c>
      <c r="F299" s="2">
        <v>-2.5</v>
      </c>
      <c r="G299" t="str">
        <f t="shared" si="4"/>
        <v/>
      </c>
    </row>
    <row r="300" spans="1:7" x14ac:dyDescent="0.25">
      <c r="A300" t="s">
        <v>313</v>
      </c>
      <c r="B300" t="s">
        <v>42</v>
      </c>
      <c r="C300">
        <v>93230</v>
      </c>
      <c r="D300" s="1">
        <v>12.1</v>
      </c>
      <c r="E300">
        <v>9</v>
      </c>
      <c r="F300" s="2">
        <v>-0.2</v>
      </c>
      <c r="G300" t="str">
        <f t="shared" si="4"/>
        <v/>
      </c>
    </row>
    <row r="301" spans="1:7" x14ac:dyDescent="0.25">
      <c r="A301" t="s">
        <v>314</v>
      </c>
      <c r="B301" t="s">
        <v>17</v>
      </c>
      <c r="C301">
        <v>83928</v>
      </c>
      <c r="D301" s="1">
        <v>11.5</v>
      </c>
      <c r="E301">
        <v>10.4</v>
      </c>
      <c r="F301" s="2">
        <v>0.8</v>
      </c>
      <c r="G301" t="str">
        <f t="shared" si="4"/>
        <v/>
      </c>
    </row>
    <row r="302" spans="1:7" x14ac:dyDescent="0.25">
      <c r="A302" t="s">
        <v>315</v>
      </c>
      <c r="B302" t="s">
        <v>17</v>
      </c>
      <c r="C302">
        <v>55832</v>
      </c>
      <c r="D302" s="1">
        <v>10.3</v>
      </c>
      <c r="E302">
        <v>13.4</v>
      </c>
      <c r="F302" s="2">
        <v>-3.5</v>
      </c>
      <c r="G302">
        <f t="shared" si="4"/>
        <v>1</v>
      </c>
    </row>
    <row r="303" spans="1:7" x14ac:dyDescent="0.25">
      <c r="A303" t="s">
        <v>316</v>
      </c>
      <c r="B303" t="s">
        <v>9</v>
      </c>
      <c r="C303">
        <v>70517</v>
      </c>
      <c r="D303" s="1">
        <v>9.3000000000000007</v>
      </c>
      <c r="E303">
        <v>12.5</v>
      </c>
      <c r="F303" s="2">
        <v>-4.3</v>
      </c>
      <c r="G303" t="str">
        <f t="shared" si="4"/>
        <v/>
      </c>
    </row>
    <row r="304" spans="1:7" x14ac:dyDescent="0.25">
      <c r="A304" t="s">
        <v>317</v>
      </c>
      <c r="B304" t="s">
        <v>31</v>
      </c>
      <c r="C304">
        <v>50119</v>
      </c>
      <c r="D304" s="1">
        <v>11.4</v>
      </c>
      <c r="E304">
        <v>10.5</v>
      </c>
      <c r="F304" s="2">
        <v>4.8</v>
      </c>
      <c r="G304" t="str">
        <f t="shared" si="4"/>
        <v/>
      </c>
    </row>
    <row r="305" spans="1:7" x14ac:dyDescent="0.25">
      <c r="A305" t="s">
        <v>317</v>
      </c>
      <c r="B305" t="s">
        <v>46</v>
      </c>
      <c r="C305">
        <v>55408</v>
      </c>
      <c r="D305" s="1">
        <v>12.4</v>
      </c>
      <c r="E305">
        <v>9.6</v>
      </c>
      <c r="F305" s="2">
        <v>1.5</v>
      </c>
      <c r="G305" t="str">
        <f t="shared" si="4"/>
        <v/>
      </c>
    </row>
    <row r="306" spans="1:7" x14ac:dyDescent="0.25">
      <c r="A306" t="s">
        <v>318</v>
      </c>
      <c r="B306" t="s">
        <v>46</v>
      </c>
      <c r="C306">
        <v>59307</v>
      </c>
      <c r="D306" s="1">
        <v>12.8</v>
      </c>
      <c r="E306">
        <v>9</v>
      </c>
      <c r="F306" s="2">
        <v>-0.1</v>
      </c>
      <c r="G306" t="str">
        <f t="shared" si="4"/>
        <v/>
      </c>
    </row>
    <row r="307" spans="1:7" x14ac:dyDescent="0.25">
      <c r="A307" t="s">
        <v>319</v>
      </c>
      <c r="B307" t="s">
        <v>26</v>
      </c>
      <c r="C307">
        <v>107815</v>
      </c>
      <c r="D307" s="1">
        <v>9.3000000000000007</v>
      </c>
      <c r="E307">
        <v>8.6</v>
      </c>
      <c r="F307" s="2">
        <v>-3.9</v>
      </c>
      <c r="G307" t="str">
        <f t="shared" si="4"/>
        <v/>
      </c>
    </row>
    <row r="308" spans="1:7" x14ac:dyDescent="0.25">
      <c r="A308" t="s">
        <v>320</v>
      </c>
      <c r="B308" t="s">
        <v>39</v>
      </c>
      <c r="C308">
        <v>93280</v>
      </c>
      <c r="D308" s="1">
        <v>10.3</v>
      </c>
      <c r="E308">
        <v>11.2</v>
      </c>
      <c r="F308" s="2">
        <v>-3.1</v>
      </c>
      <c r="G308" t="str">
        <f t="shared" si="4"/>
        <v/>
      </c>
    </row>
    <row r="309" spans="1:7" x14ac:dyDescent="0.25">
      <c r="A309" t="s">
        <v>321</v>
      </c>
      <c r="B309" t="s">
        <v>19</v>
      </c>
      <c r="C309">
        <v>119340</v>
      </c>
      <c r="D309" s="1">
        <v>11</v>
      </c>
      <c r="E309">
        <v>9.1999999999999993</v>
      </c>
      <c r="F309" s="2">
        <v>-0.6</v>
      </c>
      <c r="G309" t="str">
        <f t="shared" si="4"/>
        <v/>
      </c>
    </row>
    <row r="310" spans="1:7" x14ac:dyDescent="0.25">
      <c r="A310" t="s">
        <v>322</v>
      </c>
      <c r="B310" t="s">
        <v>42</v>
      </c>
      <c r="C310">
        <v>124056</v>
      </c>
      <c r="D310" s="1">
        <v>12.9</v>
      </c>
      <c r="E310">
        <v>8.9</v>
      </c>
      <c r="F310" s="2">
        <v>-0.3</v>
      </c>
      <c r="G310" t="str">
        <f t="shared" si="4"/>
        <v/>
      </c>
    </row>
    <row r="311" spans="1:7" x14ac:dyDescent="0.25">
      <c r="A311" t="s">
        <v>323</v>
      </c>
      <c r="B311" t="s">
        <v>39</v>
      </c>
      <c r="C311">
        <v>73277</v>
      </c>
      <c r="D311" s="1">
        <v>10.6</v>
      </c>
      <c r="E311">
        <v>10.4</v>
      </c>
      <c r="F311" s="2">
        <v>-2.5</v>
      </c>
      <c r="G311" t="str">
        <f t="shared" si="4"/>
        <v/>
      </c>
    </row>
    <row r="312" spans="1:7" x14ac:dyDescent="0.25">
      <c r="A312" t="s">
        <v>324</v>
      </c>
      <c r="B312" t="s">
        <v>35</v>
      </c>
      <c r="C312">
        <v>79177</v>
      </c>
      <c r="D312" s="1">
        <v>8.3000000000000007</v>
      </c>
      <c r="E312">
        <v>8.6999999999999993</v>
      </c>
      <c r="F312" s="2">
        <v>-1.6</v>
      </c>
      <c r="G312" t="str">
        <f t="shared" si="4"/>
        <v/>
      </c>
    </row>
    <row r="313" spans="1:7" x14ac:dyDescent="0.25">
      <c r="A313" t="s">
        <v>325</v>
      </c>
      <c r="B313" t="s">
        <v>75</v>
      </c>
      <c r="C313">
        <v>49789</v>
      </c>
      <c r="D313" s="1">
        <v>11.7</v>
      </c>
      <c r="E313">
        <v>9.6</v>
      </c>
      <c r="F313" s="2">
        <v>-3.3</v>
      </c>
      <c r="G313" t="str">
        <f t="shared" si="4"/>
        <v/>
      </c>
    </row>
    <row r="314" spans="1:7" x14ac:dyDescent="0.25">
      <c r="A314" t="s">
        <v>326</v>
      </c>
      <c r="B314" t="s">
        <v>31</v>
      </c>
      <c r="C314">
        <v>43873</v>
      </c>
      <c r="D314" s="1">
        <v>10</v>
      </c>
      <c r="E314">
        <v>11.4</v>
      </c>
      <c r="F314" s="2">
        <v>-1.2</v>
      </c>
      <c r="G314" t="str">
        <f t="shared" si="4"/>
        <v/>
      </c>
    </row>
    <row r="315" spans="1:7" x14ac:dyDescent="0.25">
      <c r="A315" t="s">
        <v>327</v>
      </c>
      <c r="B315" t="s">
        <v>26</v>
      </c>
      <c r="C315">
        <v>61897</v>
      </c>
      <c r="D315" s="1">
        <v>10.5</v>
      </c>
      <c r="E315">
        <v>9.9</v>
      </c>
      <c r="F315" s="2">
        <v>-0.9</v>
      </c>
      <c r="G315" t="str">
        <f t="shared" si="4"/>
        <v/>
      </c>
    </row>
    <row r="316" spans="1:7" x14ac:dyDescent="0.25">
      <c r="A316" t="s">
        <v>328</v>
      </c>
      <c r="B316" t="s">
        <v>75</v>
      </c>
      <c r="C316">
        <v>35492</v>
      </c>
      <c r="D316" s="1">
        <v>11.6</v>
      </c>
      <c r="E316">
        <v>10.7</v>
      </c>
      <c r="F316" s="2">
        <v>-2.2000000000000002</v>
      </c>
      <c r="G316" t="str">
        <f t="shared" si="4"/>
        <v/>
      </c>
    </row>
    <row r="317" spans="1:7" x14ac:dyDescent="0.25">
      <c r="A317" t="s">
        <v>329</v>
      </c>
      <c r="B317" t="s">
        <v>29</v>
      </c>
      <c r="C317">
        <v>82736</v>
      </c>
      <c r="D317" s="1">
        <v>12.2</v>
      </c>
      <c r="E317">
        <v>9.5</v>
      </c>
      <c r="F317" s="2">
        <v>0.4</v>
      </c>
      <c r="G317" t="str">
        <f t="shared" si="4"/>
        <v/>
      </c>
    </row>
    <row r="318" spans="1:7" x14ac:dyDescent="0.25">
      <c r="A318" t="s">
        <v>330</v>
      </c>
      <c r="B318" t="s">
        <v>9</v>
      </c>
      <c r="C318">
        <v>35148</v>
      </c>
      <c r="D318" s="1">
        <v>10.7</v>
      </c>
      <c r="E318">
        <v>10.8</v>
      </c>
      <c r="F318" s="2">
        <v>-1.1000000000000001</v>
      </c>
      <c r="G318" t="str">
        <f t="shared" si="4"/>
        <v/>
      </c>
    </row>
    <row r="319" spans="1:7" x14ac:dyDescent="0.25">
      <c r="A319" t="s">
        <v>331</v>
      </c>
      <c r="B319" t="s">
        <v>31</v>
      </c>
      <c r="C319">
        <v>159323</v>
      </c>
      <c r="D319" s="1">
        <v>10.5</v>
      </c>
      <c r="E319">
        <v>10.4</v>
      </c>
      <c r="F319" s="2">
        <v>0</v>
      </c>
      <c r="G319" t="str">
        <f t="shared" si="4"/>
        <v/>
      </c>
    </row>
    <row r="320" spans="1:7" x14ac:dyDescent="0.25">
      <c r="A320" t="s">
        <v>331</v>
      </c>
      <c r="B320" t="s">
        <v>22</v>
      </c>
      <c r="C320">
        <v>72366</v>
      </c>
      <c r="D320" s="1">
        <v>9.5</v>
      </c>
      <c r="E320">
        <v>9.9</v>
      </c>
      <c r="F320" s="2">
        <v>-0.2</v>
      </c>
      <c r="G320" t="str">
        <f t="shared" si="4"/>
        <v/>
      </c>
    </row>
    <row r="321" spans="1:7" x14ac:dyDescent="0.25">
      <c r="A321" t="s">
        <v>332</v>
      </c>
      <c r="B321" t="s">
        <v>19</v>
      </c>
      <c r="C321">
        <v>48470</v>
      </c>
      <c r="D321" s="1">
        <v>11.4</v>
      </c>
      <c r="E321">
        <v>9.3000000000000007</v>
      </c>
      <c r="F321" s="2">
        <v>-3.2</v>
      </c>
      <c r="G321" t="str">
        <f t="shared" si="4"/>
        <v/>
      </c>
    </row>
    <row r="322" spans="1:7" x14ac:dyDescent="0.25">
      <c r="A322" t="s">
        <v>333</v>
      </c>
      <c r="B322" t="s">
        <v>75</v>
      </c>
      <c r="C322">
        <v>56038</v>
      </c>
      <c r="D322" s="1">
        <v>11.8</v>
      </c>
      <c r="E322">
        <v>10.1</v>
      </c>
      <c r="F322" s="2">
        <v>0</v>
      </c>
      <c r="G322" t="str">
        <f t="shared" si="4"/>
        <v/>
      </c>
    </row>
    <row r="323" spans="1:7" x14ac:dyDescent="0.25">
      <c r="A323" t="s">
        <v>334</v>
      </c>
      <c r="B323" t="s">
        <v>7</v>
      </c>
      <c r="C323">
        <v>97642</v>
      </c>
      <c r="D323" s="1">
        <v>11.8</v>
      </c>
      <c r="E323">
        <v>9.5</v>
      </c>
      <c r="F323" s="2">
        <v>0.1</v>
      </c>
      <c r="G323" t="str">
        <f t="shared" ref="G323:G380" si="5">IF(AND(B323="mazowieckie", F323&lt;0), 1, "")</f>
        <v/>
      </c>
    </row>
    <row r="324" spans="1:7" x14ac:dyDescent="0.25">
      <c r="A324" t="s">
        <v>335</v>
      </c>
      <c r="B324" t="s">
        <v>46</v>
      </c>
      <c r="C324">
        <v>87260</v>
      </c>
      <c r="D324" s="1">
        <v>12</v>
      </c>
      <c r="E324">
        <v>9.6</v>
      </c>
      <c r="F324" s="2">
        <v>1.2</v>
      </c>
      <c r="G324" t="str">
        <f t="shared" si="5"/>
        <v/>
      </c>
    </row>
    <row r="325" spans="1:7" x14ac:dyDescent="0.25">
      <c r="A325" t="s">
        <v>336</v>
      </c>
      <c r="B325" t="s">
        <v>19</v>
      </c>
      <c r="C325">
        <v>77053</v>
      </c>
      <c r="D325" s="1">
        <v>10.9</v>
      </c>
      <c r="E325">
        <v>10.3</v>
      </c>
      <c r="F325" s="2">
        <v>-1.4</v>
      </c>
      <c r="G325" t="str">
        <f t="shared" si="5"/>
        <v/>
      </c>
    </row>
    <row r="326" spans="1:7" x14ac:dyDescent="0.25">
      <c r="A326" t="s">
        <v>337</v>
      </c>
      <c r="B326" t="s">
        <v>11</v>
      </c>
      <c r="C326">
        <v>69286</v>
      </c>
      <c r="D326" s="1">
        <v>12.1</v>
      </c>
      <c r="E326">
        <v>9.6999999999999993</v>
      </c>
      <c r="F326" s="2">
        <v>-2.2000000000000002</v>
      </c>
      <c r="G326" t="str">
        <f t="shared" si="5"/>
        <v/>
      </c>
    </row>
    <row r="327" spans="1:7" x14ac:dyDescent="0.25">
      <c r="A327" t="s">
        <v>338</v>
      </c>
      <c r="B327" t="s">
        <v>42</v>
      </c>
      <c r="C327">
        <v>41694</v>
      </c>
      <c r="D327" s="1">
        <v>13.6</v>
      </c>
      <c r="E327">
        <v>8.5</v>
      </c>
      <c r="F327" s="2">
        <v>-4.4000000000000004</v>
      </c>
      <c r="G327" t="str">
        <f t="shared" si="5"/>
        <v/>
      </c>
    </row>
    <row r="328" spans="1:7" x14ac:dyDescent="0.25">
      <c r="A328" t="s">
        <v>339</v>
      </c>
      <c r="B328" t="s">
        <v>17</v>
      </c>
      <c r="C328">
        <v>39912</v>
      </c>
      <c r="D328" s="1">
        <v>11.5</v>
      </c>
      <c r="E328">
        <v>10.7</v>
      </c>
      <c r="F328" s="2">
        <v>-2</v>
      </c>
      <c r="G328">
        <f t="shared" si="5"/>
        <v>1</v>
      </c>
    </row>
    <row r="329" spans="1:7" x14ac:dyDescent="0.25">
      <c r="A329" t="s">
        <v>340</v>
      </c>
      <c r="B329" t="s">
        <v>26</v>
      </c>
      <c r="C329">
        <v>53487</v>
      </c>
      <c r="D329" s="1">
        <v>8.5</v>
      </c>
      <c r="E329">
        <v>8.5</v>
      </c>
      <c r="F329" s="2">
        <v>-1.4</v>
      </c>
      <c r="G329" t="str">
        <f t="shared" si="5"/>
        <v/>
      </c>
    </row>
    <row r="330" spans="1:7" x14ac:dyDescent="0.25">
      <c r="A330" t="s">
        <v>341</v>
      </c>
      <c r="B330" t="s">
        <v>13</v>
      </c>
      <c r="C330">
        <v>137496</v>
      </c>
      <c r="D330" s="1">
        <v>9.6999999999999993</v>
      </c>
      <c r="E330">
        <v>10</v>
      </c>
      <c r="F330" s="2">
        <v>0.3</v>
      </c>
      <c r="G330" t="str">
        <f t="shared" si="5"/>
        <v/>
      </c>
    </row>
    <row r="331" spans="1:7" x14ac:dyDescent="0.25">
      <c r="A331" t="s">
        <v>342</v>
      </c>
      <c r="B331" t="s">
        <v>29</v>
      </c>
      <c r="C331">
        <v>195908</v>
      </c>
      <c r="D331" s="1">
        <v>11.2</v>
      </c>
      <c r="E331">
        <v>8.5</v>
      </c>
      <c r="F331" s="2">
        <v>1.3</v>
      </c>
      <c r="G331" t="str">
        <f t="shared" si="5"/>
        <v/>
      </c>
    </row>
    <row r="332" spans="1:7" x14ac:dyDescent="0.25">
      <c r="A332" t="s">
        <v>343</v>
      </c>
      <c r="B332" t="s">
        <v>29</v>
      </c>
      <c r="C332">
        <v>65298</v>
      </c>
      <c r="D332" s="1">
        <v>11</v>
      </c>
      <c r="E332">
        <v>9.6999999999999993</v>
      </c>
      <c r="F332" s="2">
        <v>1.7</v>
      </c>
      <c r="G332" t="str">
        <f t="shared" si="5"/>
        <v/>
      </c>
    </row>
    <row r="333" spans="1:7" x14ac:dyDescent="0.25">
      <c r="A333" t="s">
        <v>344</v>
      </c>
      <c r="B333" t="s">
        <v>42</v>
      </c>
      <c r="C333">
        <v>113570</v>
      </c>
      <c r="D333" s="1">
        <v>13.8</v>
      </c>
      <c r="E333">
        <v>9.1999999999999993</v>
      </c>
      <c r="F333" s="2">
        <v>-1.6</v>
      </c>
      <c r="G333" t="str">
        <f t="shared" si="5"/>
        <v/>
      </c>
    </row>
    <row r="334" spans="1:7" x14ac:dyDescent="0.25">
      <c r="A334" t="s">
        <v>345</v>
      </c>
      <c r="B334" t="s">
        <v>15</v>
      </c>
      <c r="C334">
        <v>120132</v>
      </c>
      <c r="D334" s="1">
        <v>11</v>
      </c>
      <c r="E334">
        <v>12.2</v>
      </c>
      <c r="F334" s="2">
        <v>-1.6</v>
      </c>
      <c r="G334" t="str">
        <f t="shared" si="5"/>
        <v/>
      </c>
    </row>
    <row r="335" spans="1:7" x14ac:dyDescent="0.25">
      <c r="A335" t="s">
        <v>345</v>
      </c>
      <c r="B335" t="s">
        <v>22</v>
      </c>
      <c r="C335">
        <v>86657</v>
      </c>
      <c r="D335" s="1">
        <v>9.6999999999999993</v>
      </c>
      <c r="E335">
        <v>11.6</v>
      </c>
      <c r="F335" s="2">
        <v>-4.0999999999999996</v>
      </c>
      <c r="G335" t="str">
        <f t="shared" si="5"/>
        <v/>
      </c>
    </row>
    <row r="336" spans="1:7" x14ac:dyDescent="0.25">
      <c r="A336" t="s">
        <v>346</v>
      </c>
      <c r="B336" t="s">
        <v>7</v>
      </c>
      <c r="C336">
        <v>95187</v>
      </c>
      <c r="D336" s="1">
        <v>11.7</v>
      </c>
      <c r="E336">
        <v>8.3000000000000007</v>
      </c>
      <c r="F336" s="2">
        <v>13.3</v>
      </c>
      <c r="G336" t="str">
        <f t="shared" si="5"/>
        <v/>
      </c>
    </row>
    <row r="337" spans="1:7" x14ac:dyDescent="0.25">
      <c r="A337" t="s">
        <v>347</v>
      </c>
      <c r="B337" t="s">
        <v>31</v>
      </c>
      <c r="C337">
        <v>79166</v>
      </c>
      <c r="D337" s="1">
        <v>11.6</v>
      </c>
      <c r="E337">
        <v>10.1</v>
      </c>
      <c r="F337" s="2">
        <v>5</v>
      </c>
      <c r="G337" t="str">
        <f t="shared" si="5"/>
        <v/>
      </c>
    </row>
    <row r="338" spans="1:7" x14ac:dyDescent="0.25">
      <c r="A338" t="s">
        <v>348</v>
      </c>
      <c r="B338" t="s">
        <v>7</v>
      </c>
      <c r="C338">
        <v>47622</v>
      </c>
      <c r="D338" s="1">
        <v>12.6</v>
      </c>
      <c r="E338">
        <v>8.6999999999999993</v>
      </c>
      <c r="F338" s="2">
        <v>-1.1000000000000001</v>
      </c>
      <c r="G338" t="str">
        <f t="shared" si="5"/>
        <v/>
      </c>
    </row>
    <row r="339" spans="1:7" x14ac:dyDescent="0.25">
      <c r="A339" t="s">
        <v>349</v>
      </c>
      <c r="B339" t="s">
        <v>46</v>
      </c>
      <c r="C339">
        <v>83691</v>
      </c>
      <c r="D339" s="1">
        <v>12.4</v>
      </c>
      <c r="E339">
        <v>10.1</v>
      </c>
      <c r="F339" s="2">
        <v>-1.7</v>
      </c>
      <c r="G339" t="str">
        <f t="shared" si="5"/>
        <v/>
      </c>
    </row>
    <row r="340" spans="1:7" x14ac:dyDescent="0.25">
      <c r="A340" t="s">
        <v>350</v>
      </c>
      <c r="B340" t="s">
        <v>7</v>
      </c>
      <c r="C340">
        <v>34777</v>
      </c>
      <c r="D340" s="1">
        <v>12.1</v>
      </c>
      <c r="E340">
        <v>9.6999999999999993</v>
      </c>
      <c r="F340" s="2">
        <v>-1.4</v>
      </c>
      <c r="G340" t="str">
        <f t="shared" si="5"/>
        <v/>
      </c>
    </row>
    <row r="341" spans="1:7" x14ac:dyDescent="0.25">
      <c r="A341" t="s">
        <v>351</v>
      </c>
      <c r="B341" t="s">
        <v>29</v>
      </c>
      <c r="C341">
        <v>155923</v>
      </c>
      <c r="D341" s="1">
        <v>11.7</v>
      </c>
      <c r="E341">
        <v>9.1</v>
      </c>
      <c r="F341" s="2">
        <v>-0.1</v>
      </c>
      <c r="G341" t="str">
        <f t="shared" si="5"/>
        <v/>
      </c>
    </row>
    <row r="342" spans="1:7" x14ac:dyDescent="0.25">
      <c r="A342" t="s">
        <v>352</v>
      </c>
      <c r="B342" t="s">
        <v>46</v>
      </c>
      <c r="C342">
        <v>68552</v>
      </c>
      <c r="D342" s="1">
        <v>14</v>
      </c>
      <c r="E342">
        <v>8.9</v>
      </c>
      <c r="F342" s="2">
        <v>-0.2</v>
      </c>
      <c r="G342" t="str">
        <f t="shared" si="5"/>
        <v/>
      </c>
    </row>
    <row r="343" spans="1:7" x14ac:dyDescent="0.25">
      <c r="A343" t="s">
        <v>353</v>
      </c>
      <c r="B343" t="s">
        <v>31</v>
      </c>
      <c r="C343">
        <v>179526</v>
      </c>
      <c r="D343" s="1">
        <v>9</v>
      </c>
      <c r="E343">
        <v>12.6</v>
      </c>
      <c r="F343" s="2">
        <v>-3.7</v>
      </c>
      <c r="G343" t="str">
        <f t="shared" si="5"/>
        <v/>
      </c>
    </row>
    <row r="344" spans="1:7" x14ac:dyDescent="0.25">
      <c r="A344" t="s">
        <v>354</v>
      </c>
      <c r="B344" t="s">
        <v>19</v>
      </c>
      <c r="C344">
        <v>54098</v>
      </c>
      <c r="D344" s="1">
        <v>10.8</v>
      </c>
      <c r="E344">
        <v>9.1999999999999993</v>
      </c>
      <c r="F344" s="2">
        <v>-3.3</v>
      </c>
      <c r="G344" t="str">
        <f t="shared" si="5"/>
        <v/>
      </c>
    </row>
    <row r="345" spans="1:7" x14ac:dyDescent="0.25">
      <c r="A345" t="s">
        <v>355</v>
      </c>
      <c r="B345" t="s">
        <v>17</v>
      </c>
      <c r="C345">
        <v>105185</v>
      </c>
      <c r="D345" s="1">
        <v>10.5</v>
      </c>
      <c r="E345">
        <v>9.1999999999999993</v>
      </c>
      <c r="F345" s="2">
        <v>11.2</v>
      </c>
      <c r="G345" t="str">
        <f t="shared" si="5"/>
        <v/>
      </c>
    </row>
    <row r="346" spans="1:7" x14ac:dyDescent="0.25">
      <c r="A346" t="s">
        <v>356</v>
      </c>
      <c r="B346" t="s">
        <v>11</v>
      </c>
      <c r="C346">
        <v>23327</v>
      </c>
      <c r="D346" s="1">
        <v>11.2</v>
      </c>
      <c r="E346">
        <v>10.8</v>
      </c>
      <c r="F346" s="2">
        <v>-4.5999999999999996</v>
      </c>
      <c r="G346" t="str">
        <f t="shared" si="5"/>
        <v/>
      </c>
    </row>
    <row r="347" spans="1:7" x14ac:dyDescent="0.25">
      <c r="A347" t="s">
        <v>357</v>
      </c>
      <c r="B347" t="s">
        <v>17</v>
      </c>
      <c r="C347">
        <v>67080</v>
      </c>
      <c r="D347" s="1">
        <v>10.9</v>
      </c>
      <c r="E347">
        <v>12.5</v>
      </c>
      <c r="F347" s="2">
        <v>-2.8</v>
      </c>
      <c r="G347">
        <f t="shared" si="5"/>
        <v>1</v>
      </c>
    </row>
    <row r="348" spans="1:7" x14ac:dyDescent="0.25">
      <c r="A348" t="s">
        <v>358</v>
      </c>
      <c r="B348" t="s">
        <v>42</v>
      </c>
      <c r="C348">
        <v>192349</v>
      </c>
      <c r="D348" s="1">
        <v>14.6</v>
      </c>
      <c r="E348">
        <v>7.4</v>
      </c>
      <c r="F348" s="2">
        <v>10.7</v>
      </c>
      <c r="G348" t="str">
        <f t="shared" si="5"/>
        <v/>
      </c>
    </row>
    <row r="349" spans="1:7" x14ac:dyDescent="0.25">
      <c r="A349" t="s">
        <v>359</v>
      </c>
      <c r="B349" t="s">
        <v>29</v>
      </c>
      <c r="C349">
        <v>110400</v>
      </c>
      <c r="D349" s="1">
        <v>11.3</v>
      </c>
      <c r="E349">
        <v>9.1</v>
      </c>
      <c r="F349" s="2">
        <v>12.5</v>
      </c>
      <c r="G349" t="str">
        <f t="shared" si="5"/>
        <v/>
      </c>
    </row>
    <row r="350" spans="1:7" x14ac:dyDescent="0.25">
      <c r="A350" t="s">
        <v>360</v>
      </c>
      <c r="B350" t="s">
        <v>15</v>
      </c>
      <c r="C350">
        <v>77843</v>
      </c>
      <c r="D350" s="1">
        <v>11.4</v>
      </c>
      <c r="E350">
        <v>11.6</v>
      </c>
      <c r="F350" s="2">
        <v>-0.7</v>
      </c>
      <c r="G350" t="str">
        <f t="shared" si="5"/>
        <v/>
      </c>
    </row>
    <row r="351" spans="1:7" x14ac:dyDescent="0.25">
      <c r="A351" t="s">
        <v>361</v>
      </c>
      <c r="B351" t="s">
        <v>15</v>
      </c>
      <c r="C351">
        <v>42168</v>
      </c>
      <c r="D351" s="1">
        <v>12</v>
      </c>
      <c r="E351">
        <v>10.9</v>
      </c>
      <c r="F351" s="2">
        <v>-1.8</v>
      </c>
      <c r="G351" t="str">
        <f t="shared" si="5"/>
        <v/>
      </c>
    </row>
    <row r="352" spans="1:7" x14ac:dyDescent="0.25">
      <c r="A352" t="s">
        <v>362</v>
      </c>
      <c r="B352" t="s">
        <v>7</v>
      </c>
      <c r="C352">
        <v>85368</v>
      </c>
      <c r="D352" s="1">
        <v>10.199999999999999</v>
      </c>
      <c r="E352">
        <v>11.3</v>
      </c>
      <c r="F352" s="2">
        <v>0</v>
      </c>
      <c r="G352" t="str">
        <f t="shared" si="5"/>
        <v/>
      </c>
    </row>
    <row r="353" spans="1:7" x14ac:dyDescent="0.25">
      <c r="A353" t="s">
        <v>363</v>
      </c>
      <c r="B353" t="s">
        <v>22</v>
      </c>
      <c r="C353">
        <v>39526</v>
      </c>
      <c r="D353" s="1">
        <v>10.8</v>
      </c>
      <c r="E353">
        <v>12.7</v>
      </c>
      <c r="F353" s="2">
        <v>-3.8</v>
      </c>
      <c r="G353" t="str">
        <f t="shared" si="5"/>
        <v/>
      </c>
    </row>
    <row r="354" spans="1:7" x14ac:dyDescent="0.25">
      <c r="A354" t="s">
        <v>364</v>
      </c>
      <c r="B354" t="s">
        <v>39</v>
      </c>
      <c r="C354">
        <v>46668</v>
      </c>
      <c r="D354" s="1">
        <v>9.6</v>
      </c>
      <c r="E354">
        <v>12.3</v>
      </c>
      <c r="F354" s="2">
        <v>-2.4</v>
      </c>
      <c r="G354" t="str">
        <f t="shared" si="5"/>
        <v/>
      </c>
    </row>
    <row r="355" spans="1:7" x14ac:dyDescent="0.25">
      <c r="A355" t="s">
        <v>365</v>
      </c>
      <c r="B355" t="s">
        <v>13</v>
      </c>
      <c r="C355">
        <v>155982</v>
      </c>
      <c r="D355" s="1">
        <v>11.2</v>
      </c>
      <c r="E355">
        <v>9.6</v>
      </c>
      <c r="F355" s="2">
        <v>0.6</v>
      </c>
      <c r="G355" t="str">
        <f t="shared" si="5"/>
        <v/>
      </c>
    </row>
    <row r="356" spans="1:7" x14ac:dyDescent="0.25">
      <c r="A356" t="s">
        <v>366</v>
      </c>
      <c r="B356" t="s">
        <v>17</v>
      </c>
      <c r="C356">
        <v>213714</v>
      </c>
      <c r="D356" s="1">
        <v>13.1</v>
      </c>
      <c r="E356">
        <v>8.6</v>
      </c>
      <c r="F356" s="2">
        <v>11.5</v>
      </c>
      <c r="G356" t="str">
        <f t="shared" si="5"/>
        <v/>
      </c>
    </row>
    <row r="357" spans="1:7" x14ac:dyDescent="0.25">
      <c r="A357" t="s">
        <v>367</v>
      </c>
      <c r="B357" t="s">
        <v>31</v>
      </c>
      <c r="C357">
        <v>47344</v>
      </c>
      <c r="D357" s="1">
        <v>10.8</v>
      </c>
      <c r="E357">
        <v>10.4</v>
      </c>
      <c r="F357" s="2">
        <v>-0.9</v>
      </c>
      <c r="G357" t="str">
        <f t="shared" si="5"/>
        <v/>
      </c>
    </row>
    <row r="358" spans="1:7" x14ac:dyDescent="0.25">
      <c r="A358" t="s">
        <v>368</v>
      </c>
      <c r="B358" t="s">
        <v>46</v>
      </c>
      <c r="C358">
        <v>55591</v>
      </c>
      <c r="D358" s="1">
        <v>12.3</v>
      </c>
      <c r="E358">
        <v>8.6</v>
      </c>
      <c r="F358" s="2">
        <v>0.2</v>
      </c>
      <c r="G358" t="str">
        <f t="shared" si="5"/>
        <v/>
      </c>
    </row>
    <row r="359" spans="1:7" x14ac:dyDescent="0.25">
      <c r="A359" t="s">
        <v>369</v>
      </c>
      <c r="B359" t="s">
        <v>31</v>
      </c>
      <c r="C359">
        <v>111069</v>
      </c>
      <c r="D359" s="1">
        <v>12.2</v>
      </c>
      <c r="E359">
        <v>8.5</v>
      </c>
      <c r="F359" s="2">
        <v>19.899999999999999</v>
      </c>
      <c r="G359" t="str">
        <f t="shared" si="5"/>
        <v/>
      </c>
    </row>
    <row r="360" spans="1:7" x14ac:dyDescent="0.25">
      <c r="A360" t="s">
        <v>370</v>
      </c>
      <c r="B360" t="s">
        <v>46</v>
      </c>
      <c r="C360">
        <v>74856</v>
      </c>
      <c r="D360" s="1">
        <v>13.1</v>
      </c>
      <c r="E360">
        <v>9</v>
      </c>
      <c r="F360" s="2">
        <v>0.5</v>
      </c>
      <c r="G360" t="str">
        <f t="shared" si="5"/>
        <v/>
      </c>
    </row>
    <row r="361" spans="1:7" x14ac:dyDescent="0.25">
      <c r="A361" t="s">
        <v>371</v>
      </c>
      <c r="B361" t="s">
        <v>75</v>
      </c>
      <c r="C361">
        <v>39055</v>
      </c>
      <c r="D361" s="1">
        <v>10.7</v>
      </c>
      <c r="E361">
        <v>9.8000000000000007</v>
      </c>
      <c r="F361" s="2">
        <v>-0.9</v>
      </c>
      <c r="G361" t="str">
        <f t="shared" si="5"/>
        <v/>
      </c>
    </row>
    <row r="362" spans="1:7" x14ac:dyDescent="0.25">
      <c r="A362" t="s">
        <v>372</v>
      </c>
      <c r="B362" t="s">
        <v>9</v>
      </c>
      <c r="C362">
        <v>59010</v>
      </c>
      <c r="D362" s="1">
        <v>11</v>
      </c>
      <c r="E362">
        <v>12.5</v>
      </c>
      <c r="F362" s="2">
        <v>-3.7</v>
      </c>
      <c r="G362" t="str">
        <f t="shared" si="5"/>
        <v/>
      </c>
    </row>
    <row r="363" spans="1:7" x14ac:dyDescent="0.25">
      <c r="A363" t="s">
        <v>373</v>
      </c>
      <c r="B363" t="s">
        <v>17</v>
      </c>
      <c r="C363">
        <v>72307</v>
      </c>
      <c r="D363" s="1">
        <v>13.6</v>
      </c>
      <c r="E363">
        <v>9.8000000000000007</v>
      </c>
      <c r="F363" s="2">
        <v>-0.9</v>
      </c>
      <c r="G363">
        <f t="shared" si="5"/>
        <v>1</v>
      </c>
    </row>
    <row r="364" spans="1:7" x14ac:dyDescent="0.25">
      <c r="A364" t="s">
        <v>374</v>
      </c>
      <c r="B364" t="s">
        <v>31</v>
      </c>
      <c r="C364">
        <v>68575</v>
      </c>
      <c r="D364" s="1">
        <v>10.199999999999999</v>
      </c>
      <c r="E364">
        <v>11.2</v>
      </c>
      <c r="F364" s="2">
        <v>-1.2</v>
      </c>
      <c r="G364" t="str">
        <f t="shared" si="5"/>
        <v/>
      </c>
    </row>
    <row r="365" spans="1:7" x14ac:dyDescent="0.25">
      <c r="A365" t="s">
        <v>375</v>
      </c>
      <c r="B365" t="s">
        <v>75</v>
      </c>
      <c r="C365">
        <v>81658</v>
      </c>
      <c r="D365" s="1">
        <v>11.1</v>
      </c>
      <c r="E365">
        <v>10.1</v>
      </c>
      <c r="F365" s="2">
        <v>-2.7</v>
      </c>
      <c r="G365" t="str">
        <f t="shared" si="5"/>
        <v/>
      </c>
    </row>
    <row r="366" spans="1:7" x14ac:dyDescent="0.25">
      <c r="A366" t="s">
        <v>376</v>
      </c>
      <c r="B366" t="s">
        <v>9</v>
      </c>
      <c r="C366">
        <v>44385</v>
      </c>
      <c r="D366" s="1">
        <v>11.1</v>
      </c>
      <c r="E366">
        <v>9.6999999999999993</v>
      </c>
      <c r="F366" s="2">
        <v>-4.7</v>
      </c>
      <c r="G366" t="str">
        <f t="shared" si="5"/>
        <v/>
      </c>
    </row>
    <row r="367" spans="1:7" x14ac:dyDescent="0.25">
      <c r="A367" t="s">
        <v>377</v>
      </c>
      <c r="B367" t="s">
        <v>22</v>
      </c>
      <c r="C367">
        <v>109181</v>
      </c>
      <c r="D367" s="1">
        <v>9.5</v>
      </c>
      <c r="E367">
        <v>13</v>
      </c>
      <c r="F367" s="2">
        <v>-0.6</v>
      </c>
      <c r="G367" t="str">
        <f t="shared" si="5"/>
        <v/>
      </c>
    </row>
    <row r="368" spans="1:7" x14ac:dyDescent="0.25">
      <c r="A368" t="s">
        <v>378</v>
      </c>
      <c r="B368" t="s">
        <v>75</v>
      </c>
      <c r="C368">
        <v>98364</v>
      </c>
      <c r="D368" s="1">
        <v>11.3</v>
      </c>
      <c r="E368">
        <v>10.4</v>
      </c>
      <c r="F368" s="2">
        <v>-2.7</v>
      </c>
      <c r="G368" t="str">
        <f t="shared" si="5"/>
        <v/>
      </c>
    </row>
    <row r="369" spans="1:7" x14ac:dyDescent="0.25">
      <c r="A369" t="s">
        <v>379</v>
      </c>
      <c r="B369" t="s">
        <v>13</v>
      </c>
      <c r="C369">
        <v>122628</v>
      </c>
      <c r="D369" s="1">
        <v>9.3000000000000007</v>
      </c>
      <c r="E369">
        <v>12.7</v>
      </c>
      <c r="F369" s="2">
        <v>-0.2</v>
      </c>
      <c r="G369" t="str">
        <f t="shared" si="5"/>
        <v/>
      </c>
    </row>
    <row r="370" spans="1:7" x14ac:dyDescent="0.25">
      <c r="A370" t="s">
        <v>380</v>
      </c>
      <c r="B370" t="s">
        <v>15</v>
      </c>
      <c r="C370">
        <v>67588</v>
      </c>
      <c r="D370" s="1">
        <v>10.7</v>
      </c>
      <c r="E370">
        <v>11.1</v>
      </c>
      <c r="F370" s="2">
        <v>-1</v>
      </c>
      <c r="G370" t="str">
        <f t="shared" si="5"/>
        <v/>
      </c>
    </row>
    <row r="371" spans="1:7" x14ac:dyDescent="0.25">
      <c r="A371" t="s">
        <v>381</v>
      </c>
      <c r="B371" t="s">
        <v>15</v>
      </c>
      <c r="C371">
        <v>161959</v>
      </c>
      <c r="D371" s="1">
        <v>10.3</v>
      </c>
      <c r="E371">
        <v>11.9</v>
      </c>
      <c r="F371" s="2">
        <v>4.8</v>
      </c>
      <c r="G371" t="str">
        <f t="shared" si="5"/>
        <v/>
      </c>
    </row>
    <row r="372" spans="1:7" x14ac:dyDescent="0.25">
      <c r="A372" t="s">
        <v>382</v>
      </c>
      <c r="B372" t="s">
        <v>31</v>
      </c>
      <c r="C372">
        <v>92867</v>
      </c>
      <c r="D372" s="1">
        <v>9.8000000000000007</v>
      </c>
      <c r="E372">
        <v>10.8</v>
      </c>
      <c r="F372" s="2">
        <v>-3.1</v>
      </c>
      <c r="G372" t="str">
        <f t="shared" si="5"/>
        <v/>
      </c>
    </row>
    <row r="373" spans="1:7" x14ac:dyDescent="0.25">
      <c r="A373" t="s">
        <v>383</v>
      </c>
      <c r="B373" t="s">
        <v>75</v>
      </c>
      <c r="C373">
        <v>91638</v>
      </c>
      <c r="D373" s="1">
        <v>11.4</v>
      </c>
      <c r="E373">
        <v>7.8</v>
      </c>
      <c r="F373" s="2">
        <v>5.8</v>
      </c>
      <c r="G373" t="str">
        <f t="shared" si="5"/>
        <v/>
      </c>
    </row>
    <row r="374" spans="1:7" x14ac:dyDescent="0.25">
      <c r="A374" t="s">
        <v>384</v>
      </c>
      <c r="B374" t="s">
        <v>31</v>
      </c>
      <c r="C374">
        <v>45376</v>
      </c>
      <c r="D374" s="1">
        <v>10.4</v>
      </c>
      <c r="E374">
        <v>11.9</v>
      </c>
      <c r="F374" s="2">
        <v>-1.2</v>
      </c>
      <c r="G374" t="str">
        <f t="shared" si="5"/>
        <v/>
      </c>
    </row>
    <row r="375" spans="1:7" x14ac:dyDescent="0.25">
      <c r="A375" t="s">
        <v>385</v>
      </c>
      <c r="B375" t="s">
        <v>46</v>
      </c>
      <c r="C375">
        <v>68737</v>
      </c>
      <c r="D375" s="1">
        <v>12.3</v>
      </c>
      <c r="E375">
        <v>9.1</v>
      </c>
      <c r="F375" s="2">
        <v>-2.1</v>
      </c>
      <c r="G375" t="str">
        <f t="shared" si="5"/>
        <v/>
      </c>
    </row>
    <row r="376" spans="1:7" x14ac:dyDescent="0.25">
      <c r="A376" t="s">
        <v>386</v>
      </c>
      <c r="B376" t="s">
        <v>7</v>
      </c>
      <c r="C376">
        <v>69985</v>
      </c>
      <c r="D376" s="1">
        <v>11.6</v>
      </c>
      <c r="E376">
        <v>9.9</v>
      </c>
      <c r="F376" s="2">
        <v>-0.4</v>
      </c>
      <c r="G376" t="str">
        <f t="shared" si="5"/>
        <v/>
      </c>
    </row>
    <row r="377" spans="1:7" x14ac:dyDescent="0.25">
      <c r="A377" t="s">
        <v>387</v>
      </c>
      <c r="B377" t="s">
        <v>17</v>
      </c>
      <c r="C377">
        <v>39671</v>
      </c>
      <c r="D377" s="1">
        <v>10.3</v>
      </c>
      <c r="E377">
        <v>10.7</v>
      </c>
      <c r="F377" s="2">
        <v>-2.6</v>
      </c>
      <c r="G377">
        <f t="shared" si="5"/>
        <v>1</v>
      </c>
    </row>
    <row r="378" spans="1:7" x14ac:dyDescent="0.25">
      <c r="A378" t="s">
        <v>388</v>
      </c>
      <c r="B378" t="s">
        <v>17</v>
      </c>
      <c r="C378">
        <v>36796</v>
      </c>
      <c r="D378" s="1">
        <v>11.3</v>
      </c>
      <c r="E378">
        <v>12.2</v>
      </c>
      <c r="F378" s="2">
        <v>-2</v>
      </c>
      <c r="G378">
        <f t="shared" si="5"/>
        <v>1</v>
      </c>
    </row>
    <row r="379" spans="1:7" x14ac:dyDescent="0.25">
      <c r="A379" t="s">
        <v>389</v>
      </c>
      <c r="B379" t="s">
        <v>17</v>
      </c>
      <c r="C379">
        <v>75408</v>
      </c>
      <c r="D379" s="1">
        <v>13</v>
      </c>
      <c r="E379">
        <v>12.2</v>
      </c>
      <c r="F379" s="2">
        <v>2.2999999999999998</v>
      </c>
      <c r="G379" t="str">
        <f t="shared" si="5"/>
        <v/>
      </c>
    </row>
    <row r="380" spans="1:7" x14ac:dyDescent="0.25">
      <c r="A380" t="s">
        <v>390</v>
      </c>
      <c r="B380" t="s">
        <v>13</v>
      </c>
      <c r="C380">
        <v>150850</v>
      </c>
      <c r="D380" s="1">
        <v>10.9</v>
      </c>
      <c r="E380">
        <v>10.8</v>
      </c>
      <c r="F380" s="2">
        <v>1.5</v>
      </c>
      <c r="G380" t="str">
        <f t="shared" si="5"/>
        <v/>
      </c>
    </row>
    <row r="381" spans="1:7" x14ac:dyDescent="0.25">
      <c r="G381">
        <f>SUM(G2:G380)</f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5D861-13A6-4AEE-9183-9085A96D0802}">
  <dimension ref="A1:K380"/>
  <sheetViews>
    <sheetView zoomScale="130" zoomScaleNormal="130" workbookViewId="0">
      <selection activeCell="J2" sqref="J2:K11"/>
      <pivotSelection pane="bottomRight" showHeader="1" extendable="1" axis="axisRow" max="11" activeRow="1" activeCol="9" previousRow="10" previousCol="9" click="1" r:id="rId1">
        <pivotArea dataOnly="0" axis="axisRow" fieldPosition="0">
          <references count="1">
            <reference field="0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Selection>
    </sheetView>
  </sheetViews>
  <sheetFormatPr defaultRowHeight="15" x14ac:dyDescent="0.25"/>
  <cols>
    <col min="1" max="1" width="23.28515625" bestFit="1" customWidth="1"/>
    <col min="2" max="2" width="21" bestFit="1" customWidth="1"/>
    <col min="3" max="3" width="15.7109375" bestFit="1" customWidth="1"/>
    <col min="4" max="4" width="12.5703125" style="1" bestFit="1" customWidth="1"/>
    <col min="5" max="5" width="12.140625" bestFit="1" customWidth="1"/>
    <col min="6" max="6" width="14.28515625" style="2" bestFit="1" customWidth="1"/>
    <col min="7" max="7" width="20.85546875" customWidth="1"/>
    <col min="10" max="10" width="17.85546875" bestFit="1" customWidth="1"/>
    <col min="11" max="11" width="24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392</v>
      </c>
      <c r="J1" s="3" t="s">
        <v>393</v>
      </c>
      <c r="K1" t="s">
        <v>395</v>
      </c>
    </row>
    <row r="2" spans="1:11" x14ac:dyDescent="0.25">
      <c r="A2" t="s">
        <v>98</v>
      </c>
      <c r="B2" t="s">
        <v>42</v>
      </c>
      <c r="C2">
        <v>116000</v>
      </c>
      <c r="D2" s="1">
        <v>15.2</v>
      </c>
      <c r="E2">
        <v>6.5</v>
      </c>
      <c r="F2" s="2">
        <v>7.7</v>
      </c>
      <c r="G2">
        <f>D2-E2</f>
        <v>8.6999999999999993</v>
      </c>
      <c r="J2" s="4" t="s">
        <v>41</v>
      </c>
      <c r="K2" s="1">
        <v>5.6999999999999993</v>
      </c>
    </row>
    <row r="3" spans="1:11" x14ac:dyDescent="0.25">
      <c r="A3" t="s">
        <v>114</v>
      </c>
      <c r="B3" t="s">
        <v>42</v>
      </c>
      <c r="C3">
        <v>68311</v>
      </c>
      <c r="D3" s="1">
        <v>15.2</v>
      </c>
      <c r="E3">
        <v>8</v>
      </c>
      <c r="F3" s="2">
        <v>0.4</v>
      </c>
      <c r="G3">
        <f>D3-E3</f>
        <v>7.1999999999999993</v>
      </c>
      <c r="J3" s="4" t="s">
        <v>63</v>
      </c>
      <c r="K3" s="1">
        <v>5.9999999999999991</v>
      </c>
    </row>
    <row r="4" spans="1:11" x14ac:dyDescent="0.25">
      <c r="A4" t="s">
        <v>358</v>
      </c>
      <c r="B4" t="s">
        <v>42</v>
      </c>
      <c r="C4">
        <v>192349</v>
      </c>
      <c r="D4" s="1">
        <v>14.6</v>
      </c>
      <c r="E4">
        <v>7.4</v>
      </c>
      <c r="F4" s="2">
        <v>10.7</v>
      </c>
      <c r="G4">
        <f>D4-E4</f>
        <v>7.1999999999999993</v>
      </c>
      <c r="J4" s="4" t="s">
        <v>98</v>
      </c>
      <c r="K4" s="1">
        <v>8.6999999999999993</v>
      </c>
    </row>
    <row r="5" spans="1:11" x14ac:dyDescent="0.25">
      <c r="A5" t="s">
        <v>136</v>
      </c>
      <c r="B5" t="s">
        <v>29</v>
      </c>
      <c r="C5">
        <v>124278</v>
      </c>
      <c r="D5" s="1">
        <v>14.1</v>
      </c>
      <c r="E5">
        <v>7.7</v>
      </c>
      <c r="F5" s="2">
        <v>0.1</v>
      </c>
      <c r="G5">
        <f>D5-E5</f>
        <v>6.3999999999999995</v>
      </c>
      <c r="J5" s="4" t="s">
        <v>114</v>
      </c>
      <c r="K5" s="1">
        <v>7.1999999999999993</v>
      </c>
    </row>
    <row r="6" spans="1:11" x14ac:dyDescent="0.25">
      <c r="A6" t="s">
        <v>239</v>
      </c>
      <c r="B6" t="s">
        <v>29</v>
      </c>
      <c r="C6">
        <v>202701</v>
      </c>
      <c r="D6" s="1">
        <v>13.6</v>
      </c>
      <c r="E6">
        <v>7.5</v>
      </c>
      <c r="F6" s="2">
        <v>0.1</v>
      </c>
      <c r="G6">
        <f>D6-E6</f>
        <v>6.1</v>
      </c>
      <c r="J6" s="4" t="s">
        <v>136</v>
      </c>
      <c r="K6" s="1">
        <v>6.3999999999999995</v>
      </c>
    </row>
    <row r="7" spans="1:11" x14ac:dyDescent="0.25">
      <c r="A7" t="s">
        <v>275</v>
      </c>
      <c r="B7" t="s">
        <v>46</v>
      </c>
      <c r="C7">
        <v>319258</v>
      </c>
      <c r="D7" s="1">
        <v>13.1</v>
      </c>
      <c r="E7">
        <v>7.1</v>
      </c>
      <c r="F7" s="2">
        <v>18.899999999999999</v>
      </c>
      <c r="G7">
        <f>D7-E7</f>
        <v>6</v>
      </c>
      <c r="J7" s="4" t="s">
        <v>215</v>
      </c>
      <c r="K7" s="1">
        <v>5.7000000000000011</v>
      </c>
    </row>
    <row r="8" spans="1:11" x14ac:dyDescent="0.25">
      <c r="A8" t="s">
        <v>63</v>
      </c>
      <c r="B8" t="s">
        <v>42</v>
      </c>
      <c r="C8">
        <v>93191</v>
      </c>
      <c r="D8" s="1">
        <v>12.7</v>
      </c>
      <c r="E8">
        <v>6.7</v>
      </c>
      <c r="F8" s="2">
        <v>19.3</v>
      </c>
      <c r="G8">
        <f>D8-E8</f>
        <v>5.9999999999999991</v>
      </c>
      <c r="J8" s="4" t="s">
        <v>239</v>
      </c>
      <c r="K8" s="1">
        <v>6.1</v>
      </c>
    </row>
    <row r="9" spans="1:11" x14ac:dyDescent="0.25">
      <c r="A9" t="s">
        <v>215</v>
      </c>
      <c r="B9" t="s">
        <v>13</v>
      </c>
      <c r="C9">
        <v>62022</v>
      </c>
      <c r="D9" s="1">
        <v>12.3</v>
      </c>
      <c r="E9">
        <v>6.6</v>
      </c>
      <c r="F9" s="2">
        <v>-6.9</v>
      </c>
      <c r="G9">
        <f>D9-E9</f>
        <v>5.7000000000000011</v>
      </c>
      <c r="J9" s="4" t="s">
        <v>275</v>
      </c>
      <c r="K9" s="1">
        <v>6</v>
      </c>
    </row>
    <row r="10" spans="1:11" x14ac:dyDescent="0.25">
      <c r="A10" t="s">
        <v>41</v>
      </c>
      <c r="B10" t="s">
        <v>42</v>
      </c>
      <c r="C10">
        <v>76043</v>
      </c>
      <c r="D10" s="1">
        <v>13.6</v>
      </c>
      <c r="E10">
        <v>7.9</v>
      </c>
      <c r="F10" s="2">
        <v>-2.7</v>
      </c>
      <c r="G10">
        <f>D10-E10</f>
        <v>5.6999999999999993</v>
      </c>
      <c r="J10" s="4" t="s">
        <v>283</v>
      </c>
      <c r="K10" s="1">
        <v>5.5000000000000009</v>
      </c>
    </row>
    <row r="11" spans="1:11" x14ac:dyDescent="0.25">
      <c r="A11" t="s">
        <v>283</v>
      </c>
      <c r="B11" t="s">
        <v>13</v>
      </c>
      <c r="C11">
        <v>106361</v>
      </c>
      <c r="D11" s="1">
        <v>13.3</v>
      </c>
      <c r="E11">
        <v>7.8</v>
      </c>
      <c r="F11" s="2">
        <v>1.1000000000000001</v>
      </c>
      <c r="G11">
        <f>D11-E11</f>
        <v>5.5000000000000009</v>
      </c>
      <c r="J11" s="4" t="s">
        <v>358</v>
      </c>
      <c r="K11" s="1">
        <v>7.1999999999999993</v>
      </c>
    </row>
    <row r="12" spans="1:11" x14ac:dyDescent="0.25">
      <c r="A12" t="s">
        <v>284</v>
      </c>
      <c r="B12" t="s">
        <v>42</v>
      </c>
      <c r="C12">
        <v>77238</v>
      </c>
      <c r="D12" s="1">
        <v>13.3</v>
      </c>
      <c r="E12">
        <v>8.1</v>
      </c>
      <c r="F12" s="2">
        <v>5.2</v>
      </c>
      <c r="G12">
        <f>D12-E12</f>
        <v>5.2000000000000011</v>
      </c>
      <c r="J12" s="4" t="s">
        <v>394</v>
      </c>
      <c r="K12" s="1">
        <v>64.5</v>
      </c>
    </row>
    <row r="13" spans="1:11" x14ac:dyDescent="0.25">
      <c r="A13" t="s">
        <v>124</v>
      </c>
      <c r="B13" t="s">
        <v>42</v>
      </c>
      <c r="C13">
        <v>81848</v>
      </c>
      <c r="D13" s="1">
        <v>13.6</v>
      </c>
      <c r="E13">
        <v>8.5</v>
      </c>
      <c r="F13" s="2">
        <v>0.3</v>
      </c>
      <c r="G13">
        <f>D13-E13</f>
        <v>5.0999999999999996</v>
      </c>
    </row>
    <row r="14" spans="1:11" x14ac:dyDescent="0.25">
      <c r="A14" t="s">
        <v>338</v>
      </c>
      <c r="B14" t="s">
        <v>42</v>
      </c>
      <c r="C14">
        <v>41694</v>
      </c>
      <c r="D14" s="1">
        <v>13.6</v>
      </c>
      <c r="E14">
        <v>8.5</v>
      </c>
      <c r="F14" s="2">
        <v>-4.4000000000000004</v>
      </c>
      <c r="G14">
        <f>D14-E14</f>
        <v>5.0999999999999996</v>
      </c>
    </row>
    <row r="15" spans="1:11" x14ac:dyDescent="0.25">
      <c r="A15" t="s">
        <v>352</v>
      </c>
      <c r="B15" t="s">
        <v>46</v>
      </c>
      <c r="C15">
        <v>68552</v>
      </c>
      <c r="D15" s="1">
        <v>14</v>
      </c>
      <c r="E15">
        <v>8.9</v>
      </c>
      <c r="F15" s="2">
        <v>-0.2</v>
      </c>
      <c r="G15">
        <f>D15-E15</f>
        <v>5.0999999999999996</v>
      </c>
    </row>
    <row r="16" spans="1:11" x14ac:dyDescent="0.25">
      <c r="A16" t="s">
        <v>230</v>
      </c>
      <c r="B16" t="s">
        <v>29</v>
      </c>
      <c r="C16">
        <v>119975</v>
      </c>
      <c r="D16" s="1">
        <v>13.2</v>
      </c>
      <c r="E16">
        <v>8.1999999999999993</v>
      </c>
      <c r="F16" s="2">
        <v>2.4</v>
      </c>
      <c r="G16">
        <f>D16-E16</f>
        <v>5</v>
      </c>
    </row>
    <row r="17" spans="1:7" x14ac:dyDescent="0.25">
      <c r="A17" t="s">
        <v>47</v>
      </c>
      <c r="B17" t="s">
        <v>42</v>
      </c>
      <c r="C17">
        <v>93411</v>
      </c>
      <c r="D17" s="1">
        <v>13.9</v>
      </c>
      <c r="E17">
        <v>9</v>
      </c>
      <c r="F17" s="2">
        <v>-0.3</v>
      </c>
      <c r="G17">
        <f>D17-E17</f>
        <v>4.9000000000000004</v>
      </c>
    </row>
    <row r="18" spans="1:7" x14ac:dyDescent="0.25">
      <c r="A18" t="s">
        <v>241</v>
      </c>
      <c r="B18" t="s">
        <v>29</v>
      </c>
      <c r="C18">
        <v>185161</v>
      </c>
      <c r="D18" s="1">
        <v>12</v>
      </c>
      <c r="E18">
        <v>7.3</v>
      </c>
      <c r="F18" s="2">
        <v>0.7</v>
      </c>
      <c r="G18">
        <f>D18-E18</f>
        <v>4.7</v>
      </c>
    </row>
    <row r="19" spans="1:7" x14ac:dyDescent="0.25">
      <c r="A19" t="s">
        <v>344</v>
      </c>
      <c r="B19" t="s">
        <v>42</v>
      </c>
      <c r="C19">
        <v>113570</v>
      </c>
      <c r="D19" s="1">
        <v>13.8</v>
      </c>
      <c r="E19">
        <v>9.1999999999999993</v>
      </c>
      <c r="F19" s="2">
        <v>-1.6</v>
      </c>
      <c r="G19">
        <f>D19-E19</f>
        <v>4.6000000000000014</v>
      </c>
    </row>
    <row r="20" spans="1:7" x14ac:dyDescent="0.25">
      <c r="A20" t="s">
        <v>69</v>
      </c>
      <c r="B20" t="s">
        <v>11</v>
      </c>
      <c r="C20">
        <v>26642</v>
      </c>
      <c r="D20" s="1">
        <v>12.7</v>
      </c>
      <c r="E20">
        <v>8.1</v>
      </c>
      <c r="F20" s="2">
        <v>-3.7</v>
      </c>
      <c r="G20">
        <f>D20-E20</f>
        <v>4.5999999999999996</v>
      </c>
    </row>
    <row r="21" spans="1:7" x14ac:dyDescent="0.25">
      <c r="A21" t="s">
        <v>242</v>
      </c>
      <c r="B21" t="s">
        <v>46</v>
      </c>
      <c r="C21">
        <v>72725</v>
      </c>
      <c r="D21" s="1">
        <v>13.5</v>
      </c>
      <c r="E21">
        <v>8.9</v>
      </c>
      <c r="F21" s="2">
        <v>-0.9</v>
      </c>
      <c r="G21">
        <f>D21-E21</f>
        <v>4.5999999999999996</v>
      </c>
    </row>
    <row r="22" spans="1:7" x14ac:dyDescent="0.25">
      <c r="A22" t="s">
        <v>66</v>
      </c>
      <c r="B22" t="s">
        <v>31</v>
      </c>
      <c r="C22">
        <v>87712</v>
      </c>
      <c r="D22" s="1">
        <v>12.1</v>
      </c>
      <c r="E22">
        <v>7.6</v>
      </c>
      <c r="F22" s="2">
        <v>-3.3</v>
      </c>
      <c r="G22">
        <f>D22-E22</f>
        <v>4.5</v>
      </c>
    </row>
    <row r="23" spans="1:7" x14ac:dyDescent="0.25">
      <c r="A23" t="s">
        <v>264</v>
      </c>
      <c r="B23" t="s">
        <v>17</v>
      </c>
      <c r="C23">
        <v>157392</v>
      </c>
      <c r="D23" s="1">
        <v>12.5</v>
      </c>
      <c r="E23">
        <v>8</v>
      </c>
      <c r="F23" s="2">
        <v>16.899999999999999</v>
      </c>
      <c r="G23">
        <f>D23-E23</f>
        <v>4.5</v>
      </c>
    </row>
    <row r="24" spans="1:7" x14ac:dyDescent="0.25">
      <c r="A24" t="s">
        <v>366</v>
      </c>
      <c r="B24" t="s">
        <v>17</v>
      </c>
      <c r="C24">
        <v>213714</v>
      </c>
      <c r="D24" s="1">
        <v>13.1</v>
      </c>
      <c r="E24">
        <v>8.6</v>
      </c>
      <c r="F24" s="2">
        <v>11.5</v>
      </c>
      <c r="G24">
        <f>D24-E24</f>
        <v>4.5</v>
      </c>
    </row>
    <row r="25" spans="1:7" x14ac:dyDescent="0.25">
      <c r="A25" t="s">
        <v>133</v>
      </c>
      <c r="B25" t="s">
        <v>46</v>
      </c>
      <c r="C25">
        <v>51722</v>
      </c>
      <c r="D25" s="1">
        <v>13</v>
      </c>
      <c r="E25">
        <v>8.6999999999999993</v>
      </c>
      <c r="F25" s="2">
        <v>5.9</v>
      </c>
      <c r="G25">
        <f>D25-E25</f>
        <v>4.3000000000000007</v>
      </c>
    </row>
    <row r="26" spans="1:7" x14ac:dyDescent="0.25">
      <c r="A26" t="s">
        <v>244</v>
      </c>
      <c r="B26" t="s">
        <v>46</v>
      </c>
      <c r="C26">
        <v>57042</v>
      </c>
      <c r="D26" s="1">
        <v>13.2</v>
      </c>
      <c r="E26">
        <v>8.9</v>
      </c>
      <c r="F26" s="2">
        <v>0.3</v>
      </c>
      <c r="G26">
        <f>D26-E26</f>
        <v>4.2999999999999989</v>
      </c>
    </row>
    <row r="27" spans="1:7" x14ac:dyDescent="0.25">
      <c r="A27" t="s">
        <v>186</v>
      </c>
      <c r="B27" t="s">
        <v>17</v>
      </c>
      <c r="C27">
        <v>53837</v>
      </c>
      <c r="D27" s="1">
        <v>11.3</v>
      </c>
      <c r="E27">
        <v>7.1</v>
      </c>
      <c r="F27" s="2">
        <v>-7.6</v>
      </c>
      <c r="G27">
        <f>D27-E27</f>
        <v>4.2000000000000011</v>
      </c>
    </row>
    <row r="28" spans="1:7" x14ac:dyDescent="0.25">
      <c r="A28" t="s">
        <v>233</v>
      </c>
      <c r="B28" t="s">
        <v>7</v>
      </c>
      <c r="C28">
        <v>85397</v>
      </c>
      <c r="D28" s="1">
        <v>12.7</v>
      </c>
      <c r="E28">
        <v>8.5</v>
      </c>
      <c r="F28" s="2">
        <v>-1.6</v>
      </c>
      <c r="G28">
        <f>D28-E28</f>
        <v>4.1999999999999993</v>
      </c>
    </row>
    <row r="29" spans="1:7" x14ac:dyDescent="0.25">
      <c r="A29" t="s">
        <v>273</v>
      </c>
      <c r="B29" t="s">
        <v>19</v>
      </c>
      <c r="C29">
        <v>69087</v>
      </c>
      <c r="D29" s="1">
        <v>10.9</v>
      </c>
      <c r="E29">
        <v>6.8</v>
      </c>
      <c r="F29" s="2">
        <v>12.7</v>
      </c>
      <c r="G29">
        <f>D29-E29</f>
        <v>4.1000000000000005</v>
      </c>
    </row>
    <row r="30" spans="1:7" x14ac:dyDescent="0.25">
      <c r="A30" t="s">
        <v>58</v>
      </c>
      <c r="B30" t="s">
        <v>11</v>
      </c>
      <c r="C30">
        <v>65188</v>
      </c>
      <c r="D30" s="1">
        <v>13.1</v>
      </c>
      <c r="E30">
        <v>9</v>
      </c>
      <c r="F30" s="2">
        <v>-3.6</v>
      </c>
      <c r="G30">
        <f>D30-E30</f>
        <v>4.0999999999999996</v>
      </c>
    </row>
    <row r="31" spans="1:7" x14ac:dyDescent="0.25">
      <c r="A31" t="s">
        <v>86</v>
      </c>
      <c r="B31" t="s">
        <v>11</v>
      </c>
      <c r="C31">
        <v>90442</v>
      </c>
      <c r="D31" s="1">
        <v>12.5</v>
      </c>
      <c r="E31">
        <v>8.4</v>
      </c>
      <c r="F31" s="2">
        <v>-1.2</v>
      </c>
      <c r="G31">
        <f>D31-E31</f>
        <v>4.0999999999999996</v>
      </c>
    </row>
    <row r="32" spans="1:7" x14ac:dyDescent="0.25">
      <c r="A32" t="s">
        <v>370</v>
      </c>
      <c r="B32" t="s">
        <v>46</v>
      </c>
      <c r="C32">
        <v>74856</v>
      </c>
      <c r="D32" s="1">
        <v>13.1</v>
      </c>
      <c r="E32">
        <v>9</v>
      </c>
      <c r="F32" s="2">
        <v>0.5</v>
      </c>
      <c r="G32">
        <f>D32-E32</f>
        <v>4.0999999999999996</v>
      </c>
    </row>
    <row r="33" spans="1:7" x14ac:dyDescent="0.25">
      <c r="A33" t="s">
        <v>16</v>
      </c>
      <c r="B33" t="s">
        <v>17</v>
      </c>
      <c r="C33">
        <v>33701</v>
      </c>
      <c r="D33" s="1">
        <v>15</v>
      </c>
      <c r="E33">
        <v>11</v>
      </c>
      <c r="F33" s="2">
        <v>-1.1000000000000001</v>
      </c>
      <c r="G33">
        <f>D33-E33</f>
        <v>4</v>
      </c>
    </row>
    <row r="34" spans="1:7" x14ac:dyDescent="0.25">
      <c r="A34" t="s">
        <v>24</v>
      </c>
      <c r="B34" t="s">
        <v>13</v>
      </c>
      <c r="C34">
        <v>56806</v>
      </c>
      <c r="D34" s="1">
        <v>12.2</v>
      </c>
      <c r="E34">
        <v>8.1999999999999993</v>
      </c>
      <c r="F34" s="2">
        <v>2.5</v>
      </c>
      <c r="G34">
        <f>D34-E34</f>
        <v>4</v>
      </c>
    </row>
    <row r="35" spans="1:7" x14ac:dyDescent="0.25">
      <c r="A35" t="s">
        <v>79</v>
      </c>
      <c r="B35" t="s">
        <v>46</v>
      </c>
      <c r="C35">
        <v>49903</v>
      </c>
      <c r="D35" s="1">
        <v>13.3</v>
      </c>
      <c r="E35">
        <v>9.3000000000000007</v>
      </c>
      <c r="F35" s="2">
        <v>-0.8</v>
      </c>
      <c r="G35">
        <f>D35-E35</f>
        <v>4</v>
      </c>
    </row>
    <row r="36" spans="1:7" x14ac:dyDescent="0.25">
      <c r="A36" t="s">
        <v>303</v>
      </c>
      <c r="B36" t="s">
        <v>7</v>
      </c>
      <c r="C36">
        <v>41045</v>
      </c>
      <c r="D36" s="1">
        <v>13.4</v>
      </c>
      <c r="E36">
        <v>9.4</v>
      </c>
      <c r="F36" s="2">
        <v>-2.5</v>
      </c>
      <c r="G36">
        <f>D36-E36</f>
        <v>4</v>
      </c>
    </row>
    <row r="37" spans="1:7" x14ac:dyDescent="0.25">
      <c r="A37" t="s">
        <v>322</v>
      </c>
      <c r="B37" t="s">
        <v>42</v>
      </c>
      <c r="C37">
        <v>124056</v>
      </c>
      <c r="D37" s="1">
        <v>12.9</v>
      </c>
      <c r="E37">
        <v>8.9</v>
      </c>
      <c r="F37" s="2">
        <v>-0.3</v>
      </c>
      <c r="G37">
        <f>D37-E37</f>
        <v>4</v>
      </c>
    </row>
    <row r="38" spans="1:7" x14ac:dyDescent="0.25">
      <c r="A38" t="s">
        <v>127</v>
      </c>
      <c r="B38" t="s">
        <v>42</v>
      </c>
      <c r="C38">
        <v>63915</v>
      </c>
      <c r="D38" s="1">
        <v>12.5</v>
      </c>
      <c r="E38">
        <v>8.6</v>
      </c>
      <c r="F38" s="2">
        <v>-0.7</v>
      </c>
      <c r="G38">
        <f>D38-E38</f>
        <v>3.9000000000000004</v>
      </c>
    </row>
    <row r="39" spans="1:7" x14ac:dyDescent="0.25">
      <c r="A39" t="s">
        <v>196</v>
      </c>
      <c r="B39" t="s">
        <v>17</v>
      </c>
      <c r="C39">
        <v>77319</v>
      </c>
      <c r="D39" s="1">
        <v>11.8</v>
      </c>
      <c r="E39">
        <v>7.9</v>
      </c>
      <c r="F39" s="2">
        <v>-2.1</v>
      </c>
      <c r="G39">
        <f>D39-E39</f>
        <v>3.9000000000000004</v>
      </c>
    </row>
    <row r="40" spans="1:7" x14ac:dyDescent="0.25">
      <c r="A40" t="s">
        <v>348</v>
      </c>
      <c r="B40" t="s">
        <v>7</v>
      </c>
      <c r="C40">
        <v>47622</v>
      </c>
      <c r="D40" s="1">
        <v>12.6</v>
      </c>
      <c r="E40">
        <v>8.6999999999999993</v>
      </c>
      <c r="F40" s="2">
        <v>-1.1000000000000001</v>
      </c>
      <c r="G40">
        <f>D40-E40</f>
        <v>3.9000000000000004</v>
      </c>
    </row>
    <row r="41" spans="1:7" x14ac:dyDescent="0.25">
      <c r="A41" t="s">
        <v>238</v>
      </c>
      <c r="B41" t="s">
        <v>11</v>
      </c>
      <c r="C41">
        <v>43749</v>
      </c>
      <c r="D41" s="1">
        <v>13</v>
      </c>
      <c r="E41">
        <v>9.1999999999999993</v>
      </c>
      <c r="F41" s="2">
        <v>-2.2000000000000002</v>
      </c>
      <c r="G41">
        <f>D41-E41</f>
        <v>3.8000000000000007</v>
      </c>
    </row>
    <row r="42" spans="1:7" x14ac:dyDescent="0.25">
      <c r="A42" t="s">
        <v>318</v>
      </c>
      <c r="B42" t="s">
        <v>46</v>
      </c>
      <c r="C42">
        <v>59307</v>
      </c>
      <c r="D42" s="1">
        <v>12.8</v>
      </c>
      <c r="E42">
        <v>9</v>
      </c>
      <c r="F42" s="2">
        <v>-0.1</v>
      </c>
      <c r="G42">
        <f>D42-E42</f>
        <v>3.8000000000000007</v>
      </c>
    </row>
    <row r="43" spans="1:7" x14ac:dyDescent="0.25">
      <c r="A43" t="s">
        <v>61</v>
      </c>
      <c r="B43" t="s">
        <v>11</v>
      </c>
      <c r="C43">
        <v>86238</v>
      </c>
      <c r="D43" s="1">
        <v>12.1</v>
      </c>
      <c r="E43">
        <v>8.3000000000000007</v>
      </c>
      <c r="F43" s="2">
        <v>1.3</v>
      </c>
      <c r="G43">
        <f>D43-E43</f>
        <v>3.7999999999999989</v>
      </c>
    </row>
    <row r="44" spans="1:7" x14ac:dyDescent="0.25">
      <c r="A44" t="s">
        <v>373</v>
      </c>
      <c r="B44" t="s">
        <v>17</v>
      </c>
      <c r="C44">
        <v>72307</v>
      </c>
      <c r="D44" s="1">
        <v>13.6</v>
      </c>
      <c r="E44">
        <v>9.8000000000000007</v>
      </c>
      <c r="F44" s="2">
        <v>-0.9</v>
      </c>
      <c r="G44">
        <f>D44-E44</f>
        <v>3.7999999999999989</v>
      </c>
    </row>
    <row r="45" spans="1:7" x14ac:dyDescent="0.25">
      <c r="A45" t="s">
        <v>274</v>
      </c>
      <c r="B45" t="s">
        <v>31</v>
      </c>
      <c r="C45">
        <v>61622</v>
      </c>
      <c r="D45" s="1">
        <v>12.4</v>
      </c>
      <c r="E45">
        <v>8.6999999999999993</v>
      </c>
      <c r="F45" s="2">
        <v>-1.6</v>
      </c>
      <c r="G45">
        <f>D45-E45</f>
        <v>3.7000000000000011</v>
      </c>
    </row>
    <row r="46" spans="1:7" x14ac:dyDescent="0.25">
      <c r="A46" t="s">
        <v>368</v>
      </c>
      <c r="B46" t="s">
        <v>46</v>
      </c>
      <c r="C46">
        <v>55591</v>
      </c>
      <c r="D46" s="1">
        <v>12.3</v>
      </c>
      <c r="E46">
        <v>8.6</v>
      </c>
      <c r="F46" s="2">
        <v>0.2</v>
      </c>
      <c r="G46">
        <f>D46-E46</f>
        <v>3.7000000000000011</v>
      </c>
    </row>
    <row r="47" spans="1:7" x14ac:dyDescent="0.25">
      <c r="A47" t="s">
        <v>40</v>
      </c>
      <c r="B47" t="s">
        <v>7</v>
      </c>
      <c r="C47">
        <v>103010</v>
      </c>
      <c r="D47" s="1">
        <v>11.5</v>
      </c>
      <c r="E47">
        <v>7.8</v>
      </c>
      <c r="F47" s="2">
        <v>15.1</v>
      </c>
      <c r="G47">
        <f>D47-E47</f>
        <v>3.7</v>
      </c>
    </row>
    <row r="48" spans="1:7" x14ac:dyDescent="0.25">
      <c r="A48" t="s">
        <v>152</v>
      </c>
      <c r="B48" t="s">
        <v>22</v>
      </c>
      <c r="C48">
        <v>57876</v>
      </c>
      <c r="D48" s="1">
        <v>10.9</v>
      </c>
      <c r="E48">
        <v>7.2</v>
      </c>
      <c r="F48" s="2">
        <v>-2.5</v>
      </c>
      <c r="G48">
        <f>D48-E48</f>
        <v>3.7</v>
      </c>
    </row>
    <row r="49" spans="1:7" x14ac:dyDescent="0.25">
      <c r="A49" t="s">
        <v>28</v>
      </c>
      <c r="B49" t="s">
        <v>29</v>
      </c>
      <c r="C49">
        <v>102181</v>
      </c>
      <c r="D49" s="1">
        <v>13.1</v>
      </c>
      <c r="E49">
        <v>9.4</v>
      </c>
      <c r="F49" s="2">
        <v>1</v>
      </c>
      <c r="G49">
        <f>D49-E49</f>
        <v>3.6999999999999993</v>
      </c>
    </row>
    <row r="50" spans="1:7" x14ac:dyDescent="0.25">
      <c r="A50" t="s">
        <v>56</v>
      </c>
      <c r="B50" t="s">
        <v>26</v>
      </c>
      <c r="C50">
        <v>133244</v>
      </c>
      <c r="D50" s="1">
        <v>11.6</v>
      </c>
      <c r="E50">
        <v>7.9</v>
      </c>
      <c r="F50" s="2">
        <v>-1.1000000000000001</v>
      </c>
      <c r="G50">
        <f>D50-E50</f>
        <v>3.6999999999999993</v>
      </c>
    </row>
    <row r="51" spans="1:7" x14ac:dyDescent="0.25">
      <c r="A51" t="s">
        <v>369</v>
      </c>
      <c r="B51" t="s">
        <v>31</v>
      </c>
      <c r="C51">
        <v>111069</v>
      </c>
      <c r="D51" s="1">
        <v>12.2</v>
      </c>
      <c r="E51">
        <v>8.5</v>
      </c>
      <c r="F51" s="2">
        <v>19.899999999999999</v>
      </c>
      <c r="G51">
        <f>D51-E51</f>
        <v>3.6999999999999993</v>
      </c>
    </row>
    <row r="52" spans="1:7" x14ac:dyDescent="0.25">
      <c r="A52" t="s">
        <v>383</v>
      </c>
      <c r="B52" t="s">
        <v>75</v>
      </c>
      <c r="C52">
        <v>91638</v>
      </c>
      <c r="D52" s="1">
        <v>11.4</v>
      </c>
      <c r="E52">
        <v>7.8</v>
      </c>
      <c r="F52" s="2">
        <v>5.8</v>
      </c>
      <c r="G52">
        <f>D52-E52</f>
        <v>3.6000000000000005</v>
      </c>
    </row>
    <row r="53" spans="1:7" x14ac:dyDescent="0.25">
      <c r="A53" t="s">
        <v>33</v>
      </c>
      <c r="B53" t="s">
        <v>7</v>
      </c>
      <c r="C53">
        <v>75579</v>
      </c>
      <c r="D53" s="1">
        <v>13.6</v>
      </c>
      <c r="E53">
        <v>10</v>
      </c>
      <c r="F53" s="2">
        <v>-1.3</v>
      </c>
      <c r="G53">
        <f>D53-E53</f>
        <v>3.5999999999999996</v>
      </c>
    </row>
    <row r="54" spans="1:7" x14ac:dyDescent="0.25">
      <c r="A54" t="s">
        <v>178</v>
      </c>
      <c r="B54" t="s">
        <v>46</v>
      </c>
      <c r="C54">
        <v>64338</v>
      </c>
      <c r="D54" s="1">
        <v>12.5</v>
      </c>
      <c r="E54">
        <v>8.9</v>
      </c>
      <c r="F54" s="2">
        <v>-1.9</v>
      </c>
      <c r="G54">
        <f>D54-E54</f>
        <v>3.5999999999999996</v>
      </c>
    </row>
    <row r="55" spans="1:7" x14ac:dyDescent="0.25">
      <c r="A55" t="s">
        <v>77</v>
      </c>
      <c r="B55" t="s">
        <v>46</v>
      </c>
      <c r="C55">
        <v>76052</v>
      </c>
      <c r="D55" s="1">
        <v>12.6</v>
      </c>
      <c r="E55">
        <v>9.1</v>
      </c>
      <c r="F55" s="2">
        <v>-1.8</v>
      </c>
      <c r="G55">
        <f>D55-E55</f>
        <v>3.5</v>
      </c>
    </row>
    <row r="56" spans="1:7" x14ac:dyDescent="0.25">
      <c r="A56" t="s">
        <v>130</v>
      </c>
      <c r="B56" t="s">
        <v>17</v>
      </c>
      <c r="C56">
        <v>103039</v>
      </c>
      <c r="D56" s="1">
        <v>12</v>
      </c>
      <c r="E56">
        <v>8.5</v>
      </c>
      <c r="F56" s="2">
        <v>13.4</v>
      </c>
      <c r="G56">
        <f>D56-E56</f>
        <v>3.5</v>
      </c>
    </row>
    <row r="57" spans="1:7" x14ac:dyDescent="0.25">
      <c r="A57" t="s">
        <v>295</v>
      </c>
      <c r="B57" t="s">
        <v>26</v>
      </c>
      <c r="C57">
        <v>71751</v>
      </c>
      <c r="D57" s="1">
        <v>11.7</v>
      </c>
      <c r="E57">
        <v>8.1999999999999993</v>
      </c>
      <c r="F57" s="2">
        <v>-0.8</v>
      </c>
      <c r="G57">
        <f>D57-E57</f>
        <v>3.5</v>
      </c>
    </row>
    <row r="58" spans="1:7" x14ac:dyDescent="0.25">
      <c r="A58" t="s">
        <v>37</v>
      </c>
      <c r="B58" t="s">
        <v>26</v>
      </c>
      <c r="C58">
        <v>65253</v>
      </c>
      <c r="D58" s="1">
        <v>11.9</v>
      </c>
      <c r="E58">
        <v>8.5</v>
      </c>
      <c r="F58" s="2">
        <v>-2.1</v>
      </c>
      <c r="G58">
        <f>D58-E58</f>
        <v>3.4000000000000004</v>
      </c>
    </row>
    <row r="59" spans="1:7" x14ac:dyDescent="0.25">
      <c r="A59" t="s">
        <v>52</v>
      </c>
      <c r="B59" t="s">
        <v>46</v>
      </c>
      <c r="C59">
        <v>86939</v>
      </c>
      <c r="D59" s="1">
        <v>12.9</v>
      </c>
      <c r="E59">
        <v>9.5</v>
      </c>
      <c r="F59" s="2">
        <v>-1.6</v>
      </c>
      <c r="G59">
        <f>D59-E59</f>
        <v>3.4000000000000004</v>
      </c>
    </row>
    <row r="60" spans="1:7" x14ac:dyDescent="0.25">
      <c r="A60" t="s">
        <v>54</v>
      </c>
      <c r="B60" t="s">
        <v>42</v>
      </c>
      <c r="C60">
        <v>56762</v>
      </c>
      <c r="D60" s="1">
        <v>11.8</v>
      </c>
      <c r="E60">
        <v>8.4</v>
      </c>
      <c r="F60" s="2">
        <v>-3.6</v>
      </c>
      <c r="G60">
        <f>D60-E60</f>
        <v>3.4000000000000004</v>
      </c>
    </row>
    <row r="61" spans="1:7" x14ac:dyDescent="0.25">
      <c r="A61" t="s">
        <v>68</v>
      </c>
      <c r="B61" t="s">
        <v>46</v>
      </c>
      <c r="C61">
        <v>141719</v>
      </c>
      <c r="D61" s="1">
        <v>12</v>
      </c>
      <c r="E61">
        <v>8.6</v>
      </c>
      <c r="F61" s="2">
        <v>-0.4</v>
      </c>
      <c r="G61">
        <f>D61-E61</f>
        <v>3.4000000000000004</v>
      </c>
    </row>
    <row r="62" spans="1:7" x14ac:dyDescent="0.25">
      <c r="A62" t="s">
        <v>202</v>
      </c>
      <c r="B62" t="s">
        <v>9</v>
      </c>
      <c r="C62">
        <v>69499</v>
      </c>
      <c r="D62" s="1">
        <v>10.4</v>
      </c>
      <c r="E62">
        <v>7</v>
      </c>
      <c r="F62" s="2">
        <v>-2.1</v>
      </c>
      <c r="G62">
        <f>D62-E62</f>
        <v>3.4000000000000004</v>
      </c>
    </row>
    <row r="63" spans="1:7" x14ac:dyDescent="0.25">
      <c r="A63" t="s">
        <v>183</v>
      </c>
      <c r="B63" t="s">
        <v>29</v>
      </c>
      <c r="C63">
        <v>84556</v>
      </c>
      <c r="D63" s="1">
        <v>11.1</v>
      </c>
      <c r="E63">
        <v>7.7</v>
      </c>
      <c r="F63" s="2">
        <v>-1.8</v>
      </c>
      <c r="G63">
        <f>D63-E63</f>
        <v>3.3999999999999995</v>
      </c>
    </row>
    <row r="64" spans="1:7" x14ac:dyDescent="0.25">
      <c r="A64" t="s">
        <v>72</v>
      </c>
      <c r="B64" t="s">
        <v>29</v>
      </c>
      <c r="C64">
        <v>107017</v>
      </c>
      <c r="D64" s="1">
        <v>12.2</v>
      </c>
      <c r="E64">
        <v>8.8000000000000007</v>
      </c>
      <c r="F64" s="2">
        <v>-1.9</v>
      </c>
      <c r="G64">
        <f>D64-E64</f>
        <v>3.3999999999999986</v>
      </c>
    </row>
    <row r="65" spans="1:7" x14ac:dyDescent="0.25">
      <c r="A65" t="s">
        <v>346</v>
      </c>
      <c r="B65" t="s">
        <v>7</v>
      </c>
      <c r="C65">
        <v>95187</v>
      </c>
      <c r="D65" s="1">
        <v>11.7</v>
      </c>
      <c r="E65">
        <v>8.3000000000000007</v>
      </c>
      <c r="F65" s="2">
        <v>13.3</v>
      </c>
      <c r="G65">
        <f>D65-E65</f>
        <v>3.3999999999999986</v>
      </c>
    </row>
    <row r="66" spans="1:7" x14ac:dyDescent="0.25">
      <c r="A66" t="s">
        <v>180</v>
      </c>
      <c r="B66" t="s">
        <v>9</v>
      </c>
      <c r="C66">
        <v>63357</v>
      </c>
      <c r="D66" s="1">
        <v>10.3</v>
      </c>
      <c r="E66">
        <v>7</v>
      </c>
      <c r="F66" s="2">
        <v>-2.1</v>
      </c>
      <c r="G66">
        <f>D66-E66</f>
        <v>3.3000000000000007</v>
      </c>
    </row>
    <row r="67" spans="1:7" x14ac:dyDescent="0.25">
      <c r="A67" t="s">
        <v>125</v>
      </c>
      <c r="B67" t="s">
        <v>26</v>
      </c>
      <c r="C67">
        <v>78359</v>
      </c>
      <c r="D67" s="1">
        <v>12.2</v>
      </c>
      <c r="E67">
        <v>8.9</v>
      </c>
      <c r="F67" s="2">
        <v>0.5</v>
      </c>
      <c r="G67">
        <f>D67-E67</f>
        <v>3.2999999999999989</v>
      </c>
    </row>
    <row r="68" spans="1:7" x14ac:dyDescent="0.25">
      <c r="A68" t="s">
        <v>385</v>
      </c>
      <c r="B68" t="s">
        <v>46</v>
      </c>
      <c r="C68">
        <v>68737</v>
      </c>
      <c r="D68" s="1">
        <v>12.3</v>
      </c>
      <c r="E68">
        <v>9.1</v>
      </c>
      <c r="F68" s="2">
        <v>-2.1</v>
      </c>
      <c r="G68">
        <f>D68-E68</f>
        <v>3.2000000000000011</v>
      </c>
    </row>
    <row r="69" spans="1:7" x14ac:dyDescent="0.25">
      <c r="A69" t="s">
        <v>268</v>
      </c>
      <c r="B69" t="s">
        <v>11</v>
      </c>
      <c r="C69">
        <v>57093</v>
      </c>
      <c r="D69" s="1">
        <v>12.1</v>
      </c>
      <c r="E69">
        <v>8.9</v>
      </c>
      <c r="F69" s="2">
        <v>-5.7</v>
      </c>
      <c r="G69">
        <f>D69-E69</f>
        <v>3.1999999999999993</v>
      </c>
    </row>
    <row r="70" spans="1:7" x14ac:dyDescent="0.25">
      <c r="A70" t="s">
        <v>184</v>
      </c>
      <c r="B70" t="s">
        <v>11</v>
      </c>
      <c r="C70">
        <v>176457</v>
      </c>
      <c r="D70" s="1">
        <v>11.2</v>
      </c>
      <c r="E70">
        <v>8.1</v>
      </c>
      <c r="F70" s="2">
        <v>-1</v>
      </c>
      <c r="G70">
        <f>D70-E70</f>
        <v>3.0999999999999996</v>
      </c>
    </row>
    <row r="71" spans="1:7" x14ac:dyDescent="0.25">
      <c r="A71" t="s">
        <v>313</v>
      </c>
      <c r="B71" t="s">
        <v>42</v>
      </c>
      <c r="C71">
        <v>93230</v>
      </c>
      <c r="D71" s="1">
        <v>12.1</v>
      </c>
      <c r="E71">
        <v>9</v>
      </c>
      <c r="F71" s="2">
        <v>-0.2</v>
      </c>
      <c r="G71">
        <f>D71-E71</f>
        <v>3.0999999999999996</v>
      </c>
    </row>
    <row r="72" spans="1:7" x14ac:dyDescent="0.25">
      <c r="A72" t="s">
        <v>213</v>
      </c>
      <c r="B72" t="s">
        <v>22</v>
      </c>
      <c r="C72">
        <v>66557</v>
      </c>
      <c r="D72" s="1">
        <v>10.8</v>
      </c>
      <c r="E72">
        <v>7.8</v>
      </c>
      <c r="F72" s="2">
        <v>-3.1</v>
      </c>
      <c r="G72">
        <f>D72-E72</f>
        <v>3.0000000000000009</v>
      </c>
    </row>
    <row r="73" spans="1:7" x14ac:dyDescent="0.25">
      <c r="A73" t="s">
        <v>23</v>
      </c>
      <c r="B73" t="s">
        <v>13</v>
      </c>
      <c r="C73">
        <v>155571</v>
      </c>
      <c r="D73" s="1">
        <v>12</v>
      </c>
      <c r="E73">
        <v>9</v>
      </c>
      <c r="F73" s="2">
        <v>6.9</v>
      </c>
      <c r="G73">
        <f>D73-E73</f>
        <v>3</v>
      </c>
    </row>
    <row r="74" spans="1:7" x14ac:dyDescent="0.25">
      <c r="A74" t="s">
        <v>74</v>
      </c>
      <c r="B74" t="s">
        <v>75</v>
      </c>
      <c r="C74">
        <v>67443</v>
      </c>
      <c r="D74" s="1">
        <v>12</v>
      </c>
      <c r="E74">
        <v>9</v>
      </c>
      <c r="F74" s="2">
        <v>5.7</v>
      </c>
      <c r="G74">
        <f>D74-E74</f>
        <v>3</v>
      </c>
    </row>
    <row r="75" spans="1:7" x14ac:dyDescent="0.25">
      <c r="A75" t="s">
        <v>122</v>
      </c>
      <c r="B75" t="s">
        <v>46</v>
      </c>
      <c r="C75">
        <v>77440</v>
      </c>
      <c r="D75" s="1">
        <v>12.8</v>
      </c>
      <c r="E75">
        <v>9.8000000000000007</v>
      </c>
      <c r="F75" s="2">
        <v>-1.8</v>
      </c>
      <c r="G75">
        <f>D75-E75</f>
        <v>3</v>
      </c>
    </row>
    <row r="76" spans="1:7" x14ac:dyDescent="0.25">
      <c r="A76" t="s">
        <v>194</v>
      </c>
      <c r="B76" t="s">
        <v>13</v>
      </c>
      <c r="C76">
        <v>141372</v>
      </c>
      <c r="D76" s="1">
        <v>11.6</v>
      </c>
      <c r="E76">
        <v>8.6</v>
      </c>
      <c r="F76" s="2">
        <v>-1.3</v>
      </c>
      <c r="G76">
        <f>D76-E76</f>
        <v>3</v>
      </c>
    </row>
    <row r="77" spans="1:7" x14ac:dyDescent="0.25">
      <c r="A77" t="s">
        <v>219</v>
      </c>
      <c r="B77" t="s">
        <v>46</v>
      </c>
      <c r="C77">
        <v>36646</v>
      </c>
      <c r="D77" s="1">
        <v>12.8</v>
      </c>
      <c r="E77">
        <v>9.9</v>
      </c>
      <c r="F77" s="2">
        <v>-1</v>
      </c>
      <c r="G77">
        <f>D77-E77</f>
        <v>2.9000000000000004</v>
      </c>
    </row>
    <row r="78" spans="1:7" x14ac:dyDescent="0.25">
      <c r="A78" t="s">
        <v>221</v>
      </c>
      <c r="B78" t="s">
        <v>26</v>
      </c>
      <c r="C78">
        <v>133986</v>
      </c>
      <c r="D78" s="1">
        <v>11.1</v>
      </c>
      <c r="E78">
        <v>8.1999999999999993</v>
      </c>
      <c r="F78" s="2">
        <v>-0.8</v>
      </c>
      <c r="G78">
        <f>D78-E78</f>
        <v>2.9000000000000004</v>
      </c>
    </row>
    <row r="79" spans="1:7" x14ac:dyDescent="0.25">
      <c r="A79" t="s">
        <v>223</v>
      </c>
      <c r="B79" t="s">
        <v>31</v>
      </c>
      <c r="C79">
        <v>37036</v>
      </c>
      <c r="D79" s="1">
        <v>12.9</v>
      </c>
      <c r="E79">
        <v>10</v>
      </c>
      <c r="F79" s="2">
        <v>-0.7</v>
      </c>
      <c r="G79">
        <f>D79-E79</f>
        <v>2.9000000000000004</v>
      </c>
    </row>
    <row r="80" spans="1:7" x14ac:dyDescent="0.25">
      <c r="A80" t="s">
        <v>34</v>
      </c>
      <c r="B80" t="s">
        <v>29</v>
      </c>
      <c r="C80">
        <v>91297</v>
      </c>
      <c r="D80" s="1">
        <v>11.7</v>
      </c>
      <c r="E80">
        <v>8.8000000000000007</v>
      </c>
      <c r="F80" s="2">
        <v>0.9</v>
      </c>
      <c r="G80">
        <f>D80-E80</f>
        <v>2.8999999999999986</v>
      </c>
    </row>
    <row r="81" spans="1:7" x14ac:dyDescent="0.25">
      <c r="A81" t="s">
        <v>311</v>
      </c>
      <c r="B81" t="s">
        <v>75</v>
      </c>
      <c r="C81">
        <v>46413</v>
      </c>
      <c r="D81" s="1">
        <v>12.5</v>
      </c>
      <c r="E81">
        <v>9.6999999999999993</v>
      </c>
      <c r="F81" s="2">
        <v>0.4</v>
      </c>
      <c r="G81">
        <f>D81-E81</f>
        <v>2.8000000000000007</v>
      </c>
    </row>
    <row r="82" spans="1:7" x14ac:dyDescent="0.25">
      <c r="A82" t="s">
        <v>317</v>
      </c>
      <c r="B82" t="s">
        <v>46</v>
      </c>
      <c r="C82">
        <v>55408</v>
      </c>
      <c r="D82" s="1">
        <v>12.4</v>
      </c>
      <c r="E82">
        <v>9.6</v>
      </c>
      <c r="F82" s="2">
        <v>1.5</v>
      </c>
      <c r="G82">
        <f>D82-E82</f>
        <v>2.8000000000000007</v>
      </c>
    </row>
    <row r="83" spans="1:7" x14ac:dyDescent="0.25">
      <c r="A83" t="s">
        <v>246</v>
      </c>
      <c r="B83" t="s">
        <v>11</v>
      </c>
      <c r="C83">
        <v>34111</v>
      </c>
      <c r="D83" s="1">
        <v>11.4</v>
      </c>
      <c r="E83">
        <v>8.6999999999999993</v>
      </c>
      <c r="F83" s="2">
        <v>-3.4</v>
      </c>
      <c r="G83">
        <f>D83-E83</f>
        <v>2.7000000000000011</v>
      </c>
    </row>
    <row r="84" spans="1:7" x14ac:dyDescent="0.25">
      <c r="A84" t="s">
        <v>153</v>
      </c>
      <c r="B84" t="s">
        <v>9</v>
      </c>
      <c r="C84">
        <v>294685</v>
      </c>
      <c r="D84" s="1">
        <v>10.5</v>
      </c>
      <c r="E84">
        <v>7.8</v>
      </c>
      <c r="F84" s="2">
        <v>-1.4</v>
      </c>
      <c r="G84">
        <f>D84-E84</f>
        <v>2.7</v>
      </c>
    </row>
    <row r="85" spans="1:7" x14ac:dyDescent="0.25">
      <c r="A85" t="s">
        <v>167</v>
      </c>
      <c r="B85" t="s">
        <v>13</v>
      </c>
      <c r="C85">
        <v>92988</v>
      </c>
      <c r="D85" s="1">
        <v>10.4</v>
      </c>
      <c r="E85">
        <v>7.7</v>
      </c>
      <c r="F85" s="2">
        <v>-7.7</v>
      </c>
      <c r="G85">
        <f>D85-E85</f>
        <v>2.7</v>
      </c>
    </row>
    <row r="86" spans="1:7" x14ac:dyDescent="0.25">
      <c r="A86" t="s">
        <v>89</v>
      </c>
      <c r="B86" t="s">
        <v>46</v>
      </c>
      <c r="C86">
        <v>70821</v>
      </c>
      <c r="D86" s="1">
        <v>12.2</v>
      </c>
      <c r="E86">
        <v>9.5</v>
      </c>
      <c r="F86" s="2">
        <v>-1</v>
      </c>
      <c r="G86">
        <f>D86-E86</f>
        <v>2.6999999999999993</v>
      </c>
    </row>
    <row r="87" spans="1:7" x14ac:dyDescent="0.25">
      <c r="A87" t="s">
        <v>148</v>
      </c>
      <c r="B87" t="s">
        <v>31</v>
      </c>
      <c r="C87">
        <v>105170</v>
      </c>
      <c r="D87" s="1">
        <v>10.6</v>
      </c>
      <c r="E87">
        <v>7.9</v>
      </c>
      <c r="F87" s="2">
        <v>-2.8</v>
      </c>
      <c r="G87">
        <f>D87-E87</f>
        <v>2.6999999999999993</v>
      </c>
    </row>
    <row r="88" spans="1:7" x14ac:dyDescent="0.25">
      <c r="A88" t="s">
        <v>209</v>
      </c>
      <c r="B88" t="s">
        <v>13</v>
      </c>
      <c r="C88">
        <v>129449</v>
      </c>
      <c r="D88" s="1">
        <v>11</v>
      </c>
      <c r="E88">
        <v>8.3000000000000007</v>
      </c>
      <c r="F88" s="2">
        <v>-2.7</v>
      </c>
      <c r="G88">
        <f>D88-E88</f>
        <v>2.6999999999999993</v>
      </c>
    </row>
    <row r="89" spans="1:7" x14ac:dyDescent="0.25">
      <c r="A89" t="s">
        <v>329</v>
      </c>
      <c r="B89" t="s">
        <v>29</v>
      </c>
      <c r="C89">
        <v>82736</v>
      </c>
      <c r="D89" s="1">
        <v>12.2</v>
      </c>
      <c r="E89">
        <v>9.5</v>
      </c>
      <c r="F89" s="2">
        <v>0.4</v>
      </c>
      <c r="G89">
        <f>D89-E89</f>
        <v>2.6999999999999993</v>
      </c>
    </row>
    <row r="90" spans="1:7" x14ac:dyDescent="0.25">
      <c r="A90" t="s">
        <v>342</v>
      </c>
      <c r="B90" t="s">
        <v>29</v>
      </c>
      <c r="C90">
        <v>195908</v>
      </c>
      <c r="D90" s="1">
        <v>11.2</v>
      </c>
      <c r="E90">
        <v>8.5</v>
      </c>
      <c r="F90" s="2">
        <v>1.3</v>
      </c>
      <c r="G90">
        <f>D90-E90</f>
        <v>2.6999999999999993</v>
      </c>
    </row>
    <row r="91" spans="1:7" x14ac:dyDescent="0.25">
      <c r="A91" t="s">
        <v>25</v>
      </c>
      <c r="B91" t="s">
        <v>26</v>
      </c>
      <c r="C91">
        <v>22001</v>
      </c>
      <c r="D91" s="1">
        <v>11.3</v>
      </c>
      <c r="E91">
        <v>8.6999999999999993</v>
      </c>
      <c r="F91" s="2">
        <v>-4.2</v>
      </c>
      <c r="G91">
        <f>D91-E91</f>
        <v>2.6000000000000014</v>
      </c>
    </row>
    <row r="92" spans="1:7" x14ac:dyDescent="0.25">
      <c r="A92" t="s">
        <v>250</v>
      </c>
      <c r="B92" t="s">
        <v>11</v>
      </c>
      <c r="C92">
        <v>116766</v>
      </c>
      <c r="D92" s="1">
        <v>11.6</v>
      </c>
      <c r="E92">
        <v>9</v>
      </c>
      <c r="F92" s="2">
        <v>6.5</v>
      </c>
      <c r="G92">
        <f>D92-E92</f>
        <v>2.5999999999999996</v>
      </c>
    </row>
    <row r="93" spans="1:7" x14ac:dyDescent="0.25">
      <c r="A93" t="s">
        <v>257</v>
      </c>
      <c r="B93" t="s">
        <v>46</v>
      </c>
      <c r="C93">
        <v>159332</v>
      </c>
      <c r="D93" s="1">
        <v>11.5</v>
      </c>
      <c r="E93">
        <v>8.9</v>
      </c>
      <c r="F93" s="2">
        <v>0.2</v>
      </c>
      <c r="G93">
        <f>D93-E93</f>
        <v>2.5999999999999996</v>
      </c>
    </row>
    <row r="94" spans="1:7" x14ac:dyDescent="0.25">
      <c r="A94" t="s">
        <v>265</v>
      </c>
      <c r="B94" t="s">
        <v>46</v>
      </c>
      <c r="C94">
        <v>137562</v>
      </c>
      <c r="D94" s="1">
        <v>11.7</v>
      </c>
      <c r="E94">
        <v>9.1</v>
      </c>
      <c r="F94" s="2">
        <v>-1.9</v>
      </c>
      <c r="G94">
        <f>D94-E94</f>
        <v>2.5999999999999996</v>
      </c>
    </row>
    <row r="95" spans="1:7" x14ac:dyDescent="0.25">
      <c r="A95" t="s">
        <v>351</v>
      </c>
      <c r="B95" t="s">
        <v>29</v>
      </c>
      <c r="C95">
        <v>155923</v>
      </c>
      <c r="D95" s="1">
        <v>11.7</v>
      </c>
      <c r="E95">
        <v>9.1</v>
      </c>
      <c r="F95" s="2">
        <v>-0.1</v>
      </c>
      <c r="G95">
        <f>D95-E95</f>
        <v>2.5999999999999996</v>
      </c>
    </row>
    <row r="96" spans="1:7" x14ac:dyDescent="0.25">
      <c r="A96" t="s">
        <v>81</v>
      </c>
      <c r="B96" t="s">
        <v>7</v>
      </c>
      <c r="C96">
        <v>38708</v>
      </c>
      <c r="D96" s="1">
        <v>11.4</v>
      </c>
      <c r="E96">
        <v>8.9</v>
      </c>
      <c r="F96" s="2">
        <v>-0.9</v>
      </c>
      <c r="G96">
        <f>D96-E96</f>
        <v>2.5</v>
      </c>
    </row>
    <row r="97" spans="1:7" x14ac:dyDescent="0.25">
      <c r="A97" t="s">
        <v>129</v>
      </c>
      <c r="B97" t="s">
        <v>22</v>
      </c>
      <c r="C97">
        <v>57164</v>
      </c>
      <c r="D97" s="1">
        <v>11.4</v>
      </c>
      <c r="E97">
        <v>8.9</v>
      </c>
      <c r="F97" s="2">
        <v>-2.2000000000000002</v>
      </c>
      <c r="G97">
        <f>D97-E97</f>
        <v>2.5</v>
      </c>
    </row>
    <row r="98" spans="1:7" x14ac:dyDescent="0.25">
      <c r="A98" t="s">
        <v>195</v>
      </c>
      <c r="B98" t="s">
        <v>26</v>
      </c>
      <c r="C98">
        <v>172770</v>
      </c>
      <c r="D98" s="1">
        <v>11.1</v>
      </c>
      <c r="E98">
        <v>8.6</v>
      </c>
      <c r="F98" s="2">
        <v>-0.4</v>
      </c>
      <c r="G98">
        <f>D98-E98</f>
        <v>2.5</v>
      </c>
    </row>
    <row r="99" spans="1:7" x14ac:dyDescent="0.25">
      <c r="A99" t="s">
        <v>237</v>
      </c>
      <c r="B99" t="s">
        <v>42</v>
      </c>
      <c r="C99">
        <v>35642</v>
      </c>
      <c r="D99" s="1">
        <v>11.8</v>
      </c>
      <c r="E99">
        <v>9.3000000000000007</v>
      </c>
      <c r="F99" s="2">
        <v>-1.6</v>
      </c>
      <c r="G99">
        <f>D99-E99</f>
        <v>2.5</v>
      </c>
    </row>
    <row r="100" spans="1:7" x14ac:dyDescent="0.25">
      <c r="A100" t="s">
        <v>14</v>
      </c>
      <c r="B100" t="s">
        <v>15</v>
      </c>
      <c r="C100">
        <v>112993</v>
      </c>
      <c r="D100" s="1">
        <v>11.5</v>
      </c>
      <c r="E100">
        <v>9.1</v>
      </c>
      <c r="F100" s="2">
        <v>-1.6</v>
      </c>
      <c r="G100">
        <f>D100-E100</f>
        <v>2.4000000000000004</v>
      </c>
    </row>
    <row r="101" spans="1:7" x14ac:dyDescent="0.25">
      <c r="A101" t="s">
        <v>43</v>
      </c>
      <c r="B101" t="s">
        <v>7</v>
      </c>
      <c r="C101">
        <v>51456</v>
      </c>
      <c r="D101" s="1">
        <v>12.4</v>
      </c>
      <c r="E101">
        <v>10</v>
      </c>
      <c r="F101" s="2">
        <v>-2</v>
      </c>
      <c r="G101">
        <f>D101-E101</f>
        <v>2.4000000000000004</v>
      </c>
    </row>
    <row r="102" spans="1:7" x14ac:dyDescent="0.25">
      <c r="A102" t="s">
        <v>198</v>
      </c>
      <c r="B102" t="s">
        <v>15</v>
      </c>
      <c r="C102">
        <v>48958</v>
      </c>
      <c r="D102" s="1">
        <v>11</v>
      </c>
      <c r="E102">
        <v>8.6</v>
      </c>
      <c r="F102" s="2">
        <v>-1.6</v>
      </c>
      <c r="G102">
        <f>D102-E102</f>
        <v>2.4000000000000004</v>
      </c>
    </row>
    <row r="103" spans="1:7" x14ac:dyDescent="0.25">
      <c r="A103" t="s">
        <v>335</v>
      </c>
      <c r="B103" t="s">
        <v>46</v>
      </c>
      <c r="C103">
        <v>87260</v>
      </c>
      <c r="D103" s="1">
        <v>12</v>
      </c>
      <c r="E103">
        <v>9.6</v>
      </c>
      <c r="F103" s="2">
        <v>1.2</v>
      </c>
      <c r="G103">
        <f>D103-E103</f>
        <v>2.4000000000000004</v>
      </c>
    </row>
    <row r="104" spans="1:7" x14ac:dyDescent="0.25">
      <c r="A104" t="s">
        <v>337</v>
      </c>
      <c r="B104" t="s">
        <v>11</v>
      </c>
      <c r="C104">
        <v>69286</v>
      </c>
      <c r="D104" s="1">
        <v>12.1</v>
      </c>
      <c r="E104">
        <v>9.6999999999999993</v>
      </c>
      <c r="F104" s="2">
        <v>-2.2000000000000002</v>
      </c>
      <c r="G104">
        <f>D104-E104</f>
        <v>2.4000000000000004</v>
      </c>
    </row>
    <row r="105" spans="1:7" x14ac:dyDescent="0.25">
      <c r="A105" t="s">
        <v>350</v>
      </c>
      <c r="B105" t="s">
        <v>7</v>
      </c>
      <c r="C105">
        <v>34777</v>
      </c>
      <c r="D105" s="1">
        <v>12.1</v>
      </c>
      <c r="E105">
        <v>9.6999999999999993</v>
      </c>
      <c r="F105" s="2">
        <v>-1.4</v>
      </c>
      <c r="G105">
        <f>D105-E105</f>
        <v>2.4000000000000004</v>
      </c>
    </row>
    <row r="106" spans="1:7" x14ac:dyDescent="0.25">
      <c r="A106" t="s">
        <v>112</v>
      </c>
      <c r="B106" t="s">
        <v>46</v>
      </c>
      <c r="C106">
        <v>125965</v>
      </c>
      <c r="D106" s="1">
        <v>11.7</v>
      </c>
      <c r="E106">
        <v>9.3000000000000007</v>
      </c>
      <c r="F106" s="2">
        <v>2.5</v>
      </c>
      <c r="G106">
        <f>D106-E106</f>
        <v>2.3999999999999986</v>
      </c>
    </row>
    <row r="107" spans="1:7" x14ac:dyDescent="0.25">
      <c r="A107" t="s">
        <v>150</v>
      </c>
      <c r="B107" t="s">
        <v>22</v>
      </c>
      <c r="C107">
        <v>107953</v>
      </c>
      <c r="D107" s="1">
        <v>12.2</v>
      </c>
      <c r="E107">
        <v>9.8000000000000007</v>
      </c>
      <c r="F107" s="2">
        <v>-4.0999999999999996</v>
      </c>
      <c r="G107">
        <f>D107-E107</f>
        <v>2.3999999999999986</v>
      </c>
    </row>
    <row r="108" spans="1:7" x14ac:dyDescent="0.25">
      <c r="A108" t="s">
        <v>228</v>
      </c>
      <c r="B108" t="s">
        <v>11</v>
      </c>
      <c r="C108">
        <v>50169</v>
      </c>
      <c r="D108" s="1">
        <v>11.2</v>
      </c>
      <c r="E108">
        <v>8.8000000000000007</v>
      </c>
      <c r="F108" s="2">
        <v>-2.2000000000000002</v>
      </c>
      <c r="G108">
        <f>D108-E108</f>
        <v>2.3999999999999986</v>
      </c>
    </row>
    <row r="109" spans="1:7" x14ac:dyDescent="0.25">
      <c r="A109" t="s">
        <v>62</v>
      </c>
      <c r="B109" t="s">
        <v>17</v>
      </c>
      <c r="C109">
        <v>106927</v>
      </c>
      <c r="D109" s="1">
        <v>13</v>
      </c>
      <c r="E109">
        <v>10.7</v>
      </c>
      <c r="F109" s="2">
        <v>-0.9</v>
      </c>
      <c r="G109">
        <f>D109-E109</f>
        <v>2.3000000000000007</v>
      </c>
    </row>
    <row r="110" spans="1:7" x14ac:dyDescent="0.25">
      <c r="A110" t="s">
        <v>222</v>
      </c>
      <c r="B110" t="s">
        <v>13</v>
      </c>
      <c r="C110">
        <v>92655</v>
      </c>
      <c r="D110" s="1">
        <v>11.5</v>
      </c>
      <c r="E110">
        <v>9.1999999999999993</v>
      </c>
      <c r="F110" s="2">
        <v>4.8</v>
      </c>
      <c r="G110">
        <f>D110-E110</f>
        <v>2.3000000000000007</v>
      </c>
    </row>
    <row r="111" spans="1:7" x14ac:dyDescent="0.25">
      <c r="A111" t="s">
        <v>245</v>
      </c>
      <c r="B111" t="s">
        <v>31</v>
      </c>
      <c r="C111">
        <v>72357</v>
      </c>
      <c r="D111" s="1">
        <v>11.4</v>
      </c>
      <c r="E111">
        <v>9.1</v>
      </c>
      <c r="F111" s="2">
        <v>4.3</v>
      </c>
      <c r="G111">
        <f>D111-E111</f>
        <v>2.3000000000000007</v>
      </c>
    </row>
    <row r="112" spans="1:7" x14ac:dyDescent="0.25">
      <c r="A112" t="s">
        <v>334</v>
      </c>
      <c r="B112" t="s">
        <v>7</v>
      </c>
      <c r="C112">
        <v>97642</v>
      </c>
      <c r="D112" s="1">
        <v>11.8</v>
      </c>
      <c r="E112">
        <v>9.5</v>
      </c>
      <c r="F112" s="2">
        <v>0.1</v>
      </c>
      <c r="G112">
        <f>D112-E112</f>
        <v>2.3000000000000007</v>
      </c>
    </row>
    <row r="113" spans="1:7" x14ac:dyDescent="0.25">
      <c r="A113" t="s">
        <v>349</v>
      </c>
      <c r="B113" t="s">
        <v>46</v>
      </c>
      <c r="C113">
        <v>83691</v>
      </c>
      <c r="D113" s="1">
        <v>12.4</v>
      </c>
      <c r="E113">
        <v>10.1</v>
      </c>
      <c r="F113" s="2">
        <v>-1.7</v>
      </c>
      <c r="G113">
        <f>D113-E113</f>
        <v>2.3000000000000007</v>
      </c>
    </row>
    <row r="114" spans="1:7" x14ac:dyDescent="0.25">
      <c r="A114" t="s">
        <v>137</v>
      </c>
      <c r="B114" t="s">
        <v>7</v>
      </c>
      <c r="C114">
        <v>66162</v>
      </c>
      <c r="D114" s="1">
        <v>12.8</v>
      </c>
      <c r="E114">
        <v>10.6</v>
      </c>
      <c r="F114" s="2">
        <v>-2</v>
      </c>
      <c r="G114">
        <f>D114-E114</f>
        <v>2.2000000000000011</v>
      </c>
    </row>
    <row r="115" spans="1:7" x14ac:dyDescent="0.25">
      <c r="A115" t="s">
        <v>359</v>
      </c>
      <c r="B115" t="s">
        <v>29</v>
      </c>
      <c r="C115">
        <v>110400</v>
      </c>
      <c r="D115" s="1">
        <v>11.3</v>
      </c>
      <c r="E115">
        <v>9.1</v>
      </c>
      <c r="F115" s="2">
        <v>12.5</v>
      </c>
      <c r="G115">
        <f>D115-E115</f>
        <v>2.2000000000000011</v>
      </c>
    </row>
    <row r="116" spans="1:7" x14ac:dyDescent="0.25">
      <c r="A116" t="s">
        <v>70</v>
      </c>
      <c r="B116" t="s">
        <v>19</v>
      </c>
      <c r="C116">
        <v>79937</v>
      </c>
      <c r="D116" s="1">
        <v>11.1</v>
      </c>
      <c r="E116">
        <v>8.9</v>
      </c>
      <c r="F116" s="2">
        <v>2.2000000000000002</v>
      </c>
      <c r="G116">
        <f>D116-E116</f>
        <v>2.1999999999999993</v>
      </c>
    </row>
    <row r="117" spans="1:7" x14ac:dyDescent="0.25">
      <c r="A117" t="s">
        <v>115</v>
      </c>
      <c r="B117" t="s">
        <v>19</v>
      </c>
      <c r="C117">
        <v>65049</v>
      </c>
      <c r="D117" s="1">
        <v>11.5</v>
      </c>
      <c r="E117">
        <v>9.3000000000000007</v>
      </c>
      <c r="F117" s="2">
        <v>3.8</v>
      </c>
      <c r="G117">
        <f>D117-E117</f>
        <v>2.1999999999999993</v>
      </c>
    </row>
    <row r="118" spans="1:7" x14ac:dyDescent="0.25">
      <c r="A118" t="s">
        <v>132</v>
      </c>
      <c r="B118" t="s">
        <v>26</v>
      </c>
      <c r="C118">
        <v>26608</v>
      </c>
      <c r="D118" s="1">
        <v>9.1999999999999993</v>
      </c>
      <c r="E118">
        <v>7</v>
      </c>
      <c r="F118" s="2">
        <v>-0.9</v>
      </c>
      <c r="G118">
        <f>D118-E118</f>
        <v>2.1999999999999993</v>
      </c>
    </row>
    <row r="119" spans="1:7" x14ac:dyDescent="0.25">
      <c r="A119" t="s">
        <v>224</v>
      </c>
      <c r="B119" t="s">
        <v>17</v>
      </c>
      <c r="C119">
        <v>144294</v>
      </c>
      <c r="D119" s="1">
        <v>12.7</v>
      </c>
      <c r="E119">
        <v>10.5</v>
      </c>
      <c r="F119" s="2">
        <v>5</v>
      </c>
      <c r="G119">
        <f>D119-E119</f>
        <v>2.1999999999999993</v>
      </c>
    </row>
    <row r="120" spans="1:7" x14ac:dyDescent="0.25">
      <c r="A120" t="s">
        <v>255</v>
      </c>
      <c r="B120" t="s">
        <v>17</v>
      </c>
      <c r="C120">
        <v>84578</v>
      </c>
      <c r="D120" s="1">
        <v>12.5</v>
      </c>
      <c r="E120">
        <v>10.3</v>
      </c>
      <c r="F120" s="2">
        <v>1.4</v>
      </c>
      <c r="G120">
        <f>D120-E120</f>
        <v>2.1999999999999993</v>
      </c>
    </row>
    <row r="121" spans="1:7" x14ac:dyDescent="0.25">
      <c r="A121" t="s">
        <v>289</v>
      </c>
      <c r="B121" t="s">
        <v>17</v>
      </c>
      <c r="C121">
        <v>147212</v>
      </c>
      <c r="D121" s="1">
        <v>11.7</v>
      </c>
      <c r="E121">
        <v>9.5</v>
      </c>
      <c r="F121" s="2">
        <v>2.2000000000000002</v>
      </c>
      <c r="G121">
        <f>D121-E121</f>
        <v>2.1999999999999993</v>
      </c>
    </row>
    <row r="122" spans="1:7" x14ac:dyDescent="0.25">
      <c r="A122" t="s">
        <v>71</v>
      </c>
      <c r="B122" t="s">
        <v>7</v>
      </c>
      <c r="C122">
        <v>45281</v>
      </c>
      <c r="D122" s="1">
        <v>11.9</v>
      </c>
      <c r="E122">
        <v>9.8000000000000007</v>
      </c>
      <c r="F122" s="2">
        <v>-1.4</v>
      </c>
      <c r="G122">
        <f>D122-E122</f>
        <v>2.0999999999999996</v>
      </c>
    </row>
    <row r="123" spans="1:7" x14ac:dyDescent="0.25">
      <c r="A123" t="s">
        <v>82</v>
      </c>
      <c r="B123" t="s">
        <v>19</v>
      </c>
      <c r="C123">
        <v>60595</v>
      </c>
      <c r="D123" s="1">
        <v>11.6</v>
      </c>
      <c r="E123">
        <v>9.5</v>
      </c>
      <c r="F123" s="2">
        <v>-1.8</v>
      </c>
      <c r="G123">
        <f>D123-E123</f>
        <v>2.0999999999999996</v>
      </c>
    </row>
    <row r="124" spans="1:7" x14ac:dyDescent="0.25">
      <c r="A124" t="s">
        <v>325</v>
      </c>
      <c r="B124" t="s">
        <v>75</v>
      </c>
      <c r="C124">
        <v>49789</v>
      </c>
      <c r="D124" s="1">
        <v>11.7</v>
      </c>
      <c r="E124">
        <v>9.6</v>
      </c>
      <c r="F124" s="2">
        <v>-3.3</v>
      </c>
      <c r="G124">
        <f>D124-E124</f>
        <v>2.0999999999999996</v>
      </c>
    </row>
    <row r="125" spans="1:7" x14ac:dyDescent="0.25">
      <c r="A125" t="s">
        <v>332</v>
      </c>
      <c r="B125" t="s">
        <v>19</v>
      </c>
      <c r="C125">
        <v>48470</v>
      </c>
      <c r="D125" s="1">
        <v>11.4</v>
      </c>
      <c r="E125">
        <v>9.3000000000000007</v>
      </c>
      <c r="F125" s="2">
        <v>-3.2</v>
      </c>
      <c r="G125">
        <f>D125-E125</f>
        <v>2.0999999999999996</v>
      </c>
    </row>
    <row r="126" spans="1:7" x14ac:dyDescent="0.25">
      <c r="A126" t="s">
        <v>45</v>
      </c>
      <c r="B126" t="s">
        <v>46</v>
      </c>
      <c r="C126">
        <v>47389</v>
      </c>
      <c r="D126" s="1">
        <v>12.1</v>
      </c>
      <c r="E126">
        <v>10.1</v>
      </c>
      <c r="F126" s="2">
        <v>0.1</v>
      </c>
      <c r="G126">
        <f>D126-E126</f>
        <v>2</v>
      </c>
    </row>
    <row r="127" spans="1:7" x14ac:dyDescent="0.25">
      <c r="A127" t="s">
        <v>101</v>
      </c>
      <c r="B127" t="s">
        <v>46</v>
      </c>
      <c r="C127">
        <v>55903</v>
      </c>
      <c r="D127" s="1">
        <v>11.3</v>
      </c>
      <c r="E127">
        <v>9.3000000000000007</v>
      </c>
      <c r="F127" s="2">
        <v>-0.9</v>
      </c>
      <c r="G127">
        <f>D127-E127</f>
        <v>2</v>
      </c>
    </row>
    <row r="128" spans="1:7" x14ac:dyDescent="0.25">
      <c r="A128" t="s">
        <v>103</v>
      </c>
      <c r="B128" t="s">
        <v>39</v>
      </c>
      <c r="C128">
        <v>201643</v>
      </c>
      <c r="D128" s="1">
        <v>11.2</v>
      </c>
      <c r="E128">
        <v>9.1999999999999993</v>
      </c>
      <c r="F128" s="2">
        <v>2.9</v>
      </c>
      <c r="G128">
        <f>D128-E128</f>
        <v>2</v>
      </c>
    </row>
    <row r="129" spans="1:7" x14ac:dyDescent="0.25">
      <c r="A129" t="s">
        <v>134</v>
      </c>
      <c r="B129" t="s">
        <v>26</v>
      </c>
      <c r="C129">
        <v>69105</v>
      </c>
      <c r="D129" s="1">
        <v>10.5</v>
      </c>
      <c r="E129">
        <v>8.5</v>
      </c>
      <c r="F129" s="2">
        <v>-1.8</v>
      </c>
      <c r="G129">
        <f>D129-E129</f>
        <v>2</v>
      </c>
    </row>
    <row r="130" spans="1:7" x14ac:dyDescent="0.25">
      <c r="A130" t="s">
        <v>173</v>
      </c>
      <c r="B130" t="s">
        <v>46</v>
      </c>
      <c r="C130">
        <v>79516</v>
      </c>
      <c r="D130" s="1">
        <v>10.1</v>
      </c>
      <c r="E130">
        <v>8.1</v>
      </c>
      <c r="F130" s="2">
        <v>-6.3</v>
      </c>
      <c r="G130">
        <f>D130-E130</f>
        <v>2</v>
      </c>
    </row>
    <row r="131" spans="1:7" x14ac:dyDescent="0.25">
      <c r="A131" t="s">
        <v>254</v>
      </c>
      <c r="B131" t="s">
        <v>11</v>
      </c>
      <c r="C131">
        <v>104506</v>
      </c>
      <c r="D131" s="1">
        <v>11.6</v>
      </c>
      <c r="E131">
        <v>9.6</v>
      </c>
      <c r="F131" s="2">
        <v>-3.7</v>
      </c>
      <c r="G131">
        <f>D131-E131</f>
        <v>2</v>
      </c>
    </row>
    <row r="132" spans="1:7" x14ac:dyDescent="0.25">
      <c r="A132" t="s">
        <v>109</v>
      </c>
      <c r="B132" t="s">
        <v>19</v>
      </c>
      <c r="C132">
        <v>77095</v>
      </c>
      <c r="D132" s="1">
        <v>10.6</v>
      </c>
      <c r="E132">
        <v>8.6999999999999993</v>
      </c>
      <c r="F132" s="2">
        <v>0.8</v>
      </c>
      <c r="G132">
        <f>D132-E132</f>
        <v>1.9000000000000004</v>
      </c>
    </row>
    <row r="133" spans="1:7" x14ac:dyDescent="0.25">
      <c r="A133" t="s">
        <v>121</v>
      </c>
      <c r="B133" t="s">
        <v>26</v>
      </c>
      <c r="C133">
        <v>110849</v>
      </c>
      <c r="D133" s="1">
        <v>11.1</v>
      </c>
      <c r="E133">
        <v>9.1999999999999993</v>
      </c>
      <c r="F133" s="2">
        <v>-0.1</v>
      </c>
      <c r="G133">
        <f>D133-E133</f>
        <v>1.9000000000000004</v>
      </c>
    </row>
    <row r="134" spans="1:7" x14ac:dyDescent="0.25">
      <c r="A134" t="s">
        <v>217</v>
      </c>
      <c r="B134" t="s">
        <v>42</v>
      </c>
      <c r="C134">
        <v>62842</v>
      </c>
      <c r="D134" s="1">
        <v>11.3</v>
      </c>
      <c r="E134">
        <v>9.4</v>
      </c>
      <c r="F134" s="2">
        <v>1</v>
      </c>
      <c r="G134">
        <f>D134-E134</f>
        <v>1.9000000000000004</v>
      </c>
    </row>
    <row r="135" spans="1:7" x14ac:dyDescent="0.25">
      <c r="A135" t="s">
        <v>220</v>
      </c>
      <c r="B135" t="s">
        <v>75</v>
      </c>
      <c r="C135">
        <v>58250</v>
      </c>
      <c r="D135" s="1">
        <v>11.3</v>
      </c>
      <c r="E135">
        <v>9.4</v>
      </c>
      <c r="F135" s="2">
        <v>-2.4</v>
      </c>
      <c r="G135">
        <f>D135-E135</f>
        <v>1.9000000000000004</v>
      </c>
    </row>
    <row r="136" spans="1:7" x14ac:dyDescent="0.25">
      <c r="A136" t="s">
        <v>235</v>
      </c>
      <c r="B136" t="s">
        <v>11</v>
      </c>
      <c r="C136">
        <v>33444</v>
      </c>
      <c r="D136" s="1">
        <v>11.8</v>
      </c>
      <c r="E136">
        <v>9.9</v>
      </c>
      <c r="F136" s="2">
        <v>-6</v>
      </c>
      <c r="G136">
        <f>D136-E136</f>
        <v>1.9000000000000004</v>
      </c>
    </row>
    <row r="137" spans="1:7" x14ac:dyDescent="0.25">
      <c r="A137" t="s">
        <v>258</v>
      </c>
      <c r="B137" t="s">
        <v>46</v>
      </c>
      <c r="C137">
        <v>54973</v>
      </c>
      <c r="D137" s="1">
        <v>11.9</v>
      </c>
      <c r="E137">
        <v>10</v>
      </c>
      <c r="F137" s="2">
        <v>1.1000000000000001</v>
      </c>
      <c r="G137">
        <f>D137-E137</f>
        <v>1.9000000000000004</v>
      </c>
    </row>
    <row r="138" spans="1:7" x14ac:dyDescent="0.25">
      <c r="A138" t="s">
        <v>113</v>
      </c>
      <c r="B138" t="s">
        <v>46</v>
      </c>
      <c r="C138">
        <v>78205</v>
      </c>
      <c r="D138" s="1">
        <v>11.4</v>
      </c>
      <c r="E138">
        <v>9.6</v>
      </c>
      <c r="F138" s="2">
        <v>-0.7</v>
      </c>
      <c r="G138">
        <f>D138-E138</f>
        <v>1.8000000000000007</v>
      </c>
    </row>
    <row r="139" spans="1:7" x14ac:dyDescent="0.25">
      <c r="A139" t="s">
        <v>165</v>
      </c>
      <c r="B139" t="s">
        <v>75</v>
      </c>
      <c r="C139">
        <v>125383</v>
      </c>
      <c r="D139" s="1">
        <v>11</v>
      </c>
      <c r="E139">
        <v>9.1999999999999993</v>
      </c>
      <c r="F139" s="2">
        <v>-1.6</v>
      </c>
      <c r="G139">
        <f>D139-E139</f>
        <v>1.8000000000000007</v>
      </c>
    </row>
    <row r="140" spans="1:7" x14ac:dyDescent="0.25">
      <c r="A140" t="s">
        <v>287</v>
      </c>
      <c r="B140" t="s">
        <v>19</v>
      </c>
      <c r="C140">
        <v>39930</v>
      </c>
      <c r="D140" s="1">
        <v>11.5</v>
      </c>
      <c r="E140">
        <v>9.6999999999999993</v>
      </c>
      <c r="F140" s="2">
        <v>-2.2999999999999998</v>
      </c>
      <c r="G140">
        <f>D140-E140</f>
        <v>1.8000000000000007</v>
      </c>
    </row>
    <row r="141" spans="1:7" x14ac:dyDescent="0.25">
      <c r="A141" t="s">
        <v>312</v>
      </c>
      <c r="B141" t="s">
        <v>46</v>
      </c>
      <c r="C141">
        <v>58516</v>
      </c>
      <c r="D141" s="1">
        <v>11.5</v>
      </c>
      <c r="E141">
        <v>9.6999999999999993</v>
      </c>
      <c r="F141" s="2">
        <v>-2.5</v>
      </c>
      <c r="G141">
        <f>D141-E141</f>
        <v>1.8000000000000007</v>
      </c>
    </row>
    <row r="142" spans="1:7" x14ac:dyDescent="0.25">
      <c r="A142" t="s">
        <v>321</v>
      </c>
      <c r="B142" t="s">
        <v>19</v>
      </c>
      <c r="C142">
        <v>119340</v>
      </c>
      <c r="D142" s="1">
        <v>11</v>
      </c>
      <c r="E142">
        <v>9.1999999999999993</v>
      </c>
      <c r="F142" s="2">
        <v>-0.6</v>
      </c>
      <c r="G142">
        <f>D142-E142</f>
        <v>1.8000000000000007</v>
      </c>
    </row>
    <row r="143" spans="1:7" x14ac:dyDescent="0.25">
      <c r="A143" t="s">
        <v>57</v>
      </c>
      <c r="B143" t="s">
        <v>19</v>
      </c>
      <c r="C143">
        <v>57485</v>
      </c>
      <c r="D143" s="1">
        <v>11.2</v>
      </c>
      <c r="E143">
        <v>9.4</v>
      </c>
      <c r="F143" s="2">
        <v>-3.6</v>
      </c>
      <c r="G143">
        <f>D143-E143</f>
        <v>1.7999999999999989</v>
      </c>
    </row>
    <row r="144" spans="1:7" x14ac:dyDescent="0.25">
      <c r="A144" t="s">
        <v>79</v>
      </c>
      <c r="B144" t="s">
        <v>17</v>
      </c>
      <c r="C144">
        <v>81923</v>
      </c>
      <c r="D144" s="1">
        <v>12.3</v>
      </c>
      <c r="E144">
        <v>10.6</v>
      </c>
      <c r="F144" s="2">
        <v>13.7</v>
      </c>
      <c r="G144">
        <f>D144-E144</f>
        <v>1.7000000000000011</v>
      </c>
    </row>
    <row r="145" spans="1:7" x14ac:dyDescent="0.25">
      <c r="A145" t="s">
        <v>83</v>
      </c>
      <c r="B145" t="s">
        <v>19</v>
      </c>
      <c r="C145">
        <v>82830</v>
      </c>
      <c r="D145" s="1">
        <v>10.8</v>
      </c>
      <c r="E145">
        <v>9.1</v>
      </c>
      <c r="F145" s="2">
        <v>-2.8</v>
      </c>
      <c r="G145">
        <f>D145-E145</f>
        <v>1.7000000000000011</v>
      </c>
    </row>
    <row r="146" spans="1:7" x14ac:dyDescent="0.25">
      <c r="A146" t="s">
        <v>234</v>
      </c>
      <c r="B146" t="s">
        <v>35</v>
      </c>
      <c r="C146">
        <v>43814</v>
      </c>
      <c r="D146" s="1">
        <v>10.8</v>
      </c>
      <c r="E146">
        <v>9.1</v>
      </c>
      <c r="F146" s="2">
        <v>-2.7</v>
      </c>
      <c r="G146">
        <f>D146-E146</f>
        <v>1.7000000000000011</v>
      </c>
    </row>
    <row r="147" spans="1:7" x14ac:dyDescent="0.25">
      <c r="A147" t="s">
        <v>333</v>
      </c>
      <c r="B147" t="s">
        <v>75</v>
      </c>
      <c r="C147">
        <v>56038</v>
      </c>
      <c r="D147" s="1">
        <v>11.8</v>
      </c>
      <c r="E147">
        <v>10.1</v>
      </c>
      <c r="F147" s="2">
        <v>0</v>
      </c>
      <c r="G147">
        <f>D147-E147</f>
        <v>1.7000000000000011</v>
      </c>
    </row>
    <row r="148" spans="1:7" x14ac:dyDescent="0.25">
      <c r="A148" t="s">
        <v>60</v>
      </c>
      <c r="B148" t="s">
        <v>11</v>
      </c>
      <c r="C148">
        <v>56389</v>
      </c>
      <c r="D148" s="1">
        <v>11.6</v>
      </c>
      <c r="E148">
        <v>9.9</v>
      </c>
      <c r="F148" s="2">
        <v>-2</v>
      </c>
      <c r="G148">
        <f>D148-E148</f>
        <v>1.6999999999999993</v>
      </c>
    </row>
    <row r="149" spans="1:7" x14ac:dyDescent="0.25">
      <c r="A149" t="s">
        <v>117</v>
      </c>
      <c r="B149" t="s">
        <v>29</v>
      </c>
      <c r="C149">
        <v>253344</v>
      </c>
      <c r="D149" s="1">
        <v>11.2</v>
      </c>
      <c r="E149">
        <v>9.5</v>
      </c>
      <c r="F149" s="2">
        <v>9.9</v>
      </c>
      <c r="G149">
        <f>D149-E149</f>
        <v>1.6999999999999993</v>
      </c>
    </row>
    <row r="150" spans="1:7" x14ac:dyDescent="0.25">
      <c r="A150" t="s">
        <v>237</v>
      </c>
      <c r="B150" t="s">
        <v>17</v>
      </c>
      <c r="C150">
        <v>76583</v>
      </c>
      <c r="D150" s="1">
        <v>11.2</v>
      </c>
      <c r="E150">
        <v>9.5</v>
      </c>
      <c r="F150" s="2">
        <v>2.7</v>
      </c>
      <c r="G150">
        <f>D150-E150</f>
        <v>1.6999999999999993</v>
      </c>
    </row>
    <row r="151" spans="1:7" x14ac:dyDescent="0.25">
      <c r="A151" t="s">
        <v>269</v>
      </c>
      <c r="B151" t="s">
        <v>46</v>
      </c>
      <c r="C151">
        <v>62407</v>
      </c>
      <c r="D151" s="1">
        <v>11.2</v>
      </c>
      <c r="E151">
        <v>9.5</v>
      </c>
      <c r="F151" s="2">
        <v>-0.6</v>
      </c>
      <c r="G151">
        <f>D151-E151</f>
        <v>1.6999999999999993</v>
      </c>
    </row>
    <row r="152" spans="1:7" x14ac:dyDescent="0.25">
      <c r="A152" t="s">
        <v>278</v>
      </c>
      <c r="B152" t="s">
        <v>17</v>
      </c>
      <c r="C152">
        <v>150270</v>
      </c>
      <c r="D152" s="1">
        <v>11.2</v>
      </c>
      <c r="E152">
        <v>9.5</v>
      </c>
      <c r="F152" s="2">
        <v>9.5</v>
      </c>
      <c r="G152">
        <f>D152-E152</f>
        <v>1.6999999999999993</v>
      </c>
    </row>
    <row r="153" spans="1:7" x14ac:dyDescent="0.25">
      <c r="A153" t="s">
        <v>299</v>
      </c>
      <c r="B153" t="s">
        <v>26</v>
      </c>
      <c r="C153">
        <v>164900</v>
      </c>
      <c r="D153" s="1">
        <v>11.2</v>
      </c>
      <c r="E153">
        <v>9.5</v>
      </c>
      <c r="F153" s="2">
        <v>5.4</v>
      </c>
      <c r="G153">
        <f>D153-E153</f>
        <v>1.6999999999999993</v>
      </c>
    </row>
    <row r="154" spans="1:7" x14ac:dyDescent="0.25">
      <c r="A154" t="s">
        <v>386</v>
      </c>
      <c r="B154" t="s">
        <v>7</v>
      </c>
      <c r="C154">
        <v>69985</v>
      </c>
      <c r="D154" s="1">
        <v>11.6</v>
      </c>
      <c r="E154">
        <v>9.9</v>
      </c>
      <c r="F154" s="2">
        <v>-0.4</v>
      </c>
      <c r="G154">
        <f>D154-E154</f>
        <v>1.6999999999999993</v>
      </c>
    </row>
    <row r="155" spans="1:7" x14ac:dyDescent="0.25">
      <c r="A155" t="s">
        <v>208</v>
      </c>
      <c r="B155" t="s">
        <v>7</v>
      </c>
      <c r="C155">
        <v>205718</v>
      </c>
      <c r="D155" s="1">
        <v>10.8</v>
      </c>
      <c r="E155">
        <v>9.1999999999999993</v>
      </c>
      <c r="F155" s="2">
        <v>-3</v>
      </c>
      <c r="G155">
        <f>D155-E155</f>
        <v>1.6000000000000014</v>
      </c>
    </row>
    <row r="156" spans="1:7" x14ac:dyDescent="0.25">
      <c r="A156" t="s">
        <v>293</v>
      </c>
      <c r="B156" t="s">
        <v>46</v>
      </c>
      <c r="C156">
        <v>59826</v>
      </c>
      <c r="D156" s="1">
        <v>11.8</v>
      </c>
      <c r="E156">
        <v>10.199999999999999</v>
      </c>
      <c r="F156" s="2">
        <v>0.6</v>
      </c>
      <c r="G156">
        <f>D156-E156</f>
        <v>1.6000000000000014</v>
      </c>
    </row>
    <row r="157" spans="1:7" x14ac:dyDescent="0.25">
      <c r="A157" t="s">
        <v>354</v>
      </c>
      <c r="B157" t="s">
        <v>19</v>
      </c>
      <c r="C157">
        <v>54098</v>
      </c>
      <c r="D157" s="1">
        <v>10.8</v>
      </c>
      <c r="E157">
        <v>9.1999999999999993</v>
      </c>
      <c r="F157" s="2">
        <v>-3.3</v>
      </c>
      <c r="G157">
        <f>D157-E157</f>
        <v>1.6000000000000014</v>
      </c>
    </row>
    <row r="158" spans="1:7" x14ac:dyDescent="0.25">
      <c r="A158" t="s">
        <v>240</v>
      </c>
      <c r="B158" t="s">
        <v>75</v>
      </c>
      <c r="C158">
        <v>86890</v>
      </c>
      <c r="D158" s="1">
        <v>11.9</v>
      </c>
      <c r="E158">
        <v>10.3</v>
      </c>
      <c r="F158" s="2">
        <v>-2</v>
      </c>
      <c r="G158">
        <f>D158-E158</f>
        <v>1.5999999999999996</v>
      </c>
    </row>
    <row r="159" spans="1:7" x14ac:dyDescent="0.25">
      <c r="A159" t="s">
        <v>296</v>
      </c>
      <c r="B159" t="s">
        <v>13</v>
      </c>
      <c r="C159">
        <v>74509</v>
      </c>
      <c r="D159" s="1">
        <v>11</v>
      </c>
      <c r="E159">
        <v>9.4</v>
      </c>
      <c r="F159" s="2">
        <v>3.1</v>
      </c>
      <c r="G159">
        <f>D159-E159</f>
        <v>1.5999999999999996</v>
      </c>
    </row>
    <row r="160" spans="1:7" x14ac:dyDescent="0.25">
      <c r="A160" t="s">
        <v>365</v>
      </c>
      <c r="B160" t="s">
        <v>13</v>
      </c>
      <c r="C160">
        <v>155982</v>
      </c>
      <c r="D160" s="1">
        <v>11.2</v>
      </c>
      <c r="E160">
        <v>9.6</v>
      </c>
      <c r="F160" s="2">
        <v>0.6</v>
      </c>
      <c r="G160">
        <f>D160-E160</f>
        <v>1.5999999999999996</v>
      </c>
    </row>
    <row r="161" spans="1:7" x14ac:dyDescent="0.25">
      <c r="A161" t="s">
        <v>18</v>
      </c>
      <c r="B161" t="s">
        <v>19</v>
      </c>
      <c r="C161">
        <v>48261</v>
      </c>
      <c r="D161" s="1">
        <v>11.7</v>
      </c>
      <c r="E161">
        <v>10.199999999999999</v>
      </c>
      <c r="F161" s="2">
        <v>-1</v>
      </c>
      <c r="G161">
        <f>D161-E161</f>
        <v>1.5</v>
      </c>
    </row>
    <row r="162" spans="1:7" x14ac:dyDescent="0.25">
      <c r="A162" t="s">
        <v>32</v>
      </c>
      <c r="B162" t="s">
        <v>11</v>
      </c>
      <c r="C162">
        <v>42927</v>
      </c>
      <c r="D162" s="1">
        <v>11.5</v>
      </c>
      <c r="E162">
        <v>10</v>
      </c>
      <c r="F162" s="2">
        <v>-5</v>
      </c>
      <c r="G162">
        <f>D162-E162</f>
        <v>1.5</v>
      </c>
    </row>
    <row r="163" spans="1:7" x14ac:dyDescent="0.25">
      <c r="A163" t="s">
        <v>48</v>
      </c>
      <c r="B163" t="s">
        <v>19</v>
      </c>
      <c r="C163">
        <v>49705</v>
      </c>
      <c r="D163" s="1">
        <v>12.1</v>
      </c>
      <c r="E163">
        <v>10.6</v>
      </c>
      <c r="F163" s="2">
        <v>-2.2999999999999998</v>
      </c>
      <c r="G163">
        <f>D163-E163</f>
        <v>1.5</v>
      </c>
    </row>
    <row r="164" spans="1:7" x14ac:dyDescent="0.25">
      <c r="A164" t="s">
        <v>64</v>
      </c>
      <c r="B164" t="s">
        <v>11</v>
      </c>
      <c r="C164">
        <v>56522</v>
      </c>
      <c r="D164" s="1">
        <v>11.3</v>
      </c>
      <c r="E164">
        <v>9.8000000000000007</v>
      </c>
      <c r="F164" s="2">
        <v>-2.7</v>
      </c>
      <c r="G164">
        <f>D164-E164</f>
        <v>1.5</v>
      </c>
    </row>
    <row r="165" spans="1:7" x14ac:dyDescent="0.25">
      <c r="A165" t="s">
        <v>107</v>
      </c>
      <c r="B165" t="s">
        <v>26</v>
      </c>
      <c r="C165">
        <v>61546</v>
      </c>
      <c r="D165" s="1">
        <v>10</v>
      </c>
      <c r="E165">
        <v>8.5</v>
      </c>
      <c r="F165" s="2">
        <v>-0.4</v>
      </c>
      <c r="G165">
        <f>D165-E165</f>
        <v>1.5</v>
      </c>
    </row>
    <row r="166" spans="1:7" x14ac:dyDescent="0.25">
      <c r="A166" t="s">
        <v>189</v>
      </c>
      <c r="B166" t="s">
        <v>17</v>
      </c>
      <c r="C166">
        <v>126542</v>
      </c>
      <c r="D166" s="1">
        <v>11</v>
      </c>
      <c r="E166">
        <v>9.5</v>
      </c>
      <c r="F166" s="2">
        <v>-3.2</v>
      </c>
      <c r="G166">
        <f>D166-E166</f>
        <v>1.5</v>
      </c>
    </row>
    <row r="167" spans="1:7" x14ac:dyDescent="0.25">
      <c r="A167" t="s">
        <v>248</v>
      </c>
      <c r="B167" t="s">
        <v>31</v>
      </c>
      <c r="C167">
        <v>104047</v>
      </c>
      <c r="D167" s="1">
        <v>11.2</v>
      </c>
      <c r="E167">
        <v>9.6999999999999993</v>
      </c>
      <c r="F167" s="2">
        <v>1.8</v>
      </c>
      <c r="G167">
        <f>D167-E167</f>
        <v>1.5</v>
      </c>
    </row>
    <row r="168" spans="1:7" x14ac:dyDescent="0.25">
      <c r="A168" t="s">
        <v>260</v>
      </c>
      <c r="B168" t="s">
        <v>17</v>
      </c>
      <c r="C168">
        <v>119607</v>
      </c>
      <c r="D168" s="1">
        <v>11.5</v>
      </c>
      <c r="E168">
        <v>10</v>
      </c>
      <c r="F168" s="2">
        <v>6.8</v>
      </c>
      <c r="G168">
        <f>D168-E168</f>
        <v>1.5</v>
      </c>
    </row>
    <row r="169" spans="1:7" x14ac:dyDescent="0.25">
      <c r="A169" t="s">
        <v>301</v>
      </c>
      <c r="B169" t="s">
        <v>26</v>
      </c>
      <c r="C169">
        <v>94857</v>
      </c>
      <c r="D169" s="1">
        <v>9.8000000000000007</v>
      </c>
      <c r="E169">
        <v>8.3000000000000007</v>
      </c>
      <c r="F169" s="2">
        <v>-1.5</v>
      </c>
      <c r="G169">
        <f>D169-E169</f>
        <v>1.5</v>
      </c>
    </row>
    <row r="170" spans="1:7" x14ac:dyDescent="0.25">
      <c r="A170" t="s">
        <v>347</v>
      </c>
      <c r="B170" t="s">
        <v>31</v>
      </c>
      <c r="C170">
        <v>79166</v>
      </c>
      <c r="D170" s="1">
        <v>11.6</v>
      </c>
      <c r="E170">
        <v>10.1</v>
      </c>
      <c r="F170" s="2">
        <v>5</v>
      </c>
      <c r="G170">
        <f>D170-E170</f>
        <v>1.5</v>
      </c>
    </row>
    <row r="171" spans="1:7" x14ac:dyDescent="0.25">
      <c r="A171" t="s">
        <v>181</v>
      </c>
      <c r="B171" t="s">
        <v>22</v>
      </c>
      <c r="C171">
        <v>349440</v>
      </c>
      <c r="D171" s="1">
        <v>10.9</v>
      </c>
      <c r="E171">
        <v>9.5</v>
      </c>
      <c r="F171" s="2">
        <v>-2.2999999999999998</v>
      </c>
      <c r="G171">
        <f>D171-E171</f>
        <v>1.4000000000000004</v>
      </c>
    </row>
    <row r="172" spans="1:7" x14ac:dyDescent="0.25">
      <c r="A172" t="s">
        <v>376</v>
      </c>
      <c r="B172" t="s">
        <v>9</v>
      </c>
      <c r="C172">
        <v>44385</v>
      </c>
      <c r="D172" s="1">
        <v>11.1</v>
      </c>
      <c r="E172">
        <v>9.6999999999999993</v>
      </c>
      <c r="F172" s="2">
        <v>-4.7</v>
      </c>
      <c r="G172">
        <f>D172-E172</f>
        <v>1.4000000000000004</v>
      </c>
    </row>
    <row r="173" spans="1:7" x14ac:dyDescent="0.25">
      <c r="A173" t="s">
        <v>90</v>
      </c>
      <c r="B173" t="s">
        <v>26</v>
      </c>
      <c r="C173">
        <v>121654</v>
      </c>
      <c r="D173" s="1">
        <v>10.7</v>
      </c>
      <c r="E173">
        <v>9.3000000000000007</v>
      </c>
      <c r="F173" s="2">
        <v>-1.3</v>
      </c>
      <c r="G173">
        <f>D173-E173</f>
        <v>1.3999999999999986</v>
      </c>
    </row>
    <row r="174" spans="1:7" x14ac:dyDescent="0.25">
      <c r="A174" t="s">
        <v>343</v>
      </c>
      <c r="B174" t="s">
        <v>29</v>
      </c>
      <c r="C174">
        <v>65298</v>
      </c>
      <c r="D174" s="1">
        <v>11</v>
      </c>
      <c r="E174">
        <v>9.6999999999999993</v>
      </c>
      <c r="F174" s="2">
        <v>1.7</v>
      </c>
      <c r="G174">
        <f>D174-E174</f>
        <v>1.3000000000000007</v>
      </c>
    </row>
    <row r="175" spans="1:7" x14ac:dyDescent="0.25">
      <c r="A175" t="s">
        <v>355</v>
      </c>
      <c r="B175" t="s">
        <v>17</v>
      </c>
      <c r="C175">
        <v>105185</v>
      </c>
      <c r="D175" s="1">
        <v>10.5</v>
      </c>
      <c r="E175">
        <v>9.1999999999999993</v>
      </c>
      <c r="F175" s="2">
        <v>11.2</v>
      </c>
      <c r="G175">
        <f>D175-E175</f>
        <v>1.3000000000000007</v>
      </c>
    </row>
    <row r="176" spans="1:7" x14ac:dyDescent="0.25">
      <c r="A176" t="s">
        <v>95</v>
      </c>
      <c r="B176" t="s">
        <v>46</v>
      </c>
      <c r="C176">
        <v>81166</v>
      </c>
      <c r="D176" s="1">
        <v>11.7</v>
      </c>
      <c r="E176">
        <v>10.4</v>
      </c>
      <c r="F176" s="2">
        <v>2.8</v>
      </c>
      <c r="G176">
        <f>D176-E176</f>
        <v>1.2999999999999989</v>
      </c>
    </row>
    <row r="177" spans="1:7" x14ac:dyDescent="0.25">
      <c r="A177" t="s">
        <v>162</v>
      </c>
      <c r="B177" t="s">
        <v>42</v>
      </c>
      <c r="C177">
        <v>456591</v>
      </c>
      <c r="D177" s="1">
        <v>11.1</v>
      </c>
      <c r="E177">
        <v>9.8000000000000007</v>
      </c>
      <c r="F177" s="2">
        <v>-0.2</v>
      </c>
      <c r="G177">
        <f>D177-E177</f>
        <v>1.2999999999999989</v>
      </c>
    </row>
    <row r="178" spans="1:7" x14ac:dyDescent="0.25">
      <c r="A178" t="s">
        <v>190</v>
      </c>
      <c r="B178" t="s">
        <v>46</v>
      </c>
      <c r="C178">
        <v>554221</v>
      </c>
      <c r="D178" s="1">
        <v>11.3</v>
      </c>
      <c r="E178">
        <v>10.1</v>
      </c>
      <c r="F178" s="2">
        <v>-5.3</v>
      </c>
      <c r="G178">
        <f>D178-E178</f>
        <v>1.2000000000000011</v>
      </c>
    </row>
    <row r="179" spans="1:7" x14ac:dyDescent="0.25">
      <c r="A179" t="s">
        <v>259</v>
      </c>
      <c r="B179" t="s">
        <v>29</v>
      </c>
      <c r="C179">
        <v>153602</v>
      </c>
      <c r="D179" s="1">
        <v>10.4</v>
      </c>
      <c r="E179">
        <v>9.1999999999999993</v>
      </c>
      <c r="F179" s="2">
        <v>0</v>
      </c>
      <c r="G179">
        <f>D179-E179</f>
        <v>1.2000000000000011</v>
      </c>
    </row>
    <row r="180" spans="1:7" x14ac:dyDescent="0.25">
      <c r="A180" t="s">
        <v>206</v>
      </c>
      <c r="B180" t="s">
        <v>26</v>
      </c>
      <c r="C180">
        <v>49419</v>
      </c>
      <c r="D180" s="1">
        <v>8.4</v>
      </c>
      <c r="E180">
        <v>7.2</v>
      </c>
      <c r="F180" s="2">
        <v>-5</v>
      </c>
      <c r="G180">
        <f>D180-E180</f>
        <v>1.2000000000000002</v>
      </c>
    </row>
    <row r="181" spans="1:7" x14ac:dyDescent="0.25">
      <c r="A181" t="s">
        <v>30</v>
      </c>
      <c r="B181" t="s">
        <v>31</v>
      </c>
      <c r="C181">
        <v>89051</v>
      </c>
      <c r="D181" s="1">
        <v>11</v>
      </c>
      <c r="E181">
        <v>9.8000000000000007</v>
      </c>
      <c r="F181" s="2">
        <v>-0.1</v>
      </c>
      <c r="G181">
        <f>D181-E181</f>
        <v>1.1999999999999993</v>
      </c>
    </row>
    <row r="182" spans="1:7" x14ac:dyDescent="0.25">
      <c r="A182" t="s">
        <v>172</v>
      </c>
      <c r="B182" t="s">
        <v>39</v>
      </c>
      <c r="C182">
        <v>204835</v>
      </c>
      <c r="D182" s="1">
        <v>10</v>
      </c>
      <c r="E182">
        <v>8.8000000000000007</v>
      </c>
      <c r="F182" s="2">
        <v>-4.0999999999999996</v>
      </c>
      <c r="G182">
        <f>D182-E182</f>
        <v>1.1999999999999993</v>
      </c>
    </row>
    <row r="183" spans="1:7" x14ac:dyDescent="0.25">
      <c r="A183" t="s">
        <v>34</v>
      </c>
      <c r="B183" t="s">
        <v>35</v>
      </c>
      <c r="C183">
        <v>92188</v>
      </c>
      <c r="D183" s="1">
        <v>10.8</v>
      </c>
      <c r="E183">
        <v>9.6999999999999993</v>
      </c>
      <c r="F183" s="2">
        <v>-0.5</v>
      </c>
      <c r="G183">
        <f>D183-E183</f>
        <v>1.1000000000000014</v>
      </c>
    </row>
    <row r="184" spans="1:7" x14ac:dyDescent="0.25">
      <c r="A184" t="s">
        <v>108</v>
      </c>
      <c r="B184" t="s">
        <v>9</v>
      </c>
      <c r="C184">
        <v>39053</v>
      </c>
      <c r="D184" s="1">
        <v>10.7</v>
      </c>
      <c r="E184">
        <v>9.6</v>
      </c>
      <c r="F184" s="2">
        <v>-5.9</v>
      </c>
      <c r="G184">
        <f>D184-E184</f>
        <v>1.0999999999999996</v>
      </c>
    </row>
    <row r="185" spans="1:7" x14ac:dyDescent="0.25">
      <c r="A185" t="s">
        <v>131</v>
      </c>
      <c r="B185" t="s">
        <v>31</v>
      </c>
      <c r="C185">
        <v>53618</v>
      </c>
      <c r="D185" s="1">
        <v>11.1</v>
      </c>
      <c r="E185">
        <v>10</v>
      </c>
      <c r="F185" s="2">
        <v>2.2999999999999998</v>
      </c>
      <c r="G185">
        <f>D185-E185</f>
        <v>1.0999999999999996</v>
      </c>
    </row>
    <row r="186" spans="1:7" x14ac:dyDescent="0.25">
      <c r="A186" t="s">
        <v>135</v>
      </c>
      <c r="B186" t="s">
        <v>11</v>
      </c>
      <c r="C186">
        <v>42501</v>
      </c>
      <c r="D186" s="1">
        <v>10.6</v>
      </c>
      <c r="E186">
        <v>9.5</v>
      </c>
      <c r="F186" s="2">
        <v>-2.8</v>
      </c>
      <c r="G186">
        <f>D186-E186</f>
        <v>1.0999999999999996</v>
      </c>
    </row>
    <row r="187" spans="1:7" x14ac:dyDescent="0.25">
      <c r="A187" t="s">
        <v>280</v>
      </c>
      <c r="B187" t="s">
        <v>26</v>
      </c>
      <c r="C187">
        <v>71231</v>
      </c>
      <c r="D187" s="1">
        <v>10.7</v>
      </c>
      <c r="E187">
        <v>9.6</v>
      </c>
      <c r="F187" s="2">
        <v>-1</v>
      </c>
      <c r="G187">
        <f>D187-E187</f>
        <v>1.0999999999999996</v>
      </c>
    </row>
    <row r="188" spans="1:7" x14ac:dyDescent="0.25">
      <c r="A188" t="s">
        <v>314</v>
      </c>
      <c r="B188" t="s">
        <v>17</v>
      </c>
      <c r="C188">
        <v>83928</v>
      </c>
      <c r="D188" s="1">
        <v>11.5</v>
      </c>
      <c r="E188">
        <v>10.4</v>
      </c>
      <c r="F188" s="2">
        <v>0.8</v>
      </c>
      <c r="G188">
        <f>D188-E188</f>
        <v>1.0999999999999996</v>
      </c>
    </row>
    <row r="189" spans="1:7" x14ac:dyDescent="0.25">
      <c r="A189" t="s">
        <v>361</v>
      </c>
      <c r="B189" t="s">
        <v>15</v>
      </c>
      <c r="C189">
        <v>42168</v>
      </c>
      <c r="D189" s="1">
        <v>12</v>
      </c>
      <c r="E189">
        <v>10.9</v>
      </c>
      <c r="F189" s="2">
        <v>-1.8</v>
      </c>
      <c r="G189">
        <f>D189-E189</f>
        <v>1.0999999999999996</v>
      </c>
    </row>
    <row r="190" spans="1:7" x14ac:dyDescent="0.25">
      <c r="A190" t="s">
        <v>51</v>
      </c>
      <c r="B190" t="s">
        <v>13</v>
      </c>
      <c r="C190">
        <v>172809</v>
      </c>
      <c r="D190" s="1">
        <v>11.2</v>
      </c>
      <c r="E190">
        <v>10.199999999999999</v>
      </c>
      <c r="F190" s="2">
        <v>2.8</v>
      </c>
      <c r="G190">
        <f>D190-E190</f>
        <v>1</v>
      </c>
    </row>
    <row r="191" spans="1:7" x14ac:dyDescent="0.25">
      <c r="A191" t="s">
        <v>55</v>
      </c>
      <c r="B191" t="s">
        <v>29</v>
      </c>
      <c r="C191">
        <v>58664</v>
      </c>
      <c r="D191" s="1">
        <v>10.199999999999999</v>
      </c>
      <c r="E191">
        <v>9.1999999999999993</v>
      </c>
      <c r="F191" s="2">
        <v>-1</v>
      </c>
      <c r="G191">
        <f>D191-E191</f>
        <v>1</v>
      </c>
    </row>
    <row r="192" spans="1:7" x14ac:dyDescent="0.25">
      <c r="A192" t="s">
        <v>78</v>
      </c>
      <c r="B192" t="s">
        <v>9</v>
      </c>
      <c r="C192">
        <v>49393</v>
      </c>
      <c r="D192" s="1">
        <v>10.5</v>
      </c>
      <c r="E192">
        <v>9.5</v>
      </c>
      <c r="F192" s="2">
        <v>-4.4000000000000004</v>
      </c>
      <c r="G192">
        <f>D192-E192</f>
        <v>1</v>
      </c>
    </row>
    <row r="193" spans="1:7" x14ac:dyDescent="0.25">
      <c r="A193" t="s">
        <v>80</v>
      </c>
      <c r="B193" t="s">
        <v>17</v>
      </c>
      <c r="C193">
        <v>96957</v>
      </c>
      <c r="D193" s="1">
        <v>12.4</v>
      </c>
      <c r="E193">
        <v>11.4</v>
      </c>
      <c r="F193" s="2">
        <v>1.2</v>
      </c>
      <c r="G193">
        <f>D193-E193</f>
        <v>1</v>
      </c>
    </row>
    <row r="194" spans="1:7" x14ac:dyDescent="0.25">
      <c r="A194" t="s">
        <v>139</v>
      </c>
      <c r="B194" t="s">
        <v>19</v>
      </c>
      <c r="C194">
        <v>38063</v>
      </c>
      <c r="D194" s="1">
        <v>11.6</v>
      </c>
      <c r="E194">
        <v>10.6</v>
      </c>
      <c r="F194" s="2">
        <v>-2.8</v>
      </c>
      <c r="G194">
        <f>D194-E194</f>
        <v>1</v>
      </c>
    </row>
    <row r="195" spans="1:7" x14ac:dyDescent="0.25">
      <c r="A195" t="s">
        <v>157</v>
      </c>
      <c r="B195" t="s">
        <v>22</v>
      </c>
      <c r="C195">
        <v>67650</v>
      </c>
      <c r="D195" s="1">
        <v>9.9</v>
      </c>
      <c r="E195">
        <v>8.9</v>
      </c>
      <c r="F195" s="2">
        <v>-3.6</v>
      </c>
      <c r="G195">
        <f>D195-E195</f>
        <v>1</v>
      </c>
    </row>
    <row r="196" spans="1:7" x14ac:dyDescent="0.25">
      <c r="A196" t="s">
        <v>231</v>
      </c>
      <c r="B196" t="s">
        <v>19</v>
      </c>
      <c r="C196">
        <v>67074</v>
      </c>
      <c r="D196" s="1">
        <v>10.7</v>
      </c>
      <c r="E196">
        <v>9.6999999999999993</v>
      </c>
      <c r="F196" s="2">
        <v>-0.9</v>
      </c>
      <c r="G196">
        <f>D196-E196</f>
        <v>1</v>
      </c>
    </row>
    <row r="197" spans="1:7" x14ac:dyDescent="0.25">
      <c r="A197" t="s">
        <v>375</v>
      </c>
      <c r="B197" t="s">
        <v>75</v>
      </c>
      <c r="C197">
        <v>81658</v>
      </c>
      <c r="D197" s="1">
        <v>11.1</v>
      </c>
      <c r="E197">
        <v>10.1</v>
      </c>
      <c r="F197" s="2">
        <v>-2.7</v>
      </c>
      <c r="G197">
        <f>D197-E197</f>
        <v>1</v>
      </c>
    </row>
    <row r="198" spans="1:7" x14ac:dyDescent="0.25">
      <c r="A198" t="s">
        <v>214</v>
      </c>
      <c r="B198" t="s">
        <v>75</v>
      </c>
      <c r="C198">
        <v>117503</v>
      </c>
      <c r="D198" s="1">
        <v>10.8</v>
      </c>
      <c r="E198">
        <v>9.9</v>
      </c>
      <c r="F198" s="2">
        <v>0.2</v>
      </c>
      <c r="G198">
        <f>D198-E198</f>
        <v>0.90000000000000036</v>
      </c>
    </row>
    <row r="199" spans="1:7" x14ac:dyDescent="0.25">
      <c r="A199" t="s">
        <v>281</v>
      </c>
      <c r="B199" t="s">
        <v>26</v>
      </c>
      <c r="C199">
        <v>78630</v>
      </c>
      <c r="D199" s="1">
        <v>11.4</v>
      </c>
      <c r="E199">
        <v>10.5</v>
      </c>
      <c r="F199" s="2">
        <v>-0.6</v>
      </c>
      <c r="G199">
        <f>D199-E199</f>
        <v>0.90000000000000036</v>
      </c>
    </row>
    <row r="200" spans="1:7" x14ac:dyDescent="0.25">
      <c r="A200" t="s">
        <v>317</v>
      </c>
      <c r="B200" t="s">
        <v>31</v>
      </c>
      <c r="C200">
        <v>50119</v>
      </c>
      <c r="D200" s="1">
        <v>11.4</v>
      </c>
      <c r="E200">
        <v>10.5</v>
      </c>
      <c r="F200" s="2">
        <v>4.8</v>
      </c>
      <c r="G200">
        <f>D200-E200</f>
        <v>0.90000000000000036</v>
      </c>
    </row>
    <row r="201" spans="1:7" x14ac:dyDescent="0.25">
      <c r="A201" t="s">
        <v>328</v>
      </c>
      <c r="B201" t="s">
        <v>75</v>
      </c>
      <c r="C201">
        <v>35492</v>
      </c>
      <c r="D201" s="1">
        <v>11.6</v>
      </c>
      <c r="E201">
        <v>10.7</v>
      </c>
      <c r="F201" s="2">
        <v>-2.2000000000000002</v>
      </c>
      <c r="G201">
        <f>D201-E201</f>
        <v>0.90000000000000036</v>
      </c>
    </row>
    <row r="202" spans="1:7" x14ac:dyDescent="0.25">
      <c r="A202" t="s">
        <v>378</v>
      </c>
      <c r="B202" t="s">
        <v>75</v>
      </c>
      <c r="C202">
        <v>98364</v>
      </c>
      <c r="D202" s="1">
        <v>11.3</v>
      </c>
      <c r="E202">
        <v>10.4</v>
      </c>
      <c r="F202" s="2">
        <v>-2.7</v>
      </c>
      <c r="G202">
        <f>D202-E202</f>
        <v>0.90000000000000036</v>
      </c>
    </row>
    <row r="203" spans="1:7" x14ac:dyDescent="0.25">
      <c r="A203" t="s">
        <v>110</v>
      </c>
      <c r="B203" t="s">
        <v>46</v>
      </c>
      <c r="C203">
        <v>88274</v>
      </c>
      <c r="D203" s="1">
        <v>11.7</v>
      </c>
      <c r="E203">
        <v>10.8</v>
      </c>
      <c r="F203" s="2">
        <v>-1.2</v>
      </c>
      <c r="G203">
        <f>D203-E203</f>
        <v>0.89999999999999858</v>
      </c>
    </row>
    <row r="204" spans="1:7" x14ac:dyDescent="0.25">
      <c r="A204" t="s">
        <v>175</v>
      </c>
      <c r="B204" t="s">
        <v>29</v>
      </c>
      <c r="C204">
        <v>755000</v>
      </c>
      <c r="D204" s="1">
        <v>10.7</v>
      </c>
      <c r="E204">
        <v>9.8000000000000007</v>
      </c>
      <c r="F204" s="2">
        <v>0.6</v>
      </c>
      <c r="G204">
        <f>D204-E204</f>
        <v>0.89999999999999858</v>
      </c>
    </row>
    <row r="205" spans="1:7" x14ac:dyDescent="0.25">
      <c r="A205" t="s">
        <v>252</v>
      </c>
      <c r="B205" t="s">
        <v>15</v>
      </c>
      <c r="C205">
        <v>78362</v>
      </c>
      <c r="D205" s="1">
        <v>11.7</v>
      </c>
      <c r="E205">
        <v>10.8</v>
      </c>
      <c r="F205" s="2">
        <v>-2.8</v>
      </c>
      <c r="G205">
        <f>D205-E205</f>
        <v>0.89999999999999858</v>
      </c>
    </row>
    <row r="206" spans="1:7" x14ac:dyDescent="0.25">
      <c r="A206" t="s">
        <v>371</v>
      </c>
      <c r="B206" t="s">
        <v>75</v>
      </c>
      <c r="C206">
        <v>39055</v>
      </c>
      <c r="D206" s="1">
        <v>10.7</v>
      </c>
      <c r="E206">
        <v>9.8000000000000007</v>
      </c>
      <c r="F206" s="2">
        <v>-0.9</v>
      </c>
      <c r="G206">
        <f>D206-E206</f>
        <v>0.89999999999999858</v>
      </c>
    </row>
    <row r="207" spans="1:7" x14ac:dyDescent="0.25">
      <c r="A207" t="s">
        <v>154</v>
      </c>
      <c r="B207" t="s">
        <v>13</v>
      </c>
      <c r="C207">
        <v>175402</v>
      </c>
      <c r="D207" s="1">
        <v>10.5</v>
      </c>
      <c r="E207">
        <v>9.6999999999999993</v>
      </c>
      <c r="F207" s="2">
        <v>-2.2999999999999998</v>
      </c>
      <c r="G207">
        <f>D207-E207</f>
        <v>0.80000000000000071</v>
      </c>
    </row>
    <row r="208" spans="1:7" x14ac:dyDescent="0.25">
      <c r="A208" t="s">
        <v>161</v>
      </c>
      <c r="B208" t="s">
        <v>11</v>
      </c>
      <c r="C208">
        <v>126419</v>
      </c>
      <c r="D208" s="1">
        <v>10.3</v>
      </c>
      <c r="E208">
        <v>9.5</v>
      </c>
      <c r="F208" s="2">
        <v>-1.9</v>
      </c>
      <c r="G208">
        <f>D208-E208</f>
        <v>0.80000000000000071</v>
      </c>
    </row>
    <row r="209" spans="1:7" x14ac:dyDescent="0.25">
      <c r="A209" t="s">
        <v>192</v>
      </c>
      <c r="B209" t="s">
        <v>17</v>
      </c>
      <c r="C209">
        <v>223397</v>
      </c>
      <c r="D209" s="1">
        <v>10.8</v>
      </c>
      <c r="E209">
        <v>10</v>
      </c>
      <c r="F209" s="2">
        <v>-4.4000000000000004</v>
      </c>
      <c r="G209">
        <f>D209-E209</f>
        <v>0.80000000000000071</v>
      </c>
    </row>
    <row r="210" spans="1:7" x14ac:dyDescent="0.25">
      <c r="A210" t="s">
        <v>339</v>
      </c>
      <c r="B210" t="s">
        <v>17</v>
      </c>
      <c r="C210">
        <v>39912</v>
      </c>
      <c r="D210" s="1">
        <v>11.5</v>
      </c>
      <c r="E210">
        <v>10.7</v>
      </c>
      <c r="F210" s="2">
        <v>-2</v>
      </c>
      <c r="G210">
        <f>D210-E210</f>
        <v>0.80000000000000071</v>
      </c>
    </row>
    <row r="211" spans="1:7" x14ac:dyDescent="0.25">
      <c r="A211" t="s">
        <v>389</v>
      </c>
      <c r="B211" t="s">
        <v>17</v>
      </c>
      <c r="C211">
        <v>75408</v>
      </c>
      <c r="D211" s="1">
        <v>13</v>
      </c>
      <c r="E211">
        <v>12.2</v>
      </c>
      <c r="F211" s="2">
        <v>2.2999999999999998</v>
      </c>
      <c r="G211">
        <f>D211-E211</f>
        <v>0.80000000000000071</v>
      </c>
    </row>
    <row r="212" spans="1:7" x14ac:dyDescent="0.25">
      <c r="A212" t="s">
        <v>176</v>
      </c>
      <c r="B212" t="s">
        <v>26</v>
      </c>
      <c r="C212">
        <v>47534</v>
      </c>
      <c r="D212" s="1">
        <v>9.1</v>
      </c>
      <c r="E212">
        <v>8.3000000000000007</v>
      </c>
      <c r="F212" s="2">
        <v>-2.2999999999999998</v>
      </c>
      <c r="G212">
        <f>D212-E212</f>
        <v>0.79999999999999893</v>
      </c>
    </row>
    <row r="213" spans="1:7" x14ac:dyDescent="0.25">
      <c r="A213" t="s">
        <v>292</v>
      </c>
      <c r="B213" t="s">
        <v>22</v>
      </c>
      <c r="C213">
        <v>60866</v>
      </c>
      <c r="D213" s="1">
        <v>11.7</v>
      </c>
      <c r="E213">
        <v>10.9</v>
      </c>
      <c r="F213" s="2">
        <v>-4</v>
      </c>
      <c r="G213">
        <f>D213-E213</f>
        <v>0.79999999999999893</v>
      </c>
    </row>
    <row r="214" spans="1:7" x14ac:dyDescent="0.25">
      <c r="A214" t="s">
        <v>144</v>
      </c>
      <c r="B214" t="s">
        <v>26</v>
      </c>
      <c r="C214">
        <v>56811</v>
      </c>
      <c r="D214" s="1">
        <v>10.4</v>
      </c>
      <c r="E214">
        <v>9.6999999999999993</v>
      </c>
      <c r="F214" s="2">
        <v>-1.8</v>
      </c>
      <c r="G214">
        <f>D214-E214</f>
        <v>0.70000000000000107</v>
      </c>
    </row>
    <row r="215" spans="1:7" x14ac:dyDescent="0.25">
      <c r="A215" t="s">
        <v>185</v>
      </c>
      <c r="B215" t="s">
        <v>35</v>
      </c>
      <c r="C215">
        <v>125792</v>
      </c>
      <c r="D215" s="1">
        <v>9.4</v>
      </c>
      <c r="E215">
        <v>8.6999999999999993</v>
      </c>
      <c r="F215" s="2">
        <v>-3.4</v>
      </c>
      <c r="G215">
        <f>D215-E215</f>
        <v>0.70000000000000107</v>
      </c>
    </row>
    <row r="216" spans="1:7" x14ac:dyDescent="0.25">
      <c r="A216" t="s">
        <v>319</v>
      </c>
      <c r="B216" t="s">
        <v>26</v>
      </c>
      <c r="C216">
        <v>107815</v>
      </c>
      <c r="D216" s="1">
        <v>9.3000000000000007</v>
      </c>
      <c r="E216">
        <v>8.6</v>
      </c>
      <c r="F216" s="2">
        <v>-3.9</v>
      </c>
      <c r="G216">
        <f>D216-E216</f>
        <v>0.70000000000000107</v>
      </c>
    </row>
    <row r="217" spans="1:7" x14ac:dyDescent="0.25">
      <c r="A217" t="s">
        <v>76</v>
      </c>
      <c r="B217" t="s">
        <v>17</v>
      </c>
      <c r="C217">
        <v>46766</v>
      </c>
      <c r="D217" s="1">
        <v>11.6</v>
      </c>
      <c r="E217">
        <v>10.9</v>
      </c>
      <c r="F217" s="2">
        <v>-2.7</v>
      </c>
      <c r="G217">
        <f>D217-E217</f>
        <v>0.69999999999999929</v>
      </c>
    </row>
    <row r="218" spans="1:7" x14ac:dyDescent="0.25">
      <c r="A218" t="s">
        <v>91</v>
      </c>
      <c r="B218" t="s">
        <v>26</v>
      </c>
      <c r="C218">
        <v>114689</v>
      </c>
      <c r="D218" s="1">
        <v>10.1</v>
      </c>
      <c r="E218">
        <v>9.4</v>
      </c>
      <c r="F218" s="2">
        <v>-1.3</v>
      </c>
      <c r="G218">
        <f>D218-E218</f>
        <v>0.69999999999999929</v>
      </c>
    </row>
    <row r="219" spans="1:7" x14ac:dyDescent="0.25">
      <c r="A219" t="s">
        <v>10</v>
      </c>
      <c r="B219" t="s">
        <v>11</v>
      </c>
      <c r="C219">
        <v>60128</v>
      </c>
      <c r="D219" s="1">
        <v>10.9</v>
      </c>
      <c r="E219">
        <v>10.3</v>
      </c>
      <c r="F219" s="2">
        <v>-6.1</v>
      </c>
      <c r="G219">
        <f>D219-E219</f>
        <v>0.59999999999999964</v>
      </c>
    </row>
    <row r="220" spans="1:7" x14ac:dyDescent="0.25">
      <c r="A220" t="s">
        <v>87</v>
      </c>
      <c r="B220" t="s">
        <v>7</v>
      </c>
      <c r="C220">
        <v>164112</v>
      </c>
      <c r="D220" s="1">
        <v>10.6</v>
      </c>
      <c r="E220">
        <v>10</v>
      </c>
      <c r="F220" s="2">
        <v>-1.6</v>
      </c>
      <c r="G220">
        <f>D220-E220</f>
        <v>0.59999999999999964</v>
      </c>
    </row>
    <row r="221" spans="1:7" x14ac:dyDescent="0.25">
      <c r="A221" t="s">
        <v>310</v>
      </c>
      <c r="B221" t="s">
        <v>19</v>
      </c>
      <c r="C221">
        <v>57298</v>
      </c>
      <c r="D221" s="1">
        <v>10.199999999999999</v>
      </c>
      <c r="E221">
        <v>9.6</v>
      </c>
      <c r="F221" s="2">
        <v>-2.9</v>
      </c>
      <c r="G221">
        <f>D221-E221</f>
        <v>0.59999999999999964</v>
      </c>
    </row>
    <row r="222" spans="1:7" x14ac:dyDescent="0.25">
      <c r="A222" t="s">
        <v>327</v>
      </c>
      <c r="B222" t="s">
        <v>26</v>
      </c>
      <c r="C222">
        <v>61897</v>
      </c>
      <c r="D222" s="1">
        <v>10.5</v>
      </c>
      <c r="E222">
        <v>9.9</v>
      </c>
      <c r="F222" s="2">
        <v>-0.9</v>
      </c>
      <c r="G222">
        <f>D222-E222</f>
        <v>0.59999999999999964</v>
      </c>
    </row>
    <row r="223" spans="1:7" x14ac:dyDescent="0.25">
      <c r="A223" t="s">
        <v>336</v>
      </c>
      <c r="B223" t="s">
        <v>19</v>
      </c>
      <c r="C223">
        <v>77053</v>
      </c>
      <c r="D223" s="1">
        <v>10.9</v>
      </c>
      <c r="E223">
        <v>10.3</v>
      </c>
      <c r="F223" s="2">
        <v>-1.4</v>
      </c>
      <c r="G223">
        <f>D223-E223</f>
        <v>0.59999999999999964</v>
      </c>
    </row>
    <row r="224" spans="1:7" x14ac:dyDescent="0.25">
      <c r="A224" t="s">
        <v>121</v>
      </c>
      <c r="B224" t="s">
        <v>75</v>
      </c>
      <c r="C224">
        <v>56131</v>
      </c>
      <c r="D224" s="1">
        <v>11</v>
      </c>
      <c r="E224">
        <v>10.5</v>
      </c>
      <c r="F224" s="2">
        <v>-2.7</v>
      </c>
      <c r="G224">
        <f>D224-E224</f>
        <v>0.5</v>
      </c>
    </row>
    <row r="225" spans="1:7" x14ac:dyDescent="0.25">
      <c r="A225" t="s">
        <v>166</v>
      </c>
      <c r="B225" t="s">
        <v>7</v>
      </c>
      <c r="C225">
        <v>99074</v>
      </c>
      <c r="D225" s="1">
        <v>10.7</v>
      </c>
      <c r="E225">
        <v>10.199999999999999</v>
      </c>
      <c r="F225" s="2">
        <v>-2.2000000000000002</v>
      </c>
      <c r="G225">
        <f>D225-E225</f>
        <v>0.5</v>
      </c>
    </row>
    <row r="226" spans="1:7" x14ac:dyDescent="0.25">
      <c r="A226" t="s">
        <v>174</v>
      </c>
      <c r="B226" t="s">
        <v>19</v>
      </c>
      <c r="C226">
        <v>106987</v>
      </c>
      <c r="D226" s="1">
        <v>9</v>
      </c>
      <c r="E226">
        <v>8.5</v>
      </c>
      <c r="F226" s="2">
        <v>-1.2</v>
      </c>
      <c r="G226">
        <f>D226-E226</f>
        <v>0.5</v>
      </c>
    </row>
    <row r="227" spans="1:7" x14ac:dyDescent="0.25">
      <c r="A227" t="s">
        <v>207</v>
      </c>
      <c r="B227" t="s">
        <v>29</v>
      </c>
      <c r="C227">
        <v>115158</v>
      </c>
      <c r="D227" s="1">
        <v>9</v>
      </c>
      <c r="E227">
        <v>8.5</v>
      </c>
      <c r="F227" s="2">
        <v>-3.1</v>
      </c>
      <c r="G227">
        <f>D227-E227</f>
        <v>0.5</v>
      </c>
    </row>
    <row r="228" spans="1:7" x14ac:dyDescent="0.25">
      <c r="A228" t="s">
        <v>216</v>
      </c>
      <c r="B228" t="s">
        <v>17</v>
      </c>
      <c r="C228">
        <v>46068</v>
      </c>
      <c r="D228" s="1">
        <v>13</v>
      </c>
      <c r="E228">
        <v>12.5</v>
      </c>
      <c r="F228" s="2">
        <v>-2.8</v>
      </c>
      <c r="G228">
        <f>D228-E228</f>
        <v>0.5</v>
      </c>
    </row>
    <row r="229" spans="1:7" x14ac:dyDescent="0.25">
      <c r="A229" t="s">
        <v>226</v>
      </c>
      <c r="B229" t="s">
        <v>7</v>
      </c>
      <c r="C229">
        <v>46877</v>
      </c>
      <c r="D229" s="1">
        <v>10.199999999999999</v>
      </c>
      <c r="E229">
        <v>9.6999999999999993</v>
      </c>
      <c r="F229" s="2">
        <v>-2.2999999999999998</v>
      </c>
      <c r="G229">
        <f>D229-E229</f>
        <v>0.5</v>
      </c>
    </row>
    <row r="230" spans="1:7" x14ac:dyDescent="0.25">
      <c r="A230" t="s">
        <v>249</v>
      </c>
      <c r="B230" t="s">
        <v>29</v>
      </c>
      <c r="C230">
        <v>113893</v>
      </c>
      <c r="D230" s="1">
        <v>9.9</v>
      </c>
      <c r="E230">
        <v>9.4</v>
      </c>
      <c r="F230" s="2">
        <v>-1.7</v>
      </c>
      <c r="G230">
        <f>D230-E230</f>
        <v>0.5</v>
      </c>
    </row>
    <row r="231" spans="1:7" x14ac:dyDescent="0.25">
      <c r="A231" t="s">
        <v>163</v>
      </c>
      <c r="B231" t="s">
        <v>42</v>
      </c>
      <c r="C231">
        <v>247859</v>
      </c>
      <c r="D231" s="1">
        <v>10</v>
      </c>
      <c r="E231">
        <v>9.6</v>
      </c>
      <c r="F231" s="2">
        <v>-3.8</v>
      </c>
      <c r="G231">
        <f>D231-E231</f>
        <v>0.40000000000000036</v>
      </c>
    </row>
    <row r="232" spans="1:7" x14ac:dyDescent="0.25">
      <c r="A232" t="s">
        <v>182</v>
      </c>
      <c r="B232" t="s">
        <v>13</v>
      </c>
      <c r="C232">
        <v>74893</v>
      </c>
      <c r="D232" s="1">
        <v>11</v>
      </c>
      <c r="E232">
        <v>10.6</v>
      </c>
      <c r="F232" s="2">
        <v>-1.5</v>
      </c>
      <c r="G232">
        <f>D232-E232</f>
        <v>0.40000000000000036</v>
      </c>
    </row>
    <row r="233" spans="1:7" x14ac:dyDescent="0.25">
      <c r="A233" t="s">
        <v>229</v>
      </c>
      <c r="B233" t="s">
        <v>17</v>
      </c>
      <c r="C233">
        <v>1714446</v>
      </c>
      <c r="D233" s="1">
        <v>11.1</v>
      </c>
      <c r="E233">
        <v>10.7</v>
      </c>
      <c r="F233" s="2">
        <v>2.2999999999999998</v>
      </c>
      <c r="G233">
        <f>D233-E233</f>
        <v>0.40000000000000036</v>
      </c>
    </row>
    <row r="234" spans="1:7" x14ac:dyDescent="0.25">
      <c r="A234" t="s">
        <v>298</v>
      </c>
      <c r="B234" t="s">
        <v>7</v>
      </c>
      <c r="C234">
        <v>43902</v>
      </c>
      <c r="D234" s="1">
        <v>11.6</v>
      </c>
      <c r="E234">
        <v>11.2</v>
      </c>
      <c r="F234" s="2">
        <v>-3.4</v>
      </c>
      <c r="G234">
        <f>D234-E234</f>
        <v>0.40000000000000036</v>
      </c>
    </row>
    <row r="235" spans="1:7" x14ac:dyDescent="0.25">
      <c r="A235" t="s">
        <v>367</v>
      </c>
      <c r="B235" t="s">
        <v>31</v>
      </c>
      <c r="C235">
        <v>47344</v>
      </c>
      <c r="D235" s="1">
        <v>10.8</v>
      </c>
      <c r="E235">
        <v>10.4</v>
      </c>
      <c r="F235" s="2">
        <v>-0.9</v>
      </c>
      <c r="G235">
        <f>D235-E235</f>
        <v>0.40000000000000036</v>
      </c>
    </row>
    <row r="236" spans="1:7" x14ac:dyDescent="0.25">
      <c r="A236" t="s">
        <v>356</v>
      </c>
      <c r="B236" t="s">
        <v>11</v>
      </c>
      <c r="C236">
        <v>23327</v>
      </c>
      <c r="D236" s="1">
        <v>11.2</v>
      </c>
      <c r="E236">
        <v>10.8</v>
      </c>
      <c r="F236" s="2">
        <v>-4.5999999999999996</v>
      </c>
      <c r="G236">
        <f>D236-E236</f>
        <v>0.39999999999999858</v>
      </c>
    </row>
    <row r="237" spans="1:7" x14ac:dyDescent="0.25">
      <c r="A237" t="s">
        <v>191</v>
      </c>
      <c r="B237" t="s">
        <v>26</v>
      </c>
      <c r="C237">
        <v>66389</v>
      </c>
      <c r="D237" s="1">
        <v>10</v>
      </c>
      <c r="E237">
        <v>9.6999999999999993</v>
      </c>
      <c r="F237" s="2">
        <v>-4.0999999999999996</v>
      </c>
      <c r="G237">
        <f>D237-E237</f>
        <v>0.30000000000000071</v>
      </c>
    </row>
    <row r="238" spans="1:7" x14ac:dyDescent="0.25">
      <c r="A238" t="s">
        <v>212</v>
      </c>
      <c r="B238" t="s">
        <v>13</v>
      </c>
      <c r="C238">
        <v>187674</v>
      </c>
      <c r="D238" s="1">
        <v>9.6</v>
      </c>
      <c r="E238">
        <v>9.3000000000000007</v>
      </c>
      <c r="F238" s="2">
        <v>-3.7</v>
      </c>
      <c r="G238">
        <f>D238-E238</f>
        <v>0.29999999999999893</v>
      </c>
    </row>
    <row r="239" spans="1:7" x14ac:dyDescent="0.25">
      <c r="A239" t="s">
        <v>65</v>
      </c>
      <c r="B239" t="s">
        <v>13</v>
      </c>
      <c r="C239">
        <v>114093</v>
      </c>
      <c r="D239" s="1">
        <v>10.8</v>
      </c>
      <c r="E239">
        <v>10.6</v>
      </c>
      <c r="F239" s="2">
        <v>-0.1</v>
      </c>
      <c r="G239">
        <f>D239-E239</f>
        <v>0.20000000000000107</v>
      </c>
    </row>
    <row r="240" spans="1:7" x14ac:dyDescent="0.25">
      <c r="A240" t="s">
        <v>118</v>
      </c>
      <c r="B240" t="s">
        <v>35</v>
      </c>
      <c r="C240">
        <v>66795</v>
      </c>
      <c r="D240" s="1">
        <v>8.4</v>
      </c>
      <c r="E240">
        <v>8.1999999999999993</v>
      </c>
      <c r="F240" s="2">
        <v>-1.4</v>
      </c>
      <c r="G240">
        <f>D240-E240</f>
        <v>0.20000000000000107</v>
      </c>
    </row>
    <row r="241" spans="1:7" x14ac:dyDescent="0.25">
      <c r="A241" t="s">
        <v>270</v>
      </c>
      <c r="B241" t="s">
        <v>17</v>
      </c>
      <c r="C241">
        <v>107471</v>
      </c>
      <c r="D241" s="1">
        <v>11.2</v>
      </c>
      <c r="E241">
        <v>11</v>
      </c>
      <c r="F241" s="2">
        <v>4.2</v>
      </c>
      <c r="G241">
        <f>D241-E241</f>
        <v>0.19999999999999929</v>
      </c>
    </row>
    <row r="242" spans="1:7" x14ac:dyDescent="0.25">
      <c r="A242" t="s">
        <v>323</v>
      </c>
      <c r="B242" t="s">
        <v>39</v>
      </c>
      <c r="C242">
        <v>73277</v>
      </c>
      <c r="D242" s="1">
        <v>10.6</v>
      </c>
      <c r="E242">
        <v>10.4</v>
      </c>
      <c r="F242" s="2">
        <v>-2.5</v>
      </c>
      <c r="G242">
        <f>D242-E242</f>
        <v>0.19999999999999929</v>
      </c>
    </row>
    <row r="243" spans="1:7" x14ac:dyDescent="0.25">
      <c r="A243" t="s">
        <v>50</v>
      </c>
      <c r="B243" t="s">
        <v>17</v>
      </c>
      <c r="C243">
        <v>90249</v>
      </c>
      <c r="D243" s="1">
        <v>11.4</v>
      </c>
      <c r="E243">
        <v>11.3</v>
      </c>
      <c r="F243" s="2">
        <v>-2.6</v>
      </c>
      <c r="G243">
        <f>D243-E243</f>
        <v>9.9999999999999645E-2</v>
      </c>
    </row>
    <row r="244" spans="1:7" x14ac:dyDescent="0.25">
      <c r="A244" t="s">
        <v>97</v>
      </c>
      <c r="B244" t="s">
        <v>19</v>
      </c>
      <c r="C244">
        <v>47769</v>
      </c>
      <c r="D244" s="1">
        <v>10.9</v>
      </c>
      <c r="E244">
        <v>10.8</v>
      </c>
      <c r="F244" s="2">
        <v>-1.3</v>
      </c>
      <c r="G244">
        <f>D244-E244</f>
        <v>9.9999999999999645E-2</v>
      </c>
    </row>
    <row r="245" spans="1:7" x14ac:dyDescent="0.25">
      <c r="A245" t="s">
        <v>141</v>
      </c>
      <c r="B245" t="s">
        <v>9</v>
      </c>
      <c r="C245">
        <v>50919</v>
      </c>
      <c r="D245" s="1">
        <v>11.7</v>
      </c>
      <c r="E245">
        <v>11.6</v>
      </c>
      <c r="F245" s="2">
        <v>0.3</v>
      </c>
      <c r="G245">
        <f>D245-E245</f>
        <v>9.9999999999999645E-2</v>
      </c>
    </row>
    <row r="246" spans="1:7" x14ac:dyDescent="0.25">
      <c r="A246" t="s">
        <v>331</v>
      </c>
      <c r="B246" t="s">
        <v>31</v>
      </c>
      <c r="C246">
        <v>159323</v>
      </c>
      <c r="D246" s="1">
        <v>10.5</v>
      </c>
      <c r="E246">
        <v>10.4</v>
      </c>
      <c r="F246" s="2">
        <v>0</v>
      </c>
      <c r="G246">
        <f>D246-E246</f>
        <v>9.9999999999999645E-2</v>
      </c>
    </row>
    <row r="247" spans="1:7" x14ac:dyDescent="0.25">
      <c r="A247" t="s">
        <v>390</v>
      </c>
      <c r="B247" t="s">
        <v>13</v>
      </c>
      <c r="C247">
        <v>150850</v>
      </c>
      <c r="D247" s="1">
        <v>10.9</v>
      </c>
      <c r="E247">
        <v>10.8</v>
      </c>
      <c r="F247" s="2">
        <v>1.5</v>
      </c>
      <c r="G247">
        <f>D247-E247</f>
        <v>9.9999999999999645E-2</v>
      </c>
    </row>
    <row r="248" spans="1:7" x14ac:dyDescent="0.25">
      <c r="A248" t="s">
        <v>6</v>
      </c>
      <c r="B248" t="s">
        <v>7</v>
      </c>
      <c r="C248">
        <v>55336</v>
      </c>
      <c r="D248" s="1">
        <v>11.3</v>
      </c>
      <c r="E248">
        <v>11.3</v>
      </c>
      <c r="F248" s="2">
        <v>0.8</v>
      </c>
      <c r="G248">
        <f>D248-E248</f>
        <v>0</v>
      </c>
    </row>
    <row r="249" spans="1:7" x14ac:dyDescent="0.25">
      <c r="A249" t="s">
        <v>147</v>
      </c>
      <c r="B249" t="s">
        <v>22</v>
      </c>
      <c r="C249">
        <v>144383</v>
      </c>
      <c r="D249" s="1">
        <v>10.6</v>
      </c>
      <c r="E249">
        <v>10.6</v>
      </c>
      <c r="F249" s="2">
        <v>6.1</v>
      </c>
      <c r="G249">
        <f>D249-E249</f>
        <v>0</v>
      </c>
    </row>
    <row r="250" spans="1:7" x14ac:dyDescent="0.25">
      <c r="A250" t="s">
        <v>271</v>
      </c>
      <c r="B250" t="s">
        <v>17</v>
      </c>
      <c r="C250">
        <v>87244</v>
      </c>
      <c r="D250" s="1">
        <v>12.1</v>
      </c>
      <c r="E250">
        <v>12.1</v>
      </c>
      <c r="F250" s="2">
        <v>-0.1</v>
      </c>
      <c r="G250">
        <f>D250-E250</f>
        <v>0</v>
      </c>
    </row>
    <row r="251" spans="1:7" x14ac:dyDescent="0.25">
      <c r="A251" t="s">
        <v>286</v>
      </c>
      <c r="B251" t="s">
        <v>17</v>
      </c>
      <c r="C251">
        <v>50994</v>
      </c>
      <c r="D251" s="1">
        <v>11.8</v>
      </c>
      <c r="E251">
        <v>11.8</v>
      </c>
      <c r="F251" s="2">
        <v>0.6</v>
      </c>
      <c r="G251">
        <f>D251-E251</f>
        <v>0</v>
      </c>
    </row>
    <row r="252" spans="1:7" x14ac:dyDescent="0.25">
      <c r="A252" t="s">
        <v>340</v>
      </c>
      <c r="B252" t="s">
        <v>26</v>
      </c>
      <c r="C252">
        <v>53487</v>
      </c>
      <c r="D252" s="1">
        <v>8.5</v>
      </c>
      <c r="E252">
        <v>8.5</v>
      </c>
      <c r="F252" s="2">
        <v>-1.4</v>
      </c>
      <c r="G252">
        <f>D252-E252</f>
        <v>0</v>
      </c>
    </row>
    <row r="253" spans="1:7" x14ac:dyDescent="0.25">
      <c r="A253" t="s">
        <v>8</v>
      </c>
      <c r="B253" t="s">
        <v>9</v>
      </c>
      <c r="C253">
        <v>58763</v>
      </c>
      <c r="D253" s="1">
        <v>10.4</v>
      </c>
      <c r="E253">
        <v>10.5</v>
      </c>
      <c r="F253" s="2">
        <v>-1.1000000000000001</v>
      </c>
      <c r="G253">
        <f>D253-E253</f>
        <v>-9.9999999999999645E-2</v>
      </c>
    </row>
    <row r="254" spans="1:7" x14ac:dyDescent="0.25">
      <c r="A254" t="s">
        <v>225</v>
      </c>
      <c r="B254" t="s">
        <v>17</v>
      </c>
      <c r="C254">
        <v>72713</v>
      </c>
      <c r="D254" s="1">
        <v>11.3</v>
      </c>
      <c r="E254">
        <v>11.4</v>
      </c>
      <c r="F254" s="2">
        <v>-1.4</v>
      </c>
      <c r="G254">
        <f>D254-E254</f>
        <v>-9.9999999999999645E-2</v>
      </c>
    </row>
    <row r="255" spans="1:7" x14ac:dyDescent="0.25">
      <c r="A255" t="s">
        <v>330</v>
      </c>
      <c r="B255" t="s">
        <v>9</v>
      </c>
      <c r="C255">
        <v>35148</v>
      </c>
      <c r="D255" s="1">
        <v>10.7</v>
      </c>
      <c r="E255">
        <v>10.8</v>
      </c>
      <c r="F255" s="2">
        <v>-1.1000000000000001</v>
      </c>
      <c r="G255">
        <f>D255-E255</f>
        <v>-0.10000000000000142</v>
      </c>
    </row>
    <row r="256" spans="1:7" x14ac:dyDescent="0.25">
      <c r="A256" t="s">
        <v>294</v>
      </c>
      <c r="B256" t="s">
        <v>15</v>
      </c>
      <c r="C256">
        <v>49053</v>
      </c>
      <c r="D256" s="1">
        <v>11.4</v>
      </c>
      <c r="E256">
        <v>11.6</v>
      </c>
      <c r="F256" s="2">
        <v>-1.4</v>
      </c>
      <c r="G256">
        <f>D256-E256</f>
        <v>-0.19999999999999929</v>
      </c>
    </row>
    <row r="257" spans="1:7" x14ac:dyDescent="0.25">
      <c r="A257" t="s">
        <v>360</v>
      </c>
      <c r="B257" t="s">
        <v>15</v>
      </c>
      <c r="C257">
        <v>77843</v>
      </c>
      <c r="D257" s="1">
        <v>11.4</v>
      </c>
      <c r="E257">
        <v>11.6</v>
      </c>
      <c r="F257" s="2">
        <v>-0.7</v>
      </c>
      <c r="G257">
        <f>D257-E257</f>
        <v>-0.19999999999999929</v>
      </c>
    </row>
    <row r="258" spans="1:7" x14ac:dyDescent="0.25">
      <c r="A258" t="s">
        <v>149</v>
      </c>
      <c r="B258" t="s">
        <v>13</v>
      </c>
      <c r="C258">
        <v>76618</v>
      </c>
      <c r="D258" s="1">
        <v>10.199999999999999</v>
      </c>
      <c r="E258">
        <v>10.4</v>
      </c>
      <c r="F258" s="2">
        <v>2.2999999999999998</v>
      </c>
      <c r="G258">
        <f>D258-E258</f>
        <v>-0.20000000000000107</v>
      </c>
    </row>
    <row r="259" spans="1:7" x14ac:dyDescent="0.25">
      <c r="A259" t="s">
        <v>164</v>
      </c>
      <c r="B259" t="s">
        <v>13</v>
      </c>
      <c r="C259">
        <v>196167</v>
      </c>
      <c r="D259" s="1">
        <v>9.5</v>
      </c>
      <c r="E259">
        <v>9.8000000000000007</v>
      </c>
      <c r="F259" s="2">
        <v>-2.6</v>
      </c>
      <c r="G259">
        <f>D259-E259</f>
        <v>-0.30000000000000071</v>
      </c>
    </row>
    <row r="260" spans="1:7" x14ac:dyDescent="0.25">
      <c r="A260" t="s">
        <v>253</v>
      </c>
      <c r="B260" t="s">
        <v>35</v>
      </c>
      <c r="C260">
        <v>135010</v>
      </c>
      <c r="D260" s="1">
        <v>8.1</v>
      </c>
      <c r="E260">
        <v>8.4</v>
      </c>
      <c r="F260" s="2">
        <v>2.9</v>
      </c>
      <c r="G260">
        <f>D260-E260</f>
        <v>-0.30000000000000071</v>
      </c>
    </row>
    <row r="261" spans="1:7" x14ac:dyDescent="0.25">
      <c r="A261" t="s">
        <v>341</v>
      </c>
      <c r="B261" t="s">
        <v>13</v>
      </c>
      <c r="C261">
        <v>137496</v>
      </c>
      <c r="D261" s="1">
        <v>9.6999999999999993</v>
      </c>
      <c r="E261">
        <v>10</v>
      </c>
      <c r="F261" s="2">
        <v>0.3</v>
      </c>
      <c r="G261">
        <f>D261-E261</f>
        <v>-0.30000000000000071</v>
      </c>
    </row>
    <row r="262" spans="1:7" x14ac:dyDescent="0.25">
      <c r="A262" t="s">
        <v>116</v>
      </c>
      <c r="B262" t="s">
        <v>17</v>
      </c>
      <c r="C262">
        <v>61199</v>
      </c>
      <c r="D262" s="1">
        <v>10.8</v>
      </c>
      <c r="E262">
        <v>11.2</v>
      </c>
      <c r="F262" s="2">
        <v>-2.9</v>
      </c>
      <c r="G262">
        <f>D262-E262</f>
        <v>-0.39999999999999858</v>
      </c>
    </row>
    <row r="263" spans="1:7" x14ac:dyDescent="0.25">
      <c r="A263" t="s">
        <v>324</v>
      </c>
      <c r="B263" t="s">
        <v>35</v>
      </c>
      <c r="C263">
        <v>79177</v>
      </c>
      <c r="D263" s="1">
        <v>8.3000000000000007</v>
      </c>
      <c r="E263">
        <v>8.6999999999999993</v>
      </c>
      <c r="F263" s="2">
        <v>-1.6</v>
      </c>
      <c r="G263">
        <f>D263-E263</f>
        <v>-0.39999999999999858</v>
      </c>
    </row>
    <row r="264" spans="1:7" x14ac:dyDescent="0.25">
      <c r="A264" t="s">
        <v>387</v>
      </c>
      <c r="B264" t="s">
        <v>17</v>
      </c>
      <c r="C264">
        <v>39671</v>
      </c>
      <c r="D264" s="1">
        <v>10.3</v>
      </c>
      <c r="E264">
        <v>10.7</v>
      </c>
      <c r="F264" s="2">
        <v>-2.6</v>
      </c>
      <c r="G264">
        <f>D264-E264</f>
        <v>-0.39999999999999858</v>
      </c>
    </row>
    <row r="265" spans="1:7" x14ac:dyDescent="0.25">
      <c r="A265" t="s">
        <v>73</v>
      </c>
      <c r="B265" t="s">
        <v>31</v>
      </c>
      <c r="C265">
        <v>36317</v>
      </c>
      <c r="D265" s="1">
        <v>10.9</v>
      </c>
      <c r="E265">
        <v>11.3</v>
      </c>
      <c r="F265" s="2">
        <v>-1.6</v>
      </c>
      <c r="G265">
        <f>D265-E265</f>
        <v>-0.40000000000000036</v>
      </c>
    </row>
    <row r="266" spans="1:7" x14ac:dyDescent="0.25">
      <c r="A266" t="s">
        <v>140</v>
      </c>
      <c r="B266" t="s">
        <v>15</v>
      </c>
      <c r="C266">
        <v>66807</v>
      </c>
      <c r="D266" s="1">
        <v>10.6</v>
      </c>
      <c r="E266">
        <v>11</v>
      </c>
      <c r="F266" s="2">
        <v>10.8</v>
      </c>
      <c r="G266">
        <f>D266-E266</f>
        <v>-0.40000000000000036</v>
      </c>
    </row>
    <row r="267" spans="1:7" x14ac:dyDescent="0.25">
      <c r="A267" t="s">
        <v>279</v>
      </c>
      <c r="B267" t="s">
        <v>17</v>
      </c>
      <c r="C267">
        <v>52389</v>
      </c>
      <c r="D267" s="1">
        <v>11.7</v>
      </c>
      <c r="E267">
        <v>12.1</v>
      </c>
      <c r="F267" s="2">
        <v>-4.2</v>
      </c>
      <c r="G267">
        <f>D267-E267</f>
        <v>-0.40000000000000036</v>
      </c>
    </row>
    <row r="268" spans="1:7" x14ac:dyDescent="0.25">
      <c r="A268" t="s">
        <v>297</v>
      </c>
      <c r="B268" t="s">
        <v>22</v>
      </c>
      <c r="C268">
        <v>58342</v>
      </c>
      <c r="D268" s="1">
        <v>11</v>
      </c>
      <c r="E268">
        <v>11.4</v>
      </c>
      <c r="F268" s="2">
        <v>-4.0999999999999996</v>
      </c>
      <c r="G268">
        <f>D268-E268</f>
        <v>-0.40000000000000036</v>
      </c>
    </row>
    <row r="269" spans="1:7" x14ac:dyDescent="0.25">
      <c r="A269" t="s">
        <v>331</v>
      </c>
      <c r="B269" t="s">
        <v>22</v>
      </c>
      <c r="C269">
        <v>72366</v>
      </c>
      <c r="D269" s="1">
        <v>9.5</v>
      </c>
      <c r="E269">
        <v>9.9</v>
      </c>
      <c r="F269" s="2">
        <v>-0.2</v>
      </c>
      <c r="G269">
        <f>D269-E269</f>
        <v>-0.40000000000000036</v>
      </c>
    </row>
    <row r="270" spans="1:7" x14ac:dyDescent="0.25">
      <c r="A270" t="s">
        <v>380</v>
      </c>
      <c r="B270" t="s">
        <v>15</v>
      </c>
      <c r="C270">
        <v>67588</v>
      </c>
      <c r="D270" s="1">
        <v>10.7</v>
      </c>
      <c r="E270">
        <v>11.1</v>
      </c>
      <c r="F270" s="2">
        <v>-1</v>
      </c>
      <c r="G270">
        <f>D270-E270</f>
        <v>-0.40000000000000036</v>
      </c>
    </row>
    <row r="271" spans="1:7" x14ac:dyDescent="0.25">
      <c r="A271" t="s">
        <v>102</v>
      </c>
      <c r="B271" t="s">
        <v>11</v>
      </c>
      <c r="C271">
        <v>64814</v>
      </c>
      <c r="D271" s="1">
        <v>10.8</v>
      </c>
      <c r="E271">
        <v>11.3</v>
      </c>
      <c r="F271" s="2">
        <v>-4.5999999999999996</v>
      </c>
      <c r="G271">
        <f>D271-E271</f>
        <v>-0.5</v>
      </c>
    </row>
    <row r="272" spans="1:7" x14ac:dyDescent="0.25">
      <c r="A272" t="s">
        <v>155</v>
      </c>
      <c r="B272" t="s">
        <v>7</v>
      </c>
      <c r="C272">
        <v>357650</v>
      </c>
      <c r="D272" s="1">
        <v>10</v>
      </c>
      <c r="E272">
        <v>10.5</v>
      </c>
      <c r="F272" s="2">
        <v>-4.5</v>
      </c>
      <c r="G272">
        <f>D272-E272</f>
        <v>-0.5</v>
      </c>
    </row>
    <row r="273" spans="1:7" x14ac:dyDescent="0.25">
      <c r="A273" t="s">
        <v>168</v>
      </c>
      <c r="B273" t="s">
        <v>13</v>
      </c>
      <c r="C273">
        <v>95036</v>
      </c>
      <c r="D273" s="1">
        <v>9.6</v>
      </c>
      <c r="E273">
        <v>10.1</v>
      </c>
      <c r="F273" s="2">
        <v>-1.3</v>
      </c>
      <c r="G273">
        <f>D273-E273</f>
        <v>-0.5</v>
      </c>
    </row>
    <row r="274" spans="1:7" x14ac:dyDescent="0.25">
      <c r="A274" t="s">
        <v>188</v>
      </c>
      <c r="B274" t="s">
        <v>15</v>
      </c>
      <c r="C274">
        <v>77810</v>
      </c>
      <c r="D274" s="1">
        <v>10.6</v>
      </c>
      <c r="E274">
        <v>11.1</v>
      </c>
      <c r="F274" s="2">
        <v>-2.7</v>
      </c>
      <c r="G274">
        <f>D274-E274</f>
        <v>-0.5</v>
      </c>
    </row>
    <row r="275" spans="1:7" x14ac:dyDescent="0.25">
      <c r="A275" t="s">
        <v>193</v>
      </c>
      <c r="B275" t="s">
        <v>13</v>
      </c>
      <c r="C275">
        <v>143394</v>
      </c>
      <c r="D275" s="1">
        <v>10.9</v>
      </c>
      <c r="E275">
        <v>11.4</v>
      </c>
      <c r="F275" s="2">
        <v>-4</v>
      </c>
      <c r="G275">
        <f>D275-E275</f>
        <v>-0.5</v>
      </c>
    </row>
    <row r="276" spans="1:7" x14ac:dyDescent="0.25">
      <c r="A276" t="s">
        <v>236</v>
      </c>
      <c r="B276" t="s">
        <v>26</v>
      </c>
      <c r="C276">
        <v>66947</v>
      </c>
      <c r="D276" s="1">
        <v>8.8000000000000007</v>
      </c>
      <c r="E276">
        <v>9.3000000000000007</v>
      </c>
      <c r="F276" s="2">
        <v>-1.8</v>
      </c>
      <c r="G276">
        <f>D276-E276</f>
        <v>-0.5</v>
      </c>
    </row>
    <row r="277" spans="1:7" x14ac:dyDescent="0.25">
      <c r="A277" t="s">
        <v>243</v>
      </c>
      <c r="B277" t="s">
        <v>35</v>
      </c>
      <c r="C277">
        <v>143852</v>
      </c>
      <c r="D277" s="1">
        <v>9.3000000000000007</v>
      </c>
      <c r="E277">
        <v>9.8000000000000007</v>
      </c>
      <c r="F277" s="2">
        <v>-2.1</v>
      </c>
      <c r="G277">
        <f>D277-E277</f>
        <v>-0.5</v>
      </c>
    </row>
    <row r="278" spans="1:7" x14ac:dyDescent="0.25">
      <c r="A278" t="s">
        <v>27</v>
      </c>
      <c r="B278" t="s">
        <v>22</v>
      </c>
      <c r="C278">
        <v>103226</v>
      </c>
      <c r="D278" s="1">
        <v>10.5</v>
      </c>
      <c r="E278">
        <v>11.1</v>
      </c>
      <c r="F278" s="2">
        <v>-2.1</v>
      </c>
      <c r="G278">
        <f>D278-E278</f>
        <v>-0.59999999999999964</v>
      </c>
    </row>
    <row r="279" spans="1:7" x14ac:dyDescent="0.25">
      <c r="A279" t="s">
        <v>204</v>
      </c>
      <c r="B279" t="s">
        <v>19</v>
      </c>
      <c r="C279">
        <v>40765</v>
      </c>
      <c r="D279" s="1">
        <v>8.4</v>
      </c>
      <c r="E279">
        <v>9</v>
      </c>
      <c r="F279" s="2">
        <v>0.5</v>
      </c>
      <c r="G279">
        <f>D279-E279</f>
        <v>-0.59999999999999964</v>
      </c>
    </row>
    <row r="280" spans="1:7" x14ac:dyDescent="0.25">
      <c r="A280" t="s">
        <v>257</v>
      </c>
      <c r="B280" t="s">
        <v>17</v>
      </c>
      <c r="C280">
        <v>74511</v>
      </c>
      <c r="D280" s="1">
        <v>10.4</v>
      </c>
      <c r="E280">
        <v>11</v>
      </c>
      <c r="F280" s="2">
        <v>-2.9</v>
      </c>
      <c r="G280">
        <f>D280-E280</f>
        <v>-0.59999999999999964</v>
      </c>
    </row>
    <row r="281" spans="1:7" x14ac:dyDescent="0.25">
      <c r="A281" t="s">
        <v>288</v>
      </c>
      <c r="B281" t="s">
        <v>13</v>
      </c>
      <c r="C281">
        <v>110448</v>
      </c>
      <c r="D281" s="1">
        <v>8.6</v>
      </c>
      <c r="E281">
        <v>9.1999999999999993</v>
      </c>
      <c r="F281" s="2">
        <v>0.7</v>
      </c>
      <c r="G281">
        <f>D281-E281</f>
        <v>-0.59999999999999964</v>
      </c>
    </row>
    <row r="282" spans="1:7" x14ac:dyDescent="0.25">
      <c r="A282" t="s">
        <v>291</v>
      </c>
      <c r="B282" t="s">
        <v>7</v>
      </c>
      <c r="C282">
        <v>41793</v>
      </c>
      <c r="D282" s="1">
        <v>10.5</v>
      </c>
      <c r="E282">
        <v>11.1</v>
      </c>
      <c r="F282" s="2">
        <v>-2.4</v>
      </c>
      <c r="G282">
        <f>D282-E282</f>
        <v>-0.59999999999999964</v>
      </c>
    </row>
    <row r="283" spans="1:7" x14ac:dyDescent="0.25">
      <c r="A283" t="s">
        <v>177</v>
      </c>
      <c r="B283" t="s">
        <v>31</v>
      </c>
      <c r="C283">
        <v>104178</v>
      </c>
      <c r="D283" s="1">
        <v>9.6999999999999993</v>
      </c>
      <c r="E283">
        <v>10.3</v>
      </c>
      <c r="F283" s="2">
        <v>-2.4</v>
      </c>
      <c r="G283">
        <f>D283-E283</f>
        <v>-0.60000000000000142</v>
      </c>
    </row>
    <row r="284" spans="1:7" x14ac:dyDescent="0.25">
      <c r="A284" t="s">
        <v>199</v>
      </c>
      <c r="B284" t="s">
        <v>42</v>
      </c>
      <c r="C284">
        <v>97087</v>
      </c>
      <c r="D284" s="1">
        <v>9.1999999999999993</v>
      </c>
      <c r="E284">
        <v>9.8000000000000007</v>
      </c>
      <c r="F284" s="2">
        <v>-2.9</v>
      </c>
      <c r="G284">
        <f>D284-E284</f>
        <v>-0.60000000000000142</v>
      </c>
    </row>
    <row r="285" spans="1:7" x14ac:dyDescent="0.25">
      <c r="A285" t="s">
        <v>49</v>
      </c>
      <c r="B285" t="s">
        <v>29</v>
      </c>
      <c r="C285">
        <v>127645</v>
      </c>
      <c r="D285" s="1">
        <v>9.6</v>
      </c>
      <c r="E285">
        <v>10.3</v>
      </c>
      <c r="F285" s="2">
        <v>0.4</v>
      </c>
      <c r="G285">
        <f>D285-E285</f>
        <v>-0.70000000000000107</v>
      </c>
    </row>
    <row r="286" spans="1:7" x14ac:dyDescent="0.25">
      <c r="A286" t="s">
        <v>210</v>
      </c>
      <c r="B286" t="s">
        <v>7</v>
      </c>
      <c r="C286">
        <v>117402</v>
      </c>
      <c r="D286" s="1">
        <v>9.6</v>
      </c>
      <c r="E286">
        <v>10.4</v>
      </c>
      <c r="F286" s="2">
        <v>-3.4</v>
      </c>
      <c r="G286">
        <f>D286-E286</f>
        <v>-0.80000000000000071</v>
      </c>
    </row>
    <row r="287" spans="1:7" x14ac:dyDescent="0.25">
      <c r="A287" t="s">
        <v>211</v>
      </c>
      <c r="B287" t="s">
        <v>31</v>
      </c>
      <c r="C287">
        <v>632146</v>
      </c>
      <c r="D287" s="1">
        <v>10.199999999999999</v>
      </c>
      <c r="E287">
        <v>11</v>
      </c>
      <c r="F287" s="2">
        <v>1.3</v>
      </c>
      <c r="G287">
        <f>D287-E287</f>
        <v>-0.80000000000000071</v>
      </c>
    </row>
    <row r="288" spans="1:7" x14ac:dyDescent="0.25">
      <c r="A288" t="s">
        <v>263</v>
      </c>
      <c r="B288" t="s">
        <v>22</v>
      </c>
      <c r="C288">
        <v>35921</v>
      </c>
      <c r="D288" s="1">
        <v>11.2</v>
      </c>
      <c r="E288">
        <v>12</v>
      </c>
      <c r="F288" s="2">
        <v>-3.2</v>
      </c>
      <c r="G288">
        <f>D288-E288</f>
        <v>-0.80000000000000071</v>
      </c>
    </row>
    <row r="289" spans="1:7" x14ac:dyDescent="0.25">
      <c r="A289" t="s">
        <v>276</v>
      </c>
      <c r="B289" t="s">
        <v>29</v>
      </c>
      <c r="C289">
        <v>43419</v>
      </c>
      <c r="D289" s="1">
        <v>10.7</v>
      </c>
      <c r="E289">
        <v>11.5</v>
      </c>
      <c r="F289" s="2">
        <v>1.4</v>
      </c>
      <c r="G289">
        <f>D289-E289</f>
        <v>-0.80000000000000071</v>
      </c>
    </row>
    <row r="290" spans="1:7" x14ac:dyDescent="0.25">
      <c r="A290" t="s">
        <v>96</v>
      </c>
      <c r="B290" t="s">
        <v>31</v>
      </c>
      <c r="C290">
        <v>45562</v>
      </c>
      <c r="D290" s="1">
        <v>10.3</v>
      </c>
      <c r="E290">
        <v>11.2</v>
      </c>
      <c r="F290" s="2">
        <v>-3.9</v>
      </c>
      <c r="G290">
        <f>D290-E290</f>
        <v>-0.89999999999999858</v>
      </c>
    </row>
    <row r="291" spans="1:7" x14ac:dyDescent="0.25">
      <c r="A291" t="s">
        <v>320</v>
      </c>
      <c r="B291" t="s">
        <v>39</v>
      </c>
      <c r="C291">
        <v>93280</v>
      </c>
      <c r="D291" s="1">
        <v>10.3</v>
      </c>
      <c r="E291">
        <v>11.2</v>
      </c>
      <c r="F291" s="2">
        <v>-3.1</v>
      </c>
      <c r="G291">
        <f>D291-E291</f>
        <v>-0.89999999999999858</v>
      </c>
    </row>
    <row r="292" spans="1:7" x14ac:dyDescent="0.25">
      <c r="A292" t="s">
        <v>388</v>
      </c>
      <c r="B292" t="s">
        <v>17</v>
      </c>
      <c r="C292">
        <v>36796</v>
      </c>
      <c r="D292" s="1">
        <v>11.3</v>
      </c>
      <c r="E292">
        <v>12.2</v>
      </c>
      <c r="F292" s="2">
        <v>-2</v>
      </c>
      <c r="G292">
        <f>D292-E292</f>
        <v>-0.89999999999999858</v>
      </c>
    </row>
    <row r="293" spans="1:7" x14ac:dyDescent="0.25">
      <c r="A293" t="s">
        <v>106</v>
      </c>
      <c r="B293" t="s">
        <v>35</v>
      </c>
      <c r="C293">
        <v>68801</v>
      </c>
      <c r="D293" s="1">
        <v>8.6</v>
      </c>
      <c r="E293">
        <v>9.5</v>
      </c>
      <c r="F293" s="2">
        <v>-2.4</v>
      </c>
      <c r="G293">
        <f>D293-E293</f>
        <v>-0.90000000000000036</v>
      </c>
    </row>
    <row r="294" spans="1:7" x14ac:dyDescent="0.25">
      <c r="A294" t="s">
        <v>146</v>
      </c>
      <c r="B294" t="s">
        <v>22</v>
      </c>
      <c r="C294">
        <v>89876</v>
      </c>
      <c r="D294" s="1">
        <v>11</v>
      </c>
      <c r="E294">
        <v>11.9</v>
      </c>
      <c r="F294" s="2">
        <v>-2</v>
      </c>
      <c r="G294">
        <f>D294-E294</f>
        <v>-0.90000000000000036</v>
      </c>
    </row>
    <row r="295" spans="1:7" x14ac:dyDescent="0.25">
      <c r="A295" t="s">
        <v>247</v>
      </c>
      <c r="B295" t="s">
        <v>35</v>
      </c>
      <c r="C295">
        <v>67194</v>
      </c>
      <c r="D295" s="1">
        <v>8.6999999999999993</v>
      </c>
      <c r="E295">
        <v>9.6</v>
      </c>
      <c r="F295" s="2">
        <v>-2.6</v>
      </c>
      <c r="G295">
        <f>D295-E295</f>
        <v>-0.90000000000000036</v>
      </c>
    </row>
    <row r="296" spans="1:7" x14ac:dyDescent="0.25">
      <c r="A296" t="s">
        <v>304</v>
      </c>
      <c r="B296" t="s">
        <v>17</v>
      </c>
      <c r="C296">
        <v>80509</v>
      </c>
      <c r="D296" s="1">
        <v>10.7</v>
      </c>
      <c r="E296">
        <v>11.6</v>
      </c>
      <c r="F296" s="2">
        <v>0.4</v>
      </c>
      <c r="G296">
        <f>D296-E296</f>
        <v>-0.90000000000000036</v>
      </c>
    </row>
    <row r="297" spans="1:7" x14ac:dyDescent="0.25">
      <c r="A297" t="s">
        <v>104</v>
      </c>
      <c r="B297" t="s">
        <v>13</v>
      </c>
      <c r="C297">
        <v>85001</v>
      </c>
      <c r="D297" s="1">
        <v>9.4</v>
      </c>
      <c r="E297">
        <v>10.4</v>
      </c>
      <c r="F297" s="2">
        <v>1.4</v>
      </c>
      <c r="G297">
        <f>D297-E297</f>
        <v>-1</v>
      </c>
    </row>
    <row r="298" spans="1:7" x14ac:dyDescent="0.25">
      <c r="A298" t="s">
        <v>187</v>
      </c>
      <c r="B298" t="s">
        <v>13</v>
      </c>
      <c r="C298">
        <v>58519</v>
      </c>
      <c r="D298" s="1">
        <v>10.4</v>
      </c>
      <c r="E298">
        <v>11.4</v>
      </c>
      <c r="F298" s="2">
        <v>-3.8</v>
      </c>
      <c r="G298">
        <f>D298-E298</f>
        <v>-1</v>
      </c>
    </row>
    <row r="299" spans="1:7" x14ac:dyDescent="0.25">
      <c r="A299" t="s">
        <v>306</v>
      </c>
      <c r="B299" t="s">
        <v>15</v>
      </c>
      <c r="C299">
        <v>119916</v>
      </c>
      <c r="D299" s="1">
        <v>10.7</v>
      </c>
      <c r="E299">
        <v>11.7</v>
      </c>
      <c r="F299" s="2">
        <v>-1.7</v>
      </c>
      <c r="G299">
        <f>D299-E299</f>
        <v>-1</v>
      </c>
    </row>
    <row r="300" spans="1:7" x14ac:dyDescent="0.25">
      <c r="A300" t="s">
        <v>374</v>
      </c>
      <c r="B300" t="s">
        <v>31</v>
      </c>
      <c r="C300">
        <v>68575</v>
      </c>
      <c r="D300" s="1">
        <v>10.199999999999999</v>
      </c>
      <c r="E300">
        <v>11.2</v>
      </c>
      <c r="F300" s="2">
        <v>-1.2</v>
      </c>
      <c r="G300">
        <f>D300-E300</f>
        <v>-1</v>
      </c>
    </row>
    <row r="301" spans="1:7" x14ac:dyDescent="0.25">
      <c r="A301" t="s">
        <v>382</v>
      </c>
      <c r="B301" t="s">
        <v>31</v>
      </c>
      <c r="C301">
        <v>92867</v>
      </c>
      <c r="D301" s="1">
        <v>9.8000000000000007</v>
      </c>
      <c r="E301">
        <v>10.8</v>
      </c>
      <c r="F301" s="2">
        <v>-3.1</v>
      </c>
      <c r="G301">
        <f>D301-E301</f>
        <v>-1</v>
      </c>
    </row>
    <row r="302" spans="1:7" x14ac:dyDescent="0.25">
      <c r="A302" t="s">
        <v>20</v>
      </c>
      <c r="B302" t="s">
        <v>9</v>
      </c>
      <c r="C302">
        <v>139643</v>
      </c>
      <c r="D302" s="1">
        <v>10.1</v>
      </c>
      <c r="E302">
        <v>11.2</v>
      </c>
      <c r="F302" s="2">
        <v>7.3</v>
      </c>
      <c r="G302">
        <f>D302-E302</f>
        <v>-1.0999999999999996</v>
      </c>
    </row>
    <row r="303" spans="1:7" x14ac:dyDescent="0.25">
      <c r="A303" t="s">
        <v>156</v>
      </c>
      <c r="B303" t="s">
        <v>13</v>
      </c>
      <c r="C303">
        <v>182749</v>
      </c>
      <c r="D303" s="1">
        <v>9.9</v>
      </c>
      <c r="E303">
        <v>11</v>
      </c>
      <c r="F303" s="2">
        <v>-5</v>
      </c>
      <c r="G303">
        <f>D303-E303</f>
        <v>-1.0999999999999996</v>
      </c>
    </row>
    <row r="304" spans="1:7" x14ac:dyDescent="0.25">
      <c r="A304" t="s">
        <v>267</v>
      </c>
      <c r="B304" t="s">
        <v>15</v>
      </c>
      <c r="C304">
        <v>90462</v>
      </c>
      <c r="D304" s="1">
        <v>11.6</v>
      </c>
      <c r="E304">
        <v>12.7</v>
      </c>
      <c r="F304" s="2">
        <v>1.6</v>
      </c>
      <c r="G304">
        <f>D304-E304</f>
        <v>-1.0999999999999996</v>
      </c>
    </row>
    <row r="305" spans="1:7" x14ac:dyDescent="0.25">
      <c r="A305" t="s">
        <v>362</v>
      </c>
      <c r="B305" t="s">
        <v>7</v>
      </c>
      <c r="C305">
        <v>85368</v>
      </c>
      <c r="D305" s="1">
        <v>10.199999999999999</v>
      </c>
      <c r="E305">
        <v>11.3</v>
      </c>
      <c r="F305" s="2">
        <v>0</v>
      </c>
      <c r="G305">
        <f>D305-E305</f>
        <v>-1.1000000000000014</v>
      </c>
    </row>
    <row r="306" spans="1:7" x14ac:dyDescent="0.25">
      <c r="A306" t="s">
        <v>21</v>
      </c>
      <c r="B306" t="s">
        <v>22</v>
      </c>
      <c r="C306">
        <v>112846</v>
      </c>
      <c r="D306" s="1">
        <v>11.4</v>
      </c>
      <c r="E306">
        <v>12.6</v>
      </c>
      <c r="F306" s="2">
        <v>-2.7</v>
      </c>
      <c r="G306">
        <f>D306-E306</f>
        <v>-1.1999999999999993</v>
      </c>
    </row>
    <row r="307" spans="1:7" x14ac:dyDescent="0.25">
      <c r="A307" t="s">
        <v>93</v>
      </c>
      <c r="B307" t="s">
        <v>39</v>
      </c>
      <c r="C307">
        <v>88665</v>
      </c>
      <c r="D307" s="1">
        <v>10.4</v>
      </c>
      <c r="E307">
        <v>11.6</v>
      </c>
      <c r="F307" s="2">
        <v>-2</v>
      </c>
      <c r="G307">
        <f>D307-E307</f>
        <v>-1.1999999999999993</v>
      </c>
    </row>
    <row r="308" spans="1:7" x14ac:dyDescent="0.25">
      <c r="A308" t="s">
        <v>159</v>
      </c>
      <c r="B308" t="s">
        <v>13</v>
      </c>
      <c r="C308">
        <v>239319</v>
      </c>
      <c r="D308" s="1">
        <v>9.9</v>
      </c>
      <c r="E308">
        <v>11.1</v>
      </c>
      <c r="F308" s="2">
        <v>-3.5</v>
      </c>
      <c r="G308">
        <f>D308-E308</f>
        <v>-1.1999999999999993</v>
      </c>
    </row>
    <row r="309" spans="1:7" x14ac:dyDescent="0.25">
      <c r="A309" t="s">
        <v>345</v>
      </c>
      <c r="B309" t="s">
        <v>15</v>
      </c>
      <c r="C309">
        <v>120132</v>
      </c>
      <c r="D309" s="1">
        <v>11</v>
      </c>
      <c r="E309">
        <v>12.2</v>
      </c>
      <c r="F309" s="2">
        <v>-1.6</v>
      </c>
      <c r="G309">
        <f>D309-E309</f>
        <v>-1.1999999999999993</v>
      </c>
    </row>
    <row r="310" spans="1:7" x14ac:dyDescent="0.25">
      <c r="A310" t="s">
        <v>119</v>
      </c>
      <c r="B310" t="s">
        <v>22</v>
      </c>
      <c r="C310">
        <v>98574</v>
      </c>
      <c r="D310" s="1">
        <v>9.6999999999999993</v>
      </c>
      <c r="E310">
        <v>10.9</v>
      </c>
      <c r="F310" s="2">
        <v>-2.4</v>
      </c>
      <c r="G310">
        <f>D310-E310</f>
        <v>-1.2000000000000011</v>
      </c>
    </row>
    <row r="311" spans="1:7" x14ac:dyDescent="0.25">
      <c r="A311" t="s">
        <v>205</v>
      </c>
      <c r="B311" t="s">
        <v>19</v>
      </c>
      <c r="C311">
        <v>406307</v>
      </c>
      <c r="D311" s="1">
        <v>9.6999999999999993</v>
      </c>
      <c r="E311">
        <v>10.9</v>
      </c>
      <c r="F311" s="2">
        <v>-0.9</v>
      </c>
      <c r="G311">
        <f>D311-E311</f>
        <v>-1.2000000000000011</v>
      </c>
    </row>
    <row r="312" spans="1:7" x14ac:dyDescent="0.25">
      <c r="A312" t="s">
        <v>302</v>
      </c>
      <c r="B312" t="s">
        <v>9</v>
      </c>
      <c r="C312">
        <v>21013</v>
      </c>
      <c r="D312" s="1">
        <v>10.1</v>
      </c>
      <c r="E312">
        <v>11.3</v>
      </c>
      <c r="F312" s="2">
        <v>-2.4</v>
      </c>
      <c r="G312">
        <f>D312-E312</f>
        <v>-1.2000000000000011</v>
      </c>
    </row>
    <row r="313" spans="1:7" x14ac:dyDescent="0.25">
      <c r="A313" t="s">
        <v>285</v>
      </c>
      <c r="B313" t="s">
        <v>22</v>
      </c>
      <c r="C313">
        <v>115860</v>
      </c>
      <c r="D313" s="1">
        <v>9.9</v>
      </c>
      <c r="E313">
        <v>11.2</v>
      </c>
      <c r="F313" s="2">
        <v>-1.5</v>
      </c>
      <c r="G313">
        <f>D313-E313</f>
        <v>-1.2999999999999989</v>
      </c>
    </row>
    <row r="314" spans="1:7" x14ac:dyDescent="0.25">
      <c r="A314" t="s">
        <v>326</v>
      </c>
      <c r="B314" t="s">
        <v>31</v>
      </c>
      <c r="C314">
        <v>43873</v>
      </c>
      <c r="D314" s="1">
        <v>10</v>
      </c>
      <c r="E314">
        <v>11.4</v>
      </c>
      <c r="F314" s="2">
        <v>-1.2</v>
      </c>
      <c r="G314">
        <f>D314-E314</f>
        <v>-1.4000000000000004</v>
      </c>
    </row>
    <row r="315" spans="1:7" x14ac:dyDescent="0.25">
      <c r="A315" t="s">
        <v>143</v>
      </c>
      <c r="B315" t="s">
        <v>15</v>
      </c>
      <c r="C315">
        <v>81151</v>
      </c>
      <c r="D315" s="1">
        <v>10.8</v>
      </c>
      <c r="E315">
        <v>12.3</v>
      </c>
      <c r="F315" s="2">
        <v>-1.9</v>
      </c>
      <c r="G315">
        <f>D315-E315</f>
        <v>-1.5</v>
      </c>
    </row>
    <row r="316" spans="1:7" x14ac:dyDescent="0.25">
      <c r="A316" t="s">
        <v>256</v>
      </c>
      <c r="B316" t="s">
        <v>39</v>
      </c>
      <c r="C316">
        <v>114670</v>
      </c>
      <c r="D316" s="1">
        <v>9.3000000000000007</v>
      </c>
      <c r="E316">
        <v>10.8</v>
      </c>
      <c r="F316" s="2">
        <v>-2.1</v>
      </c>
      <c r="G316">
        <f>D316-E316</f>
        <v>-1.5</v>
      </c>
    </row>
    <row r="317" spans="1:7" x14ac:dyDescent="0.25">
      <c r="A317" t="s">
        <v>372</v>
      </c>
      <c r="B317" t="s">
        <v>9</v>
      </c>
      <c r="C317">
        <v>59010</v>
      </c>
      <c r="D317" s="1">
        <v>11</v>
      </c>
      <c r="E317">
        <v>12.5</v>
      </c>
      <c r="F317" s="2">
        <v>-3.7</v>
      </c>
      <c r="G317">
        <f>D317-E317</f>
        <v>-1.5</v>
      </c>
    </row>
    <row r="318" spans="1:7" x14ac:dyDescent="0.25">
      <c r="A318" t="s">
        <v>384</v>
      </c>
      <c r="B318" t="s">
        <v>31</v>
      </c>
      <c r="C318">
        <v>45376</v>
      </c>
      <c r="D318" s="1">
        <v>10.4</v>
      </c>
      <c r="E318">
        <v>11.9</v>
      </c>
      <c r="F318" s="2">
        <v>-1.2</v>
      </c>
      <c r="G318">
        <f>D318-E318</f>
        <v>-1.5</v>
      </c>
    </row>
    <row r="319" spans="1:7" x14ac:dyDescent="0.25">
      <c r="A319" t="s">
        <v>44</v>
      </c>
      <c r="B319" t="s">
        <v>22</v>
      </c>
      <c r="C319">
        <v>78765</v>
      </c>
      <c r="D319" s="1">
        <v>11.6</v>
      </c>
      <c r="E319">
        <v>13.2</v>
      </c>
      <c r="F319" s="2">
        <v>-1.4</v>
      </c>
      <c r="G319">
        <f>D319-E319</f>
        <v>-1.5999999999999996</v>
      </c>
    </row>
    <row r="320" spans="1:7" x14ac:dyDescent="0.25">
      <c r="A320" t="s">
        <v>160</v>
      </c>
      <c r="B320" t="s">
        <v>13</v>
      </c>
      <c r="C320">
        <v>127686</v>
      </c>
      <c r="D320" s="1">
        <v>9.4</v>
      </c>
      <c r="E320">
        <v>11</v>
      </c>
      <c r="F320" s="2">
        <v>-3</v>
      </c>
      <c r="G320">
        <f>D320-E320</f>
        <v>-1.5999999999999996</v>
      </c>
    </row>
    <row r="321" spans="1:7" x14ac:dyDescent="0.25">
      <c r="A321" t="s">
        <v>282</v>
      </c>
      <c r="B321" t="s">
        <v>17</v>
      </c>
      <c r="C321">
        <v>43064</v>
      </c>
      <c r="D321" s="1">
        <v>11.3</v>
      </c>
      <c r="E321">
        <v>12.9</v>
      </c>
      <c r="F321" s="2">
        <v>-3.7</v>
      </c>
      <c r="G321">
        <f>D321-E321</f>
        <v>-1.5999999999999996</v>
      </c>
    </row>
    <row r="322" spans="1:7" x14ac:dyDescent="0.25">
      <c r="A322" t="s">
        <v>357</v>
      </c>
      <c r="B322" t="s">
        <v>17</v>
      </c>
      <c r="C322">
        <v>67080</v>
      </c>
      <c r="D322" s="1">
        <v>10.9</v>
      </c>
      <c r="E322">
        <v>12.5</v>
      </c>
      <c r="F322" s="2">
        <v>-2.8</v>
      </c>
      <c r="G322">
        <f>D322-E322</f>
        <v>-1.5999999999999996</v>
      </c>
    </row>
    <row r="323" spans="1:7" x14ac:dyDescent="0.25">
      <c r="A323" t="s">
        <v>381</v>
      </c>
      <c r="B323" t="s">
        <v>15</v>
      </c>
      <c r="C323">
        <v>161959</v>
      </c>
      <c r="D323" s="1">
        <v>10.3</v>
      </c>
      <c r="E323">
        <v>11.9</v>
      </c>
      <c r="F323" s="2">
        <v>4.8</v>
      </c>
      <c r="G323">
        <f>D323-E323</f>
        <v>-1.5999999999999996</v>
      </c>
    </row>
    <row r="324" spans="1:7" x14ac:dyDescent="0.25">
      <c r="A324" t="s">
        <v>203</v>
      </c>
      <c r="B324" t="s">
        <v>13</v>
      </c>
      <c r="C324">
        <v>54091</v>
      </c>
      <c r="D324" s="1">
        <v>10.199999999999999</v>
      </c>
      <c r="E324">
        <v>11.8</v>
      </c>
      <c r="F324" s="2">
        <v>-3.5</v>
      </c>
      <c r="G324">
        <f>D324-E324</f>
        <v>-1.6000000000000014</v>
      </c>
    </row>
    <row r="325" spans="1:7" x14ac:dyDescent="0.25">
      <c r="A325" t="s">
        <v>145</v>
      </c>
      <c r="B325" t="s">
        <v>31</v>
      </c>
      <c r="C325">
        <v>56085</v>
      </c>
      <c r="D325" s="1">
        <v>10.1</v>
      </c>
      <c r="E325">
        <v>11.9</v>
      </c>
      <c r="F325" s="2">
        <v>-3.4</v>
      </c>
      <c r="G325">
        <f>D325-E325</f>
        <v>-1.8000000000000007</v>
      </c>
    </row>
    <row r="326" spans="1:7" x14ac:dyDescent="0.25">
      <c r="A326" t="s">
        <v>170</v>
      </c>
      <c r="B326" t="s">
        <v>46</v>
      </c>
      <c r="C326">
        <v>107019</v>
      </c>
      <c r="D326" s="1">
        <v>9.5</v>
      </c>
      <c r="E326">
        <v>11.3</v>
      </c>
      <c r="F326" s="2">
        <v>-4</v>
      </c>
      <c r="G326">
        <f>D326-E326</f>
        <v>-1.8000000000000007</v>
      </c>
    </row>
    <row r="327" spans="1:7" x14ac:dyDescent="0.25">
      <c r="A327" t="s">
        <v>307</v>
      </c>
      <c r="B327" t="s">
        <v>17</v>
      </c>
      <c r="C327">
        <v>53028</v>
      </c>
      <c r="D327" s="1">
        <v>10.3</v>
      </c>
      <c r="E327">
        <v>12.2</v>
      </c>
      <c r="F327" s="2">
        <v>-4.4000000000000004</v>
      </c>
      <c r="G327">
        <f>D327-E327</f>
        <v>-1.8999999999999986</v>
      </c>
    </row>
    <row r="328" spans="1:7" x14ac:dyDescent="0.25">
      <c r="A328" t="s">
        <v>363</v>
      </c>
      <c r="B328" t="s">
        <v>22</v>
      </c>
      <c r="C328">
        <v>39526</v>
      </c>
      <c r="D328" s="1">
        <v>10.8</v>
      </c>
      <c r="E328">
        <v>12.7</v>
      </c>
      <c r="F328" s="2">
        <v>-3.8</v>
      </c>
      <c r="G328">
        <f>D328-E328</f>
        <v>-1.8999999999999986</v>
      </c>
    </row>
    <row r="329" spans="1:7" x14ac:dyDescent="0.25">
      <c r="A329" t="s">
        <v>92</v>
      </c>
      <c r="B329" t="s">
        <v>31</v>
      </c>
      <c r="C329">
        <v>51581</v>
      </c>
      <c r="D329" s="1">
        <v>9.9</v>
      </c>
      <c r="E329">
        <v>11.8</v>
      </c>
      <c r="F329" s="2">
        <v>-1.7</v>
      </c>
      <c r="G329">
        <f>D329-E329</f>
        <v>-1.9000000000000004</v>
      </c>
    </row>
    <row r="330" spans="1:7" x14ac:dyDescent="0.25">
      <c r="A330" t="s">
        <v>126</v>
      </c>
      <c r="B330" t="s">
        <v>15</v>
      </c>
      <c r="C330">
        <v>50808</v>
      </c>
      <c r="D330" s="1">
        <v>9.9</v>
      </c>
      <c r="E330">
        <v>11.8</v>
      </c>
      <c r="F330" s="2">
        <v>0.6</v>
      </c>
      <c r="G330">
        <f>D330-E330</f>
        <v>-1.9000000000000004</v>
      </c>
    </row>
    <row r="331" spans="1:7" x14ac:dyDescent="0.25">
      <c r="A331" t="s">
        <v>345</v>
      </c>
      <c r="B331" t="s">
        <v>22</v>
      </c>
      <c r="C331">
        <v>86657</v>
      </c>
      <c r="D331" s="1">
        <v>9.6999999999999993</v>
      </c>
      <c r="E331">
        <v>11.6</v>
      </c>
      <c r="F331" s="2">
        <v>-4.0999999999999996</v>
      </c>
      <c r="G331">
        <f>D331-E331</f>
        <v>-1.9000000000000004</v>
      </c>
    </row>
    <row r="332" spans="1:7" x14ac:dyDescent="0.25">
      <c r="A332" t="s">
        <v>277</v>
      </c>
      <c r="B332" t="s">
        <v>35</v>
      </c>
      <c r="C332">
        <v>58732</v>
      </c>
      <c r="D332" s="1">
        <v>9</v>
      </c>
      <c r="E332">
        <v>11</v>
      </c>
      <c r="F332" s="2">
        <v>-2.9</v>
      </c>
      <c r="G332">
        <f>D332-E332</f>
        <v>-2</v>
      </c>
    </row>
    <row r="333" spans="1:7" x14ac:dyDescent="0.25">
      <c r="A333" t="s">
        <v>100</v>
      </c>
      <c r="B333" t="s">
        <v>35</v>
      </c>
      <c r="C333">
        <v>100320</v>
      </c>
      <c r="D333" s="1">
        <v>8.1</v>
      </c>
      <c r="E333">
        <v>10.199999999999999</v>
      </c>
      <c r="F333" s="2">
        <v>-3.3</v>
      </c>
      <c r="G333">
        <f>D333-E333</f>
        <v>-2.0999999999999996</v>
      </c>
    </row>
    <row r="334" spans="1:7" x14ac:dyDescent="0.25">
      <c r="A334" t="s">
        <v>253</v>
      </c>
      <c r="B334" t="s">
        <v>22</v>
      </c>
      <c r="C334">
        <v>62048</v>
      </c>
      <c r="D334" s="1">
        <v>10.4</v>
      </c>
      <c r="E334">
        <v>12.5</v>
      </c>
      <c r="F334" s="2">
        <v>-2.7</v>
      </c>
      <c r="G334">
        <f>D334-E334</f>
        <v>-2.0999999999999996</v>
      </c>
    </row>
    <row r="335" spans="1:7" x14ac:dyDescent="0.25">
      <c r="A335" t="s">
        <v>308</v>
      </c>
      <c r="B335" t="s">
        <v>39</v>
      </c>
      <c r="C335">
        <v>78400</v>
      </c>
      <c r="D335" s="1">
        <v>8.9</v>
      </c>
      <c r="E335">
        <v>11</v>
      </c>
      <c r="F335" s="2">
        <v>-3</v>
      </c>
      <c r="G335">
        <f>D335-E335</f>
        <v>-2.0999999999999996</v>
      </c>
    </row>
    <row r="336" spans="1:7" x14ac:dyDescent="0.25">
      <c r="A336" t="s">
        <v>111</v>
      </c>
      <c r="B336" t="s">
        <v>39</v>
      </c>
      <c r="C336">
        <v>83005</v>
      </c>
      <c r="D336" s="1">
        <v>9.6999999999999993</v>
      </c>
      <c r="E336">
        <v>11.8</v>
      </c>
      <c r="F336" s="2">
        <v>-2</v>
      </c>
      <c r="G336">
        <f>D336-E336</f>
        <v>-2.1000000000000014</v>
      </c>
    </row>
    <row r="337" spans="1:7" x14ac:dyDescent="0.25">
      <c r="A337" t="s">
        <v>300</v>
      </c>
      <c r="B337" t="s">
        <v>39</v>
      </c>
      <c r="C337">
        <v>80709</v>
      </c>
      <c r="D337" s="1">
        <v>9.6999999999999993</v>
      </c>
      <c r="E337">
        <v>11.8</v>
      </c>
      <c r="F337" s="2">
        <v>-2.2000000000000002</v>
      </c>
      <c r="G337">
        <f>D337-E337</f>
        <v>-2.1000000000000014</v>
      </c>
    </row>
    <row r="338" spans="1:7" x14ac:dyDescent="0.25">
      <c r="A338" t="s">
        <v>105</v>
      </c>
      <c r="B338" t="s">
        <v>31</v>
      </c>
      <c r="C338">
        <v>163648</v>
      </c>
      <c r="D338" s="1">
        <v>9.8000000000000007</v>
      </c>
      <c r="E338">
        <v>12</v>
      </c>
      <c r="F338" s="2">
        <v>-2.6</v>
      </c>
      <c r="G338">
        <f>D338-E338</f>
        <v>-2.1999999999999993</v>
      </c>
    </row>
    <row r="339" spans="1:7" x14ac:dyDescent="0.25">
      <c r="A339" t="s">
        <v>158</v>
      </c>
      <c r="B339" t="s">
        <v>13</v>
      </c>
      <c r="C339">
        <v>113007</v>
      </c>
      <c r="D339" s="1">
        <v>10.9</v>
      </c>
      <c r="E339">
        <v>13.2</v>
      </c>
      <c r="F339" s="2">
        <v>-0.2</v>
      </c>
      <c r="G339">
        <f>D339-E339</f>
        <v>-2.2999999999999989</v>
      </c>
    </row>
    <row r="340" spans="1:7" x14ac:dyDescent="0.25">
      <c r="A340" t="s">
        <v>171</v>
      </c>
      <c r="B340" t="s">
        <v>13</v>
      </c>
      <c r="C340">
        <v>308548</v>
      </c>
      <c r="D340" s="1">
        <v>9.4</v>
      </c>
      <c r="E340">
        <v>11.7</v>
      </c>
      <c r="F340" s="2">
        <v>-3.2</v>
      </c>
      <c r="G340">
        <f>D340-E340</f>
        <v>-2.2999999999999989</v>
      </c>
    </row>
    <row r="341" spans="1:7" x14ac:dyDescent="0.25">
      <c r="A341" t="s">
        <v>232</v>
      </c>
      <c r="B341" t="s">
        <v>13</v>
      </c>
      <c r="C341">
        <v>71517</v>
      </c>
      <c r="D341" s="1">
        <v>9.8000000000000007</v>
      </c>
      <c r="E341">
        <v>12.1</v>
      </c>
      <c r="F341" s="2">
        <v>0.8</v>
      </c>
      <c r="G341">
        <f>D341-E341</f>
        <v>-2.2999999999999989</v>
      </c>
    </row>
    <row r="342" spans="1:7" x14ac:dyDescent="0.25">
      <c r="A342" t="s">
        <v>53</v>
      </c>
      <c r="B342" t="s">
        <v>13</v>
      </c>
      <c r="C342">
        <v>134103</v>
      </c>
      <c r="D342" s="1">
        <v>9.6</v>
      </c>
      <c r="E342">
        <v>11.9</v>
      </c>
      <c r="F342" s="2">
        <v>3.7</v>
      </c>
      <c r="G342">
        <f>D342-E342</f>
        <v>-2.3000000000000007</v>
      </c>
    </row>
    <row r="343" spans="1:7" x14ac:dyDescent="0.25">
      <c r="A343" t="s">
        <v>67</v>
      </c>
      <c r="B343" t="s">
        <v>35</v>
      </c>
      <c r="C343">
        <v>49422</v>
      </c>
      <c r="D343" s="1">
        <v>9.3000000000000007</v>
      </c>
      <c r="E343">
        <v>11.7</v>
      </c>
      <c r="F343" s="2">
        <v>-3.2</v>
      </c>
      <c r="G343">
        <f>D343-E343</f>
        <v>-2.3999999999999986</v>
      </c>
    </row>
    <row r="344" spans="1:7" x14ac:dyDescent="0.25">
      <c r="A344" t="s">
        <v>309</v>
      </c>
      <c r="B344" t="s">
        <v>15</v>
      </c>
      <c r="C344">
        <v>37604</v>
      </c>
      <c r="D344" s="1">
        <v>11.2</v>
      </c>
      <c r="E344">
        <v>13.6</v>
      </c>
      <c r="F344" s="2">
        <v>2.4</v>
      </c>
      <c r="G344">
        <f>D344-E344</f>
        <v>-2.4000000000000004</v>
      </c>
    </row>
    <row r="345" spans="1:7" x14ac:dyDescent="0.25">
      <c r="A345" t="s">
        <v>36</v>
      </c>
      <c r="B345" t="s">
        <v>15</v>
      </c>
      <c r="C345">
        <v>30537</v>
      </c>
      <c r="D345" s="1">
        <v>10.199999999999999</v>
      </c>
      <c r="E345">
        <v>12.7</v>
      </c>
      <c r="F345" s="2">
        <v>0.2</v>
      </c>
      <c r="G345">
        <f>D345-E345</f>
        <v>-2.5</v>
      </c>
    </row>
    <row r="346" spans="1:7" x14ac:dyDescent="0.25">
      <c r="A346" t="s">
        <v>38</v>
      </c>
      <c r="B346" t="s">
        <v>39</v>
      </c>
      <c r="C346">
        <v>73127</v>
      </c>
      <c r="D346" s="1">
        <v>9.9</v>
      </c>
      <c r="E346">
        <v>12.4</v>
      </c>
      <c r="F346" s="2">
        <v>0.1</v>
      </c>
      <c r="G346">
        <f>D346-E346</f>
        <v>-2.5</v>
      </c>
    </row>
    <row r="347" spans="1:7" x14ac:dyDescent="0.25">
      <c r="A347" t="s">
        <v>85</v>
      </c>
      <c r="B347" t="s">
        <v>22</v>
      </c>
      <c r="C347">
        <v>67059</v>
      </c>
      <c r="D347" s="1">
        <v>10.1</v>
      </c>
      <c r="E347">
        <v>12.6</v>
      </c>
      <c r="F347" s="2">
        <v>-4.9000000000000004</v>
      </c>
      <c r="G347">
        <f>D347-E347</f>
        <v>-2.5</v>
      </c>
    </row>
    <row r="348" spans="1:7" x14ac:dyDescent="0.25">
      <c r="A348" t="s">
        <v>197</v>
      </c>
      <c r="B348" t="s">
        <v>13</v>
      </c>
      <c r="C348">
        <v>70712</v>
      </c>
      <c r="D348" s="1">
        <v>10.199999999999999</v>
      </c>
      <c r="E348">
        <v>12.7</v>
      </c>
      <c r="F348" s="2">
        <v>-3.3</v>
      </c>
      <c r="G348">
        <f>D348-E348</f>
        <v>-2.5</v>
      </c>
    </row>
    <row r="349" spans="1:7" x14ac:dyDescent="0.25">
      <c r="A349" t="s">
        <v>290</v>
      </c>
      <c r="B349" t="s">
        <v>15</v>
      </c>
      <c r="C349">
        <v>117431</v>
      </c>
      <c r="D349" s="1">
        <v>9.8000000000000007</v>
      </c>
      <c r="E349">
        <v>12.4</v>
      </c>
      <c r="F349" s="2">
        <v>-0.5</v>
      </c>
      <c r="G349">
        <f>D349-E349</f>
        <v>-2.5999999999999996</v>
      </c>
    </row>
    <row r="350" spans="1:7" x14ac:dyDescent="0.25">
      <c r="A350" t="s">
        <v>128</v>
      </c>
      <c r="B350" t="s">
        <v>15</v>
      </c>
      <c r="C350">
        <v>52420</v>
      </c>
      <c r="D350" s="1">
        <v>10.7</v>
      </c>
      <c r="E350">
        <v>13.3</v>
      </c>
      <c r="F350" s="2">
        <v>-1.9</v>
      </c>
      <c r="G350">
        <f>D350-E350</f>
        <v>-2.6000000000000014</v>
      </c>
    </row>
    <row r="351" spans="1:7" x14ac:dyDescent="0.25">
      <c r="A351" t="s">
        <v>88</v>
      </c>
      <c r="B351" t="s">
        <v>22</v>
      </c>
      <c r="C351">
        <v>47242</v>
      </c>
      <c r="D351" s="1">
        <v>10.1</v>
      </c>
      <c r="E351">
        <v>12.8</v>
      </c>
      <c r="F351" s="2">
        <v>-1.4</v>
      </c>
      <c r="G351">
        <f>D351-E351</f>
        <v>-2.7000000000000011</v>
      </c>
    </row>
    <row r="352" spans="1:7" x14ac:dyDescent="0.25">
      <c r="A352" t="s">
        <v>364</v>
      </c>
      <c r="B352" t="s">
        <v>39</v>
      </c>
      <c r="C352">
        <v>46668</v>
      </c>
      <c r="D352" s="1">
        <v>9.6</v>
      </c>
      <c r="E352">
        <v>12.3</v>
      </c>
      <c r="F352" s="2">
        <v>-2.4</v>
      </c>
      <c r="G352">
        <f>D352-E352</f>
        <v>-2.7000000000000011</v>
      </c>
    </row>
    <row r="353" spans="1:7" x14ac:dyDescent="0.25">
      <c r="A353" t="s">
        <v>201</v>
      </c>
      <c r="B353" t="s">
        <v>13</v>
      </c>
      <c r="C353">
        <v>219300</v>
      </c>
      <c r="D353" s="1">
        <v>9</v>
      </c>
      <c r="E353">
        <v>11.8</v>
      </c>
      <c r="F353" s="2">
        <v>-4.8</v>
      </c>
      <c r="G353">
        <f>D353-E353</f>
        <v>-2.8000000000000007</v>
      </c>
    </row>
    <row r="354" spans="1:7" x14ac:dyDescent="0.25">
      <c r="A354" t="s">
        <v>94</v>
      </c>
      <c r="B354" t="s">
        <v>31</v>
      </c>
      <c r="C354">
        <v>63865</v>
      </c>
      <c r="D354" s="1">
        <v>9.3000000000000007</v>
      </c>
      <c r="E354">
        <v>12.3</v>
      </c>
      <c r="F354" s="2">
        <v>3.8</v>
      </c>
      <c r="G354">
        <f>D354-E354</f>
        <v>-3</v>
      </c>
    </row>
    <row r="355" spans="1:7" x14ac:dyDescent="0.25">
      <c r="A355" t="s">
        <v>151</v>
      </c>
      <c r="B355" t="s">
        <v>31</v>
      </c>
      <c r="C355">
        <v>47194</v>
      </c>
      <c r="D355" s="1">
        <v>8.6</v>
      </c>
      <c r="E355">
        <v>11.6</v>
      </c>
      <c r="F355" s="2">
        <v>-2.8</v>
      </c>
      <c r="G355">
        <f>D355-E355</f>
        <v>-3</v>
      </c>
    </row>
    <row r="356" spans="1:7" x14ac:dyDescent="0.25">
      <c r="A356" t="s">
        <v>23</v>
      </c>
      <c r="B356" t="s">
        <v>9</v>
      </c>
      <c r="C356">
        <v>58463</v>
      </c>
      <c r="D356" s="1">
        <v>9.6</v>
      </c>
      <c r="E356">
        <v>12.7</v>
      </c>
      <c r="F356" s="2">
        <v>-3.1</v>
      </c>
      <c r="G356">
        <f>D356-E356</f>
        <v>-3.0999999999999996</v>
      </c>
    </row>
    <row r="357" spans="1:7" x14ac:dyDescent="0.25">
      <c r="A357" t="s">
        <v>315</v>
      </c>
      <c r="B357" t="s">
        <v>17</v>
      </c>
      <c r="C357">
        <v>55832</v>
      </c>
      <c r="D357" s="1">
        <v>10.3</v>
      </c>
      <c r="E357">
        <v>13.4</v>
      </c>
      <c r="F357" s="2">
        <v>-3.5</v>
      </c>
      <c r="G357">
        <f>D357-E357</f>
        <v>-3.0999999999999996</v>
      </c>
    </row>
    <row r="358" spans="1:7" x14ac:dyDescent="0.25">
      <c r="A358" t="s">
        <v>316</v>
      </c>
      <c r="B358" t="s">
        <v>9</v>
      </c>
      <c r="C358">
        <v>70517</v>
      </c>
      <c r="D358" s="1">
        <v>9.3000000000000007</v>
      </c>
      <c r="E358">
        <v>12.5</v>
      </c>
      <c r="F358" s="2">
        <v>-4.3</v>
      </c>
      <c r="G358">
        <f>D358-E358</f>
        <v>-3.1999999999999993</v>
      </c>
    </row>
    <row r="359" spans="1:7" x14ac:dyDescent="0.25">
      <c r="A359" t="s">
        <v>142</v>
      </c>
      <c r="B359" t="s">
        <v>17</v>
      </c>
      <c r="C359">
        <v>32072</v>
      </c>
      <c r="D359" s="1">
        <v>10.1</v>
      </c>
      <c r="E359">
        <v>13.3</v>
      </c>
      <c r="F359" s="2">
        <v>-4.5</v>
      </c>
      <c r="G359">
        <f>D359-E359</f>
        <v>-3.2000000000000011</v>
      </c>
    </row>
    <row r="360" spans="1:7" x14ac:dyDescent="0.25">
      <c r="A360" t="s">
        <v>261</v>
      </c>
      <c r="B360" t="s">
        <v>15</v>
      </c>
      <c r="C360">
        <v>119060</v>
      </c>
      <c r="D360" s="1">
        <v>9.1</v>
      </c>
      <c r="E360">
        <v>12.4</v>
      </c>
      <c r="F360" s="2">
        <v>2.6</v>
      </c>
      <c r="G360">
        <f>D360-E360</f>
        <v>-3.3000000000000007</v>
      </c>
    </row>
    <row r="361" spans="1:7" x14ac:dyDescent="0.25">
      <c r="A361" t="s">
        <v>262</v>
      </c>
      <c r="B361" t="s">
        <v>15</v>
      </c>
      <c r="C361">
        <v>52750</v>
      </c>
      <c r="D361" s="1">
        <v>8.6999999999999993</v>
      </c>
      <c r="E361">
        <v>12</v>
      </c>
      <c r="F361" s="2">
        <v>-1.3</v>
      </c>
      <c r="G361">
        <f>D361-E361</f>
        <v>-3.3000000000000007</v>
      </c>
    </row>
    <row r="362" spans="1:7" x14ac:dyDescent="0.25">
      <c r="A362" t="s">
        <v>379</v>
      </c>
      <c r="B362" t="s">
        <v>13</v>
      </c>
      <c r="C362">
        <v>122628</v>
      </c>
      <c r="D362" s="1">
        <v>9.3000000000000007</v>
      </c>
      <c r="E362">
        <v>12.7</v>
      </c>
      <c r="F362" s="2">
        <v>-0.2</v>
      </c>
      <c r="G362">
        <f>D362-E362</f>
        <v>-3.3999999999999986</v>
      </c>
    </row>
    <row r="363" spans="1:7" x14ac:dyDescent="0.25">
      <c r="A363" t="s">
        <v>377</v>
      </c>
      <c r="B363" t="s">
        <v>22</v>
      </c>
      <c r="C363">
        <v>109181</v>
      </c>
      <c r="D363" s="1">
        <v>9.5</v>
      </c>
      <c r="E363">
        <v>13</v>
      </c>
      <c r="F363" s="2">
        <v>-0.6</v>
      </c>
      <c r="G363">
        <f>D363-E363</f>
        <v>-3.5</v>
      </c>
    </row>
    <row r="364" spans="1:7" x14ac:dyDescent="0.25">
      <c r="A364" t="s">
        <v>12</v>
      </c>
      <c r="B364" t="s">
        <v>13</v>
      </c>
      <c r="C364">
        <v>150950</v>
      </c>
      <c r="D364" s="1">
        <v>9.4</v>
      </c>
      <c r="E364">
        <v>13</v>
      </c>
      <c r="F364" s="2">
        <v>3.1</v>
      </c>
      <c r="G364">
        <f>D364-E364</f>
        <v>-3.5999999999999996</v>
      </c>
    </row>
    <row r="365" spans="1:7" x14ac:dyDescent="0.25">
      <c r="A365" t="s">
        <v>169</v>
      </c>
      <c r="B365" t="s">
        <v>31</v>
      </c>
      <c r="C365">
        <v>84564</v>
      </c>
      <c r="D365" s="1">
        <v>8.8000000000000007</v>
      </c>
      <c r="E365">
        <v>12.4</v>
      </c>
      <c r="F365" s="2">
        <v>-3.4</v>
      </c>
      <c r="G365">
        <f>D365-E365</f>
        <v>-3.5999999999999996</v>
      </c>
    </row>
    <row r="366" spans="1:7" x14ac:dyDescent="0.25">
      <c r="A366" t="s">
        <v>353</v>
      </c>
      <c r="B366" t="s">
        <v>31</v>
      </c>
      <c r="C366">
        <v>179526</v>
      </c>
      <c r="D366" s="1">
        <v>9</v>
      </c>
      <c r="E366">
        <v>12.6</v>
      </c>
      <c r="F366" s="2">
        <v>-3.7</v>
      </c>
      <c r="G366">
        <f>D366-E366</f>
        <v>-3.5999999999999996</v>
      </c>
    </row>
    <row r="367" spans="1:7" x14ac:dyDescent="0.25">
      <c r="A367" t="s">
        <v>59</v>
      </c>
      <c r="B367" t="s">
        <v>31</v>
      </c>
      <c r="C367">
        <v>103636</v>
      </c>
      <c r="D367" s="1">
        <v>9.1999999999999993</v>
      </c>
      <c r="E367">
        <v>12.8</v>
      </c>
      <c r="F367" s="2">
        <v>-0.6</v>
      </c>
      <c r="G367">
        <f>D367-E367</f>
        <v>-3.6000000000000014</v>
      </c>
    </row>
    <row r="368" spans="1:7" x14ac:dyDescent="0.25">
      <c r="A368" t="s">
        <v>123</v>
      </c>
      <c r="B368" t="s">
        <v>15</v>
      </c>
      <c r="C368">
        <v>102015</v>
      </c>
      <c r="D368" s="1">
        <v>9.5</v>
      </c>
      <c r="E368">
        <v>13.2</v>
      </c>
      <c r="F368" s="2">
        <v>-1.9</v>
      </c>
      <c r="G368">
        <f>D368-E368</f>
        <v>-3.6999999999999993</v>
      </c>
    </row>
    <row r="369" spans="1:7" x14ac:dyDescent="0.25">
      <c r="A369" t="s">
        <v>251</v>
      </c>
      <c r="B369" t="s">
        <v>39</v>
      </c>
      <c r="C369">
        <v>55471</v>
      </c>
      <c r="D369" s="1">
        <v>9.5</v>
      </c>
      <c r="E369">
        <v>13.3</v>
      </c>
      <c r="F369" s="2">
        <v>-1.1000000000000001</v>
      </c>
      <c r="G369">
        <f>D369-E369</f>
        <v>-3.8000000000000007</v>
      </c>
    </row>
    <row r="370" spans="1:7" x14ac:dyDescent="0.25">
      <c r="A370" t="s">
        <v>305</v>
      </c>
      <c r="B370" t="s">
        <v>9</v>
      </c>
      <c r="C370">
        <v>47286</v>
      </c>
      <c r="D370" s="1">
        <v>9.3000000000000007</v>
      </c>
      <c r="E370">
        <v>13.2</v>
      </c>
      <c r="F370" s="2">
        <v>-4.2</v>
      </c>
      <c r="G370">
        <f>D370-E370</f>
        <v>-3.8999999999999986</v>
      </c>
    </row>
    <row r="371" spans="1:7" x14ac:dyDescent="0.25">
      <c r="A371" t="s">
        <v>272</v>
      </c>
      <c r="B371" t="s">
        <v>15</v>
      </c>
      <c r="C371">
        <v>41618</v>
      </c>
      <c r="D371" s="1">
        <v>10.1</v>
      </c>
      <c r="E371">
        <v>14.1</v>
      </c>
      <c r="F371" s="2">
        <v>-0.7</v>
      </c>
      <c r="G371">
        <f>D371-E371</f>
        <v>-4</v>
      </c>
    </row>
    <row r="372" spans="1:7" x14ac:dyDescent="0.25">
      <c r="A372" t="s">
        <v>227</v>
      </c>
      <c r="B372" t="s">
        <v>9</v>
      </c>
      <c r="C372">
        <v>42212</v>
      </c>
      <c r="D372" s="1">
        <v>8.3000000000000007</v>
      </c>
      <c r="E372">
        <v>12.4</v>
      </c>
      <c r="F372" s="2">
        <v>-3.5</v>
      </c>
      <c r="G372">
        <f>D372-E372</f>
        <v>-4.0999999999999996</v>
      </c>
    </row>
    <row r="373" spans="1:7" x14ac:dyDescent="0.25">
      <c r="A373" t="s">
        <v>99</v>
      </c>
      <c r="B373" t="s">
        <v>39</v>
      </c>
      <c r="C373">
        <v>35088</v>
      </c>
      <c r="D373" s="1">
        <v>8.3000000000000007</v>
      </c>
      <c r="E373">
        <v>12.5</v>
      </c>
      <c r="F373" s="2">
        <v>-1.8</v>
      </c>
      <c r="G373">
        <f>D373-E373</f>
        <v>-4.1999999999999993</v>
      </c>
    </row>
    <row r="374" spans="1:7" x14ac:dyDescent="0.25">
      <c r="A374" t="s">
        <v>218</v>
      </c>
      <c r="B374" t="s">
        <v>29</v>
      </c>
      <c r="C374">
        <v>50114</v>
      </c>
      <c r="D374" s="1">
        <v>10.3</v>
      </c>
      <c r="E374">
        <v>14.5</v>
      </c>
      <c r="F374" s="2">
        <v>0.3</v>
      </c>
      <c r="G374">
        <f>D374-E374</f>
        <v>-4.1999999999999993</v>
      </c>
    </row>
    <row r="375" spans="1:7" x14ac:dyDescent="0.25">
      <c r="A375" t="s">
        <v>266</v>
      </c>
      <c r="B375" t="s">
        <v>39</v>
      </c>
      <c r="C375">
        <v>41282</v>
      </c>
      <c r="D375" s="1">
        <v>8.5</v>
      </c>
      <c r="E375">
        <v>12.8</v>
      </c>
      <c r="F375" s="2">
        <v>-3.4</v>
      </c>
      <c r="G375">
        <f>D375-E375</f>
        <v>-4.3000000000000007</v>
      </c>
    </row>
    <row r="376" spans="1:7" x14ac:dyDescent="0.25">
      <c r="A376" t="s">
        <v>120</v>
      </c>
      <c r="B376" t="s">
        <v>22</v>
      </c>
      <c r="C376">
        <v>67824</v>
      </c>
      <c r="D376" s="1">
        <v>8.8000000000000007</v>
      </c>
      <c r="E376">
        <v>13.7</v>
      </c>
      <c r="F376" s="2">
        <v>-1</v>
      </c>
      <c r="G376">
        <f>D376-E376</f>
        <v>-4.8999999999999986</v>
      </c>
    </row>
    <row r="377" spans="1:7" x14ac:dyDescent="0.25">
      <c r="A377" t="s">
        <v>138</v>
      </c>
      <c r="B377" t="s">
        <v>17</v>
      </c>
      <c r="C377">
        <v>36033</v>
      </c>
      <c r="D377" s="1">
        <v>10.5</v>
      </c>
      <c r="E377">
        <v>15.5</v>
      </c>
      <c r="F377" s="2">
        <v>-2.2999999999999998</v>
      </c>
      <c r="G377">
        <f>D377-E377</f>
        <v>-5</v>
      </c>
    </row>
    <row r="378" spans="1:7" x14ac:dyDescent="0.25">
      <c r="A378" t="s">
        <v>179</v>
      </c>
      <c r="B378" t="s">
        <v>15</v>
      </c>
      <c r="C378">
        <v>742387</v>
      </c>
      <c r="D378" s="1">
        <v>9.3000000000000007</v>
      </c>
      <c r="E378">
        <v>14.3</v>
      </c>
      <c r="F378" s="2">
        <v>-1.8</v>
      </c>
      <c r="G378">
        <f>D378-E378</f>
        <v>-5</v>
      </c>
    </row>
    <row r="379" spans="1:7" x14ac:dyDescent="0.25">
      <c r="A379" t="s">
        <v>200</v>
      </c>
      <c r="B379" t="s">
        <v>42</v>
      </c>
      <c r="C379">
        <v>38460</v>
      </c>
      <c r="D379" s="1">
        <v>7.7</v>
      </c>
      <c r="E379">
        <v>13</v>
      </c>
      <c r="F379" s="2">
        <v>-3.5</v>
      </c>
      <c r="G379">
        <f>D379-E379</f>
        <v>-5.3</v>
      </c>
    </row>
    <row r="380" spans="1:7" x14ac:dyDescent="0.25">
      <c r="A380" t="s">
        <v>84</v>
      </c>
      <c r="B380" t="s">
        <v>9</v>
      </c>
      <c r="C380">
        <v>46385</v>
      </c>
      <c r="D380" s="1">
        <v>8.3000000000000007</v>
      </c>
      <c r="E380">
        <v>15.1</v>
      </c>
      <c r="F380" s="2">
        <v>-3.6</v>
      </c>
      <c r="G380">
        <f>D380-E380</f>
        <v>-6.7999999999999989</v>
      </c>
    </row>
  </sheetData>
  <autoFilter ref="A1:G380" xr:uid="{8275D861-13A6-4AEE-9183-9085A96D0802}">
    <sortState xmlns:xlrd2="http://schemas.microsoft.com/office/spreadsheetml/2017/richdata2" ref="A2:G380">
      <sortCondition descending="1" ref="G1:G380"/>
    </sortState>
  </autoFilter>
  <sortState xmlns:xlrd2="http://schemas.microsoft.com/office/spreadsheetml/2017/richdata2" ref="A2:G380">
    <sortCondition ref="G1:G38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A3678-4B7E-48AD-B8E9-BEA8FDBA32E0}">
  <dimension ref="A1:P380"/>
  <sheetViews>
    <sheetView topLeftCell="C1" zoomScale="130" zoomScaleNormal="130" workbookViewId="0">
      <selection activeCell="O4" sqref="O4:P7"/>
    </sheetView>
  </sheetViews>
  <sheetFormatPr defaultRowHeight="15" x14ac:dyDescent="0.25"/>
  <cols>
    <col min="1" max="1" width="23.28515625" bestFit="1" customWidth="1"/>
    <col min="2" max="2" width="21" bestFit="1" customWidth="1"/>
    <col min="3" max="3" width="15.7109375" bestFit="1" customWidth="1"/>
    <col min="4" max="4" width="12.5703125" style="1" bestFit="1" customWidth="1"/>
    <col min="5" max="5" width="12.140625" bestFit="1" customWidth="1"/>
    <col min="6" max="6" width="14.28515625" style="2" bestFit="1" customWidth="1"/>
    <col min="7" max="7" width="20.85546875" customWidth="1"/>
    <col min="10" max="10" width="21" bestFit="1" customWidth="1"/>
    <col min="11" max="11" width="22.85546875" bestFit="1" customWidth="1"/>
    <col min="15" max="15" width="16.85546875" customWidth="1"/>
    <col min="16" max="16" width="13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392</v>
      </c>
    </row>
    <row r="2" spans="1:16" x14ac:dyDescent="0.25">
      <c r="A2" t="s">
        <v>98</v>
      </c>
      <c r="B2" t="s">
        <v>42</v>
      </c>
      <c r="C2">
        <v>116000</v>
      </c>
      <c r="D2" s="1">
        <v>15.2</v>
      </c>
      <c r="E2">
        <v>6.5</v>
      </c>
      <c r="F2" s="2">
        <v>7.7</v>
      </c>
      <c r="G2">
        <f>D2-E2</f>
        <v>8.6999999999999993</v>
      </c>
    </row>
    <row r="3" spans="1:16" x14ac:dyDescent="0.25">
      <c r="A3" t="s">
        <v>114</v>
      </c>
      <c r="B3" t="s">
        <v>42</v>
      </c>
      <c r="C3">
        <v>68311</v>
      </c>
      <c r="D3" s="1">
        <v>15.2</v>
      </c>
      <c r="E3">
        <v>8</v>
      </c>
      <c r="F3" s="2">
        <v>0.4</v>
      </c>
      <c r="G3">
        <f>D3-E3</f>
        <v>7.1999999999999993</v>
      </c>
      <c r="J3" s="3" t="s">
        <v>393</v>
      </c>
      <c r="K3" t="s">
        <v>396</v>
      </c>
      <c r="O3" s="5" t="s">
        <v>397</v>
      </c>
      <c r="P3" s="5"/>
    </row>
    <row r="4" spans="1:16" x14ac:dyDescent="0.25">
      <c r="A4" t="s">
        <v>358</v>
      </c>
      <c r="B4" t="s">
        <v>42</v>
      </c>
      <c r="C4">
        <v>192349</v>
      </c>
      <c r="D4" s="1">
        <v>14.6</v>
      </c>
      <c r="E4">
        <v>7.4</v>
      </c>
      <c r="F4" s="2">
        <v>10.7</v>
      </c>
      <c r="G4">
        <f>D4-E4</f>
        <v>7.1999999999999993</v>
      </c>
      <c r="J4" s="4" t="s">
        <v>31</v>
      </c>
      <c r="K4" s="1">
        <v>2876627</v>
      </c>
      <c r="O4" s="6" t="s">
        <v>17</v>
      </c>
      <c r="P4" s="7">
        <v>5222167</v>
      </c>
    </row>
    <row r="5" spans="1:16" x14ac:dyDescent="0.25">
      <c r="A5" t="s">
        <v>136</v>
      </c>
      <c r="B5" t="s">
        <v>29</v>
      </c>
      <c r="C5">
        <v>124278</v>
      </c>
      <c r="D5" s="1">
        <v>14.1</v>
      </c>
      <c r="E5">
        <v>7.7</v>
      </c>
      <c r="F5" s="2">
        <v>0.1</v>
      </c>
      <c r="G5">
        <f>D5-E5</f>
        <v>6.3999999999999995</v>
      </c>
      <c r="J5" s="4" t="s">
        <v>7</v>
      </c>
      <c r="K5" s="1">
        <v>2069083</v>
      </c>
      <c r="O5" s="6" t="s">
        <v>13</v>
      </c>
      <c r="P5" s="7">
        <v>4640725</v>
      </c>
    </row>
    <row r="6" spans="1:16" x14ac:dyDescent="0.25">
      <c r="A6" t="s">
        <v>239</v>
      </c>
      <c r="B6" t="s">
        <v>29</v>
      </c>
      <c r="C6">
        <v>202701</v>
      </c>
      <c r="D6" s="1">
        <v>13.6</v>
      </c>
      <c r="E6">
        <v>7.5</v>
      </c>
      <c r="F6" s="2">
        <v>0.1</v>
      </c>
      <c r="G6">
        <f>D6-E6</f>
        <v>6.1</v>
      </c>
      <c r="J6" s="4" t="s">
        <v>15</v>
      </c>
      <c r="K6" s="1">
        <v>2541832</v>
      </c>
      <c r="O6" s="6" t="s">
        <v>46</v>
      </c>
      <c r="P6" s="7">
        <v>3408281</v>
      </c>
    </row>
    <row r="7" spans="1:16" x14ac:dyDescent="0.25">
      <c r="A7" t="s">
        <v>275</v>
      </c>
      <c r="B7" t="s">
        <v>46</v>
      </c>
      <c r="C7">
        <v>319258</v>
      </c>
      <c r="D7" s="1">
        <v>13.1</v>
      </c>
      <c r="E7">
        <v>7.1</v>
      </c>
      <c r="F7" s="2">
        <v>18.899999999999999</v>
      </c>
      <c r="G7">
        <f>D7-E7</f>
        <v>6</v>
      </c>
      <c r="J7" s="4" t="s">
        <v>22</v>
      </c>
      <c r="K7" s="1">
        <v>2157202</v>
      </c>
      <c r="O7" s="6" t="s">
        <v>29</v>
      </c>
      <c r="P7" s="7">
        <v>3298270</v>
      </c>
    </row>
    <row r="8" spans="1:16" x14ac:dyDescent="0.25">
      <c r="A8" t="s">
        <v>63</v>
      </c>
      <c r="B8" t="s">
        <v>42</v>
      </c>
      <c r="C8">
        <v>93191</v>
      </c>
      <c r="D8" s="1">
        <v>12.7</v>
      </c>
      <c r="E8">
        <v>6.7</v>
      </c>
      <c r="F8" s="2">
        <v>19.3</v>
      </c>
      <c r="G8">
        <f>D8-E8</f>
        <v>5.9999999999999991</v>
      </c>
      <c r="J8" s="4" t="s">
        <v>75</v>
      </c>
      <c r="K8" s="1">
        <v>1010047</v>
      </c>
    </row>
    <row r="9" spans="1:16" x14ac:dyDescent="0.25">
      <c r="A9" t="s">
        <v>215</v>
      </c>
      <c r="B9" t="s">
        <v>13</v>
      </c>
      <c r="C9">
        <v>62022</v>
      </c>
      <c r="D9" s="1">
        <v>12.3</v>
      </c>
      <c r="E9">
        <v>6.6</v>
      </c>
      <c r="F9" s="2">
        <v>-6.9</v>
      </c>
      <c r="G9">
        <f>D9-E9</f>
        <v>5.7000000000000011</v>
      </c>
      <c r="J9" s="4" t="s">
        <v>29</v>
      </c>
      <c r="K9" s="1">
        <v>3298270</v>
      </c>
    </row>
    <row r="10" spans="1:16" x14ac:dyDescent="0.25">
      <c r="A10" t="s">
        <v>41</v>
      </c>
      <c r="B10" t="s">
        <v>42</v>
      </c>
      <c r="C10">
        <v>76043</v>
      </c>
      <c r="D10" s="1">
        <v>13.6</v>
      </c>
      <c r="E10">
        <v>7.9</v>
      </c>
      <c r="F10" s="2">
        <v>-2.7</v>
      </c>
      <c r="G10">
        <f>D10-E10</f>
        <v>5.6999999999999993</v>
      </c>
      <c r="J10" s="4" t="s">
        <v>17</v>
      </c>
      <c r="K10" s="1">
        <v>5222167</v>
      </c>
    </row>
    <row r="11" spans="1:16" x14ac:dyDescent="0.25">
      <c r="A11" t="s">
        <v>283</v>
      </c>
      <c r="B11" t="s">
        <v>13</v>
      </c>
      <c r="C11">
        <v>106361</v>
      </c>
      <c r="D11" s="1">
        <v>13.3</v>
      </c>
      <c r="E11">
        <v>7.8</v>
      </c>
      <c r="F11" s="2">
        <v>1.1000000000000001</v>
      </c>
      <c r="G11">
        <f>D11-E11</f>
        <v>5.5000000000000009</v>
      </c>
      <c r="J11" s="4" t="s">
        <v>35</v>
      </c>
      <c r="K11" s="1">
        <v>1031097</v>
      </c>
    </row>
    <row r="12" spans="1:16" x14ac:dyDescent="0.25">
      <c r="A12" t="s">
        <v>284</v>
      </c>
      <c r="B12" t="s">
        <v>42</v>
      </c>
      <c r="C12">
        <v>77238</v>
      </c>
      <c r="D12" s="1">
        <v>13.3</v>
      </c>
      <c r="E12">
        <v>8.1</v>
      </c>
      <c r="F12" s="2">
        <v>5.2</v>
      </c>
      <c r="G12">
        <f>D12-E12</f>
        <v>5.2000000000000011</v>
      </c>
      <c r="J12" s="4" t="s">
        <v>26</v>
      </c>
      <c r="K12" s="1">
        <v>2101732</v>
      </c>
    </row>
    <row r="13" spans="1:16" x14ac:dyDescent="0.25">
      <c r="A13" t="s">
        <v>124</v>
      </c>
      <c r="B13" t="s">
        <v>42</v>
      </c>
      <c r="C13">
        <v>81848</v>
      </c>
      <c r="D13" s="1">
        <v>13.6</v>
      </c>
      <c r="E13">
        <v>8.5</v>
      </c>
      <c r="F13" s="2">
        <v>0.3</v>
      </c>
      <c r="G13">
        <f>D13-E13</f>
        <v>5.0999999999999996</v>
      </c>
      <c r="J13" s="4" t="s">
        <v>9</v>
      </c>
      <c r="K13" s="1">
        <v>1189731</v>
      </c>
    </row>
    <row r="14" spans="1:16" x14ac:dyDescent="0.25">
      <c r="A14" t="s">
        <v>338</v>
      </c>
      <c r="B14" t="s">
        <v>42</v>
      </c>
      <c r="C14">
        <v>41694</v>
      </c>
      <c r="D14" s="1">
        <v>13.6</v>
      </c>
      <c r="E14">
        <v>8.5</v>
      </c>
      <c r="F14" s="2">
        <v>-4.4000000000000004</v>
      </c>
      <c r="G14">
        <f>D14-E14</f>
        <v>5.0999999999999996</v>
      </c>
      <c r="J14" s="4" t="s">
        <v>42</v>
      </c>
      <c r="K14" s="1">
        <v>2230099</v>
      </c>
    </row>
    <row r="15" spans="1:16" x14ac:dyDescent="0.25">
      <c r="A15" t="s">
        <v>352</v>
      </c>
      <c r="B15" t="s">
        <v>46</v>
      </c>
      <c r="C15">
        <v>68552</v>
      </c>
      <c r="D15" s="1">
        <v>14</v>
      </c>
      <c r="E15">
        <v>8.9</v>
      </c>
      <c r="F15" s="2">
        <v>-0.2</v>
      </c>
      <c r="G15">
        <f>D15-E15</f>
        <v>5.0999999999999996</v>
      </c>
      <c r="J15" s="4" t="s">
        <v>13</v>
      </c>
      <c r="K15" s="1">
        <v>4640725</v>
      </c>
    </row>
    <row r="16" spans="1:16" x14ac:dyDescent="0.25">
      <c r="A16" t="s">
        <v>230</v>
      </c>
      <c r="B16" t="s">
        <v>29</v>
      </c>
      <c r="C16">
        <v>119975</v>
      </c>
      <c r="D16" s="1">
        <v>13.2</v>
      </c>
      <c r="E16">
        <v>8.1999999999999993</v>
      </c>
      <c r="F16" s="2">
        <v>2.4</v>
      </c>
      <c r="G16">
        <f>D16-E16</f>
        <v>5</v>
      </c>
      <c r="J16" s="4" t="s">
        <v>39</v>
      </c>
      <c r="K16" s="1">
        <v>1270120</v>
      </c>
    </row>
    <row r="17" spans="1:11" x14ac:dyDescent="0.25">
      <c r="A17" t="s">
        <v>47</v>
      </c>
      <c r="B17" t="s">
        <v>42</v>
      </c>
      <c r="C17">
        <v>93411</v>
      </c>
      <c r="D17" s="1">
        <v>13.9</v>
      </c>
      <c r="E17">
        <v>9</v>
      </c>
      <c r="F17" s="2">
        <v>-0.3</v>
      </c>
      <c r="G17">
        <f>D17-E17</f>
        <v>4.9000000000000004</v>
      </c>
      <c r="J17" s="4" t="s">
        <v>11</v>
      </c>
      <c r="K17" s="1">
        <v>1427118</v>
      </c>
    </row>
    <row r="18" spans="1:11" x14ac:dyDescent="0.25">
      <c r="A18" t="s">
        <v>241</v>
      </c>
      <c r="B18" t="s">
        <v>29</v>
      </c>
      <c r="C18">
        <v>185161</v>
      </c>
      <c r="D18" s="1">
        <v>12</v>
      </c>
      <c r="E18">
        <v>7.3</v>
      </c>
      <c r="F18" s="2">
        <v>0.7</v>
      </c>
      <c r="G18">
        <f>D18-E18</f>
        <v>4.7</v>
      </c>
      <c r="J18" s="4" t="s">
        <v>46</v>
      </c>
      <c r="K18" s="1">
        <v>3408281</v>
      </c>
    </row>
    <row r="19" spans="1:11" x14ac:dyDescent="0.25">
      <c r="A19" t="s">
        <v>344</v>
      </c>
      <c r="B19" t="s">
        <v>42</v>
      </c>
      <c r="C19">
        <v>113570</v>
      </c>
      <c r="D19" s="1">
        <v>13.8</v>
      </c>
      <c r="E19">
        <v>9.1999999999999993</v>
      </c>
      <c r="F19" s="2">
        <v>-1.6</v>
      </c>
      <c r="G19">
        <f>D19-E19</f>
        <v>4.6000000000000014</v>
      </c>
      <c r="J19" s="4" t="s">
        <v>19</v>
      </c>
      <c r="K19" s="1">
        <v>1693198</v>
      </c>
    </row>
    <row r="20" spans="1:11" x14ac:dyDescent="0.25">
      <c r="A20" t="s">
        <v>69</v>
      </c>
      <c r="B20" t="s">
        <v>11</v>
      </c>
      <c r="C20">
        <v>26642</v>
      </c>
      <c r="D20" s="1">
        <v>12.7</v>
      </c>
      <c r="E20">
        <v>8.1</v>
      </c>
      <c r="F20" s="2">
        <v>-3.7</v>
      </c>
      <c r="G20">
        <f>D20-E20</f>
        <v>4.5999999999999996</v>
      </c>
      <c r="J20" s="4" t="s">
        <v>394</v>
      </c>
      <c r="K20" s="1">
        <v>38167329</v>
      </c>
    </row>
    <row r="21" spans="1:11" x14ac:dyDescent="0.25">
      <c r="A21" t="s">
        <v>242</v>
      </c>
      <c r="B21" t="s">
        <v>46</v>
      </c>
      <c r="C21">
        <v>72725</v>
      </c>
      <c r="D21" s="1">
        <v>13.5</v>
      </c>
      <c r="E21">
        <v>8.9</v>
      </c>
      <c r="F21" s="2">
        <v>-0.9</v>
      </c>
      <c r="G21">
        <f>D21-E21</f>
        <v>4.5999999999999996</v>
      </c>
    </row>
    <row r="22" spans="1:11" x14ac:dyDescent="0.25">
      <c r="A22" t="s">
        <v>66</v>
      </c>
      <c r="B22" t="s">
        <v>31</v>
      </c>
      <c r="C22">
        <v>87712</v>
      </c>
      <c r="D22" s="1">
        <v>12.1</v>
      </c>
      <c r="E22">
        <v>7.6</v>
      </c>
      <c r="F22" s="2">
        <v>-3.3</v>
      </c>
      <c r="G22">
        <f>D22-E22</f>
        <v>4.5</v>
      </c>
      <c r="J22" s="4" t="s">
        <v>17</v>
      </c>
      <c r="K22" s="1">
        <v>5222167</v>
      </c>
    </row>
    <row r="23" spans="1:11" x14ac:dyDescent="0.25">
      <c r="A23" t="s">
        <v>264</v>
      </c>
      <c r="B23" t="s">
        <v>17</v>
      </c>
      <c r="C23">
        <v>157392</v>
      </c>
      <c r="D23" s="1">
        <v>12.5</v>
      </c>
      <c r="E23">
        <v>8</v>
      </c>
      <c r="F23" s="2">
        <v>16.899999999999999</v>
      </c>
      <c r="G23">
        <f>D23-E23</f>
        <v>4.5</v>
      </c>
      <c r="J23" s="4" t="s">
        <v>13</v>
      </c>
      <c r="K23" s="1">
        <v>4640725</v>
      </c>
    </row>
    <row r="24" spans="1:11" x14ac:dyDescent="0.25">
      <c r="A24" t="s">
        <v>366</v>
      </c>
      <c r="B24" t="s">
        <v>17</v>
      </c>
      <c r="C24">
        <v>213714</v>
      </c>
      <c r="D24" s="1">
        <v>13.1</v>
      </c>
      <c r="E24">
        <v>8.6</v>
      </c>
      <c r="F24" s="2">
        <v>11.5</v>
      </c>
      <c r="G24">
        <f>D24-E24</f>
        <v>4.5</v>
      </c>
      <c r="J24" s="4" t="s">
        <v>46</v>
      </c>
      <c r="K24" s="1">
        <v>3408281</v>
      </c>
    </row>
    <row r="25" spans="1:11" x14ac:dyDescent="0.25">
      <c r="A25" t="s">
        <v>133</v>
      </c>
      <c r="B25" t="s">
        <v>46</v>
      </c>
      <c r="C25">
        <v>51722</v>
      </c>
      <c r="D25" s="1">
        <v>13</v>
      </c>
      <c r="E25">
        <v>8.6999999999999993</v>
      </c>
      <c r="F25" s="2">
        <v>5.9</v>
      </c>
      <c r="G25">
        <f>D25-E25</f>
        <v>4.3000000000000007</v>
      </c>
      <c r="J25" s="4" t="s">
        <v>29</v>
      </c>
      <c r="K25" s="1">
        <v>3298270</v>
      </c>
    </row>
    <row r="26" spans="1:11" x14ac:dyDescent="0.25">
      <c r="A26" t="s">
        <v>244</v>
      </c>
      <c r="B26" t="s">
        <v>46</v>
      </c>
      <c r="C26">
        <v>57042</v>
      </c>
      <c r="D26" s="1">
        <v>13.2</v>
      </c>
      <c r="E26">
        <v>8.9</v>
      </c>
      <c r="F26" s="2">
        <v>0.3</v>
      </c>
      <c r="G26">
        <f>D26-E26</f>
        <v>4.2999999999999989</v>
      </c>
      <c r="J26" s="4" t="s">
        <v>31</v>
      </c>
      <c r="K26" s="1">
        <v>2876627</v>
      </c>
    </row>
    <row r="27" spans="1:11" x14ac:dyDescent="0.25">
      <c r="A27" t="s">
        <v>186</v>
      </c>
      <c r="B27" t="s">
        <v>17</v>
      </c>
      <c r="C27">
        <v>53837</v>
      </c>
      <c r="D27" s="1">
        <v>11.3</v>
      </c>
      <c r="E27">
        <v>7.1</v>
      </c>
      <c r="F27" s="2">
        <v>-7.6</v>
      </c>
      <c r="G27">
        <f>D27-E27</f>
        <v>4.2000000000000011</v>
      </c>
      <c r="J27" s="4" t="s">
        <v>15</v>
      </c>
      <c r="K27" s="1">
        <v>2541832</v>
      </c>
    </row>
    <row r="28" spans="1:11" x14ac:dyDescent="0.25">
      <c r="A28" t="s">
        <v>233</v>
      </c>
      <c r="B28" t="s">
        <v>7</v>
      </c>
      <c r="C28">
        <v>85397</v>
      </c>
      <c r="D28" s="1">
        <v>12.7</v>
      </c>
      <c r="E28">
        <v>8.5</v>
      </c>
      <c r="F28" s="2">
        <v>-1.6</v>
      </c>
      <c r="G28">
        <f>D28-E28</f>
        <v>4.1999999999999993</v>
      </c>
      <c r="J28" s="4" t="s">
        <v>42</v>
      </c>
      <c r="K28" s="1">
        <v>2230099</v>
      </c>
    </row>
    <row r="29" spans="1:11" x14ac:dyDescent="0.25">
      <c r="A29" t="s">
        <v>273</v>
      </c>
      <c r="B29" t="s">
        <v>19</v>
      </c>
      <c r="C29">
        <v>69087</v>
      </c>
      <c r="D29" s="1">
        <v>10.9</v>
      </c>
      <c r="E29">
        <v>6.8</v>
      </c>
      <c r="F29" s="2">
        <v>12.7</v>
      </c>
      <c r="G29">
        <f>D29-E29</f>
        <v>4.1000000000000005</v>
      </c>
      <c r="J29" s="4" t="s">
        <v>22</v>
      </c>
      <c r="K29" s="1">
        <v>2157202</v>
      </c>
    </row>
    <row r="30" spans="1:11" x14ac:dyDescent="0.25">
      <c r="A30" t="s">
        <v>58</v>
      </c>
      <c r="B30" t="s">
        <v>11</v>
      </c>
      <c r="C30">
        <v>65188</v>
      </c>
      <c r="D30" s="1">
        <v>13.1</v>
      </c>
      <c r="E30">
        <v>9</v>
      </c>
      <c r="F30" s="2">
        <v>-3.6</v>
      </c>
      <c r="G30">
        <f>D30-E30</f>
        <v>4.0999999999999996</v>
      </c>
      <c r="J30" s="4" t="s">
        <v>26</v>
      </c>
      <c r="K30" s="1">
        <v>2101732</v>
      </c>
    </row>
    <row r="31" spans="1:11" x14ac:dyDescent="0.25">
      <c r="A31" t="s">
        <v>86</v>
      </c>
      <c r="B31" t="s">
        <v>11</v>
      </c>
      <c r="C31">
        <v>90442</v>
      </c>
      <c r="D31" s="1">
        <v>12.5</v>
      </c>
      <c r="E31">
        <v>8.4</v>
      </c>
      <c r="F31" s="2">
        <v>-1.2</v>
      </c>
      <c r="G31">
        <f>D31-E31</f>
        <v>4.0999999999999996</v>
      </c>
      <c r="J31" s="4" t="s">
        <v>7</v>
      </c>
      <c r="K31" s="1">
        <v>2069083</v>
      </c>
    </row>
    <row r="32" spans="1:11" x14ac:dyDescent="0.25">
      <c r="A32" t="s">
        <v>370</v>
      </c>
      <c r="B32" t="s">
        <v>46</v>
      </c>
      <c r="C32">
        <v>74856</v>
      </c>
      <c r="D32" s="1">
        <v>13.1</v>
      </c>
      <c r="E32">
        <v>9</v>
      </c>
      <c r="F32" s="2">
        <v>0.5</v>
      </c>
      <c r="G32">
        <f>D32-E32</f>
        <v>4.0999999999999996</v>
      </c>
      <c r="J32" s="4" t="s">
        <v>19</v>
      </c>
      <c r="K32" s="1">
        <v>1693198</v>
      </c>
    </row>
    <row r="33" spans="1:11" x14ac:dyDescent="0.25">
      <c r="A33" t="s">
        <v>16</v>
      </c>
      <c r="B33" t="s">
        <v>17</v>
      </c>
      <c r="C33">
        <v>33701</v>
      </c>
      <c r="D33" s="1">
        <v>15</v>
      </c>
      <c r="E33">
        <v>11</v>
      </c>
      <c r="F33" s="2">
        <v>-1.1000000000000001</v>
      </c>
      <c r="G33">
        <f>D33-E33</f>
        <v>4</v>
      </c>
      <c r="J33" s="4" t="s">
        <v>11</v>
      </c>
      <c r="K33" s="1">
        <v>1427118</v>
      </c>
    </row>
    <row r="34" spans="1:11" x14ac:dyDescent="0.25">
      <c r="A34" t="s">
        <v>24</v>
      </c>
      <c r="B34" t="s">
        <v>13</v>
      </c>
      <c r="C34">
        <v>56806</v>
      </c>
      <c r="D34" s="1">
        <v>12.2</v>
      </c>
      <c r="E34">
        <v>8.1999999999999993</v>
      </c>
      <c r="F34" s="2">
        <v>2.5</v>
      </c>
      <c r="G34">
        <f>D34-E34</f>
        <v>4</v>
      </c>
      <c r="J34" s="4" t="s">
        <v>39</v>
      </c>
      <c r="K34" s="1">
        <v>1270120</v>
      </c>
    </row>
    <row r="35" spans="1:11" x14ac:dyDescent="0.25">
      <c r="A35" t="s">
        <v>79</v>
      </c>
      <c r="B35" t="s">
        <v>46</v>
      </c>
      <c r="C35">
        <v>49903</v>
      </c>
      <c r="D35" s="1">
        <v>13.3</v>
      </c>
      <c r="E35">
        <v>9.3000000000000007</v>
      </c>
      <c r="F35" s="2">
        <v>-0.8</v>
      </c>
      <c r="G35">
        <f>D35-E35</f>
        <v>4</v>
      </c>
      <c r="J35" s="4" t="s">
        <v>9</v>
      </c>
      <c r="K35" s="1">
        <v>1189731</v>
      </c>
    </row>
    <row r="36" spans="1:11" x14ac:dyDescent="0.25">
      <c r="A36" t="s">
        <v>303</v>
      </c>
      <c r="B36" t="s">
        <v>7</v>
      </c>
      <c r="C36">
        <v>41045</v>
      </c>
      <c r="D36" s="1">
        <v>13.4</v>
      </c>
      <c r="E36">
        <v>9.4</v>
      </c>
      <c r="F36" s="2">
        <v>-2.5</v>
      </c>
      <c r="G36">
        <f>D36-E36</f>
        <v>4</v>
      </c>
      <c r="J36" s="4" t="s">
        <v>35</v>
      </c>
      <c r="K36" s="1">
        <v>1031097</v>
      </c>
    </row>
    <row r="37" spans="1:11" x14ac:dyDescent="0.25">
      <c r="A37" t="s">
        <v>322</v>
      </c>
      <c r="B37" t="s">
        <v>42</v>
      </c>
      <c r="C37">
        <v>124056</v>
      </c>
      <c r="D37" s="1">
        <v>12.9</v>
      </c>
      <c r="E37">
        <v>8.9</v>
      </c>
      <c r="F37" s="2">
        <v>-0.3</v>
      </c>
      <c r="G37">
        <f>D37-E37</f>
        <v>4</v>
      </c>
      <c r="J37" s="4" t="s">
        <v>75</v>
      </c>
      <c r="K37" s="1">
        <v>1010047</v>
      </c>
    </row>
    <row r="38" spans="1:11" x14ac:dyDescent="0.25">
      <c r="A38" t="s">
        <v>127</v>
      </c>
      <c r="B38" t="s">
        <v>42</v>
      </c>
      <c r="C38">
        <v>63915</v>
      </c>
      <c r="D38" s="1">
        <v>12.5</v>
      </c>
      <c r="E38">
        <v>8.6</v>
      </c>
      <c r="F38" s="2">
        <v>-0.7</v>
      </c>
      <c r="G38">
        <f>D38-E38</f>
        <v>3.9000000000000004</v>
      </c>
    </row>
    <row r="39" spans="1:11" x14ac:dyDescent="0.25">
      <c r="A39" t="s">
        <v>196</v>
      </c>
      <c r="B39" t="s">
        <v>17</v>
      </c>
      <c r="C39">
        <v>77319</v>
      </c>
      <c r="D39" s="1">
        <v>11.8</v>
      </c>
      <c r="E39">
        <v>7.9</v>
      </c>
      <c r="F39" s="2">
        <v>-2.1</v>
      </c>
      <c r="G39">
        <f>D39-E39</f>
        <v>3.9000000000000004</v>
      </c>
    </row>
    <row r="40" spans="1:11" x14ac:dyDescent="0.25">
      <c r="A40" t="s">
        <v>348</v>
      </c>
      <c r="B40" t="s">
        <v>7</v>
      </c>
      <c r="C40">
        <v>47622</v>
      </c>
      <c r="D40" s="1">
        <v>12.6</v>
      </c>
      <c r="E40">
        <v>8.6999999999999993</v>
      </c>
      <c r="F40" s="2">
        <v>-1.1000000000000001</v>
      </c>
      <c r="G40">
        <f>D40-E40</f>
        <v>3.9000000000000004</v>
      </c>
    </row>
    <row r="41" spans="1:11" x14ac:dyDescent="0.25">
      <c r="A41" t="s">
        <v>238</v>
      </c>
      <c r="B41" t="s">
        <v>11</v>
      </c>
      <c r="C41">
        <v>43749</v>
      </c>
      <c r="D41" s="1">
        <v>13</v>
      </c>
      <c r="E41">
        <v>9.1999999999999993</v>
      </c>
      <c r="F41" s="2">
        <v>-2.2000000000000002</v>
      </c>
      <c r="G41">
        <f>D41-E41</f>
        <v>3.8000000000000007</v>
      </c>
    </row>
    <row r="42" spans="1:11" x14ac:dyDescent="0.25">
      <c r="A42" t="s">
        <v>318</v>
      </c>
      <c r="B42" t="s">
        <v>46</v>
      </c>
      <c r="C42">
        <v>59307</v>
      </c>
      <c r="D42" s="1">
        <v>12.8</v>
      </c>
      <c r="E42">
        <v>9</v>
      </c>
      <c r="F42" s="2">
        <v>-0.1</v>
      </c>
      <c r="G42">
        <f>D42-E42</f>
        <v>3.8000000000000007</v>
      </c>
    </row>
    <row r="43" spans="1:11" x14ac:dyDescent="0.25">
      <c r="A43" t="s">
        <v>61</v>
      </c>
      <c r="B43" t="s">
        <v>11</v>
      </c>
      <c r="C43">
        <v>86238</v>
      </c>
      <c r="D43" s="1">
        <v>12.1</v>
      </c>
      <c r="E43">
        <v>8.3000000000000007</v>
      </c>
      <c r="F43" s="2">
        <v>1.3</v>
      </c>
      <c r="G43">
        <f>D43-E43</f>
        <v>3.7999999999999989</v>
      </c>
    </row>
    <row r="44" spans="1:11" x14ac:dyDescent="0.25">
      <c r="A44" t="s">
        <v>373</v>
      </c>
      <c r="B44" t="s">
        <v>17</v>
      </c>
      <c r="C44">
        <v>72307</v>
      </c>
      <c r="D44" s="1">
        <v>13.6</v>
      </c>
      <c r="E44">
        <v>9.8000000000000007</v>
      </c>
      <c r="F44" s="2">
        <v>-0.9</v>
      </c>
      <c r="G44">
        <f>D44-E44</f>
        <v>3.7999999999999989</v>
      </c>
    </row>
    <row r="45" spans="1:11" x14ac:dyDescent="0.25">
      <c r="A45" t="s">
        <v>274</v>
      </c>
      <c r="B45" t="s">
        <v>31</v>
      </c>
      <c r="C45">
        <v>61622</v>
      </c>
      <c r="D45" s="1">
        <v>12.4</v>
      </c>
      <c r="E45">
        <v>8.6999999999999993</v>
      </c>
      <c r="F45" s="2">
        <v>-1.6</v>
      </c>
      <c r="G45">
        <f>D45-E45</f>
        <v>3.7000000000000011</v>
      </c>
    </row>
    <row r="46" spans="1:11" x14ac:dyDescent="0.25">
      <c r="A46" t="s">
        <v>368</v>
      </c>
      <c r="B46" t="s">
        <v>46</v>
      </c>
      <c r="C46">
        <v>55591</v>
      </c>
      <c r="D46" s="1">
        <v>12.3</v>
      </c>
      <c r="E46">
        <v>8.6</v>
      </c>
      <c r="F46" s="2">
        <v>0.2</v>
      </c>
      <c r="G46">
        <f>D46-E46</f>
        <v>3.7000000000000011</v>
      </c>
    </row>
    <row r="47" spans="1:11" x14ac:dyDescent="0.25">
      <c r="A47" t="s">
        <v>40</v>
      </c>
      <c r="B47" t="s">
        <v>7</v>
      </c>
      <c r="C47">
        <v>103010</v>
      </c>
      <c r="D47" s="1">
        <v>11.5</v>
      </c>
      <c r="E47">
        <v>7.8</v>
      </c>
      <c r="F47" s="2">
        <v>15.1</v>
      </c>
      <c r="G47">
        <f>D47-E47</f>
        <v>3.7</v>
      </c>
    </row>
    <row r="48" spans="1:11" x14ac:dyDescent="0.25">
      <c r="A48" t="s">
        <v>152</v>
      </c>
      <c r="B48" t="s">
        <v>22</v>
      </c>
      <c r="C48">
        <v>57876</v>
      </c>
      <c r="D48" s="1">
        <v>10.9</v>
      </c>
      <c r="E48">
        <v>7.2</v>
      </c>
      <c r="F48" s="2">
        <v>-2.5</v>
      </c>
      <c r="G48">
        <f>D48-E48</f>
        <v>3.7</v>
      </c>
    </row>
    <row r="49" spans="1:7" x14ac:dyDescent="0.25">
      <c r="A49" t="s">
        <v>28</v>
      </c>
      <c r="B49" t="s">
        <v>29</v>
      </c>
      <c r="C49">
        <v>102181</v>
      </c>
      <c r="D49" s="1">
        <v>13.1</v>
      </c>
      <c r="E49">
        <v>9.4</v>
      </c>
      <c r="F49" s="2">
        <v>1</v>
      </c>
      <c r="G49">
        <f>D49-E49</f>
        <v>3.6999999999999993</v>
      </c>
    </row>
    <row r="50" spans="1:7" x14ac:dyDescent="0.25">
      <c r="A50" t="s">
        <v>56</v>
      </c>
      <c r="B50" t="s">
        <v>26</v>
      </c>
      <c r="C50">
        <v>133244</v>
      </c>
      <c r="D50" s="1">
        <v>11.6</v>
      </c>
      <c r="E50">
        <v>7.9</v>
      </c>
      <c r="F50" s="2">
        <v>-1.1000000000000001</v>
      </c>
      <c r="G50">
        <f>D50-E50</f>
        <v>3.6999999999999993</v>
      </c>
    </row>
    <row r="51" spans="1:7" x14ac:dyDescent="0.25">
      <c r="A51" t="s">
        <v>369</v>
      </c>
      <c r="B51" t="s">
        <v>31</v>
      </c>
      <c r="C51">
        <v>111069</v>
      </c>
      <c r="D51" s="1">
        <v>12.2</v>
      </c>
      <c r="E51">
        <v>8.5</v>
      </c>
      <c r="F51" s="2">
        <v>19.899999999999999</v>
      </c>
      <c r="G51">
        <f>D51-E51</f>
        <v>3.6999999999999993</v>
      </c>
    </row>
    <row r="52" spans="1:7" x14ac:dyDescent="0.25">
      <c r="A52" t="s">
        <v>383</v>
      </c>
      <c r="B52" t="s">
        <v>75</v>
      </c>
      <c r="C52">
        <v>91638</v>
      </c>
      <c r="D52" s="1">
        <v>11.4</v>
      </c>
      <c r="E52">
        <v>7.8</v>
      </c>
      <c r="F52" s="2">
        <v>5.8</v>
      </c>
      <c r="G52">
        <f>D52-E52</f>
        <v>3.6000000000000005</v>
      </c>
    </row>
    <row r="53" spans="1:7" x14ac:dyDescent="0.25">
      <c r="A53" t="s">
        <v>33</v>
      </c>
      <c r="B53" t="s">
        <v>7</v>
      </c>
      <c r="C53">
        <v>75579</v>
      </c>
      <c r="D53" s="1">
        <v>13.6</v>
      </c>
      <c r="E53">
        <v>10</v>
      </c>
      <c r="F53" s="2">
        <v>-1.3</v>
      </c>
      <c r="G53">
        <f>D53-E53</f>
        <v>3.5999999999999996</v>
      </c>
    </row>
    <row r="54" spans="1:7" x14ac:dyDescent="0.25">
      <c r="A54" t="s">
        <v>178</v>
      </c>
      <c r="B54" t="s">
        <v>46</v>
      </c>
      <c r="C54">
        <v>64338</v>
      </c>
      <c r="D54" s="1">
        <v>12.5</v>
      </c>
      <c r="E54">
        <v>8.9</v>
      </c>
      <c r="F54" s="2">
        <v>-1.9</v>
      </c>
      <c r="G54">
        <f>D54-E54</f>
        <v>3.5999999999999996</v>
      </c>
    </row>
    <row r="55" spans="1:7" x14ac:dyDescent="0.25">
      <c r="A55" t="s">
        <v>77</v>
      </c>
      <c r="B55" t="s">
        <v>46</v>
      </c>
      <c r="C55">
        <v>76052</v>
      </c>
      <c r="D55" s="1">
        <v>12.6</v>
      </c>
      <c r="E55">
        <v>9.1</v>
      </c>
      <c r="F55" s="2">
        <v>-1.8</v>
      </c>
      <c r="G55">
        <f>D55-E55</f>
        <v>3.5</v>
      </c>
    </row>
    <row r="56" spans="1:7" x14ac:dyDescent="0.25">
      <c r="A56" t="s">
        <v>130</v>
      </c>
      <c r="B56" t="s">
        <v>17</v>
      </c>
      <c r="C56">
        <v>103039</v>
      </c>
      <c r="D56" s="1">
        <v>12</v>
      </c>
      <c r="E56">
        <v>8.5</v>
      </c>
      <c r="F56" s="2">
        <v>13.4</v>
      </c>
      <c r="G56">
        <f>D56-E56</f>
        <v>3.5</v>
      </c>
    </row>
    <row r="57" spans="1:7" x14ac:dyDescent="0.25">
      <c r="A57" t="s">
        <v>295</v>
      </c>
      <c r="B57" t="s">
        <v>26</v>
      </c>
      <c r="C57">
        <v>71751</v>
      </c>
      <c r="D57" s="1">
        <v>11.7</v>
      </c>
      <c r="E57">
        <v>8.1999999999999993</v>
      </c>
      <c r="F57" s="2">
        <v>-0.8</v>
      </c>
      <c r="G57">
        <f>D57-E57</f>
        <v>3.5</v>
      </c>
    </row>
    <row r="58" spans="1:7" x14ac:dyDescent="0.25">
      <c r="A58" t="s">
        <v>37</v>
      </c>
      <c r="B58" t="s">
        <v>26</v>
      </c>
      <c r="C58">
        <v>65253</v>
      </c>
      <c r="D58" s="1">
        <v>11.9</v>
      </c>
      <c r="E58">
        <v>8.5</v>
      </c>
      <c r="F58" s="2">
        <v>-2.1</v>
      </c>
      <c r="G58">
        <f>D58-E58</f>
        <v>3.4000000000000004</v>
      </c>
    </row>
    <row r="59" spans="1:7" x14ac:dyDescent="0.25">
      <c r="A59" t="s">
        <v>52</v>
      </c>
      <c r="B59" t="s">
        <v>46</v>
      </c>
      <c r="C59">
        <v>86939</v>
      </c>
      <c r="D59" s="1">
        <v>12.9</v>
      </c>
      <c r="E59">
        <v>9.5</v>
      </c>
      <c r="F59" s="2">
        <v>-1.6</v>
      </c>
      <c r="G59">
        <f>D59-E59</f>
        <v>3.4000000000000004</v>
      </c>
    </row>
    <row r="60" spans="1:7" x14ac:dyDescent="0.25">
      <c r="A60" t="s">
        <v>54</v>
      </c>
      <c r="B60" t="s">
        <v>42</v>
      </c>
      <c r="C60">
        <v>56762</v>
      </c>
      <c r="D60" s="1">
        <v>11.8</v>
      </c>
      <c r="E60">
        <v>8.4</v>
      </c>
      <c r="F60" s="2">
        <v>-3.6</v>
      </c>
      <c r="G60">
        <f>D60-E60</f>
        <v>3.4000000000000004</v>
      </c>
    </row>
    <row r="61" spans="1:7" x14ac:dyDescent="0.25">
      <c r="A61" t="s">
        <v>68</v>
      </c>
      <c r="B61" t="s">
        <v>46</v>
      </c>
      <c r="C61">
        <v>141719</v>
      </c>
      <c r="D61" s="1">
        <v>12</v>
      </c>
      <c r="E61">
        <v>8.6</v>
      </c>
      <c r="F61" s="2">
        <v>-0.4</v>
      </c>
      <c r="G61">
        <f>D61-E61</f>
        <v>3.4000000000000004</v>
      </c>
    </row>
    <row r="62" spans="1:7" x14ac:dyDescent="0.25">
      <c r="A62" t="s">
        <v>202</v>
      </c>
      <c r="B62" t="s">
        <v>9</v>
      </c>
      <c r="C62">
        <v>69499</v>
      </c>
      <c r="D62" s="1">
        <v>10.4</v>
      </c>
      <c r="E62">
        <v>7</v>
      </c>
      <c r="F62" s="2">
        <v>-2.1</v>
      </c>
      <c r="G62">
        <f>D62-E62</f>
        <v>3.4000000000000004</v>
      </c>
    </row>
    <row r="63" spans="1:7" x14ac:dyDescent="0.25">
      <c r="A63" t="s">
        <v>183</v>
      </c>
      <c r="B63" t="s">
        <v>29</v>
      </c>
      <c r="C63">
        <v>84556</v>
      </c>
      <c r="D63" s="1">
        <v>11.1</v>
      </c>
      <c r="E63">
        <v>7.7</v>
      </c>
      <c r="F63" s="2">
        <v>-1.8</v>
      </c>
      <c r="G63">
        <f>D63-E63</f>
        <v>3.3999999999999995</v>
      </c>
    </row>
    <row r="64" spans="1:7" x14ac:dyDescent="0.25">
      <c r="A64" t="s">
        <v>72</v>
      </c>
      <c r="B64" t="s">
        <v>29</v>
      </c>
      <c r="C64">
        <v>107017</v>
      </c>
      <c r="D64" s="1">
        <v>12.2</v>
      </c>
      <c r="E64">
        <v>8.8000000000000007</v>
      </c>
      <c r="F64" s="2">
        <v>-1.9</v>
      </c>
      <c r="G64">
        <f>D64-E64</f>
        <v>3.3999999999999986</v>
      </c>
    </row>
    <row r="65" spans="1:7" x14ac:dyDescent="0.25">
      <c r="A65" t="s">
        <v>346</v>
      </c>
      <c r="B65" t="s">
        <v>7</v>
      </c>
      <c r="C65">
        <v>95187</v>
      </c>
      <c r="D65" s="1">
        <v>11.7</v>
      </c>
      <c r="E65">
        <v>8.3000000000000007</v>
      </c>
      <c r="F65" s="2">
        <v>13.3</v>
      </c>
      <c r="G65">
        <f>D65-E65</f>
        <v>3.3999999999999986</v>
      </c>
    </row>
    <row r="66" spans="1:7" x14ac:dyDescent="0.25">
      <c r="A66" t="s">
        <v>180</v>
      </c>
      <c r="B66" t="s">
        <v>9</v>
      </c>
      <c r="C66">
        <v>63357</v>
      </c>
      <c r="D66" s="1">
        <v>10.3</v>
      </c>
      <c r="E66">
        <v>7</v>
      </c>
      <c r="F66" s="2">
        <v>-2.1</v>
      </c>
      <c r="G66">
        <f>D66-E66</f>
        <v>3.3000000000000007</v>
      </c>
    </row>
    <row r="67" spans="1:7" x14ac:dyDescent="0.25">
      <c r="A67" t="s">
        <v>125</v>
      </c>
      <c r="B67" t="s">
        <v>26</v>
      </c>
      <c r="C67">
        <v>78359</v>
      </c>
      <c r="D67" s="1">
        <v>12.2</v>
      </c>
      <c r="E67">
        <v>8.9</v>
      </c>
      <c r="F67" s="2">
        <v>0.5</v>
      </c>
      <c r="G67">
        <f>D67-E67</f>
        <v>3.2999999999999989</v>
      </c>
    </row>
    <row r="68" spans="1:7" x14ac:dyDescent="0.25">
      <c r="A68" t="s">
        <v>385</v>
      </c>
      <c r="B68" t="s">
        <v>46</v>
      </c>
      <c r="C68">
        <v>68737</v>
      </c>
      <c r="D68" s="1">
        <v>12.3</v>
      </c>
      <c r="E68">
        <v>9.1</v>
      </c>
      <c r="F68" s="2">
        <v>-2.1</v>
      </c>
      <c r="G68">
        <f>D68-E68</f>
        <v>3.2000000000000011</v>
      </c>
    </row>
    <row r="69" spans="1:7" x14ac:dyDescent="0.25">
      <c r="A69" t="s">
        <v>268</v>
      </c>
      <c r="B69" t="s">
        <v>11</v>
      </c>
      <c r="C69">
        <v>57093</v>
      </c>
      <c r="D69" s="1">
        <v>12.1</v>
      </c>
      <c r="E69">
        <v>8.9</v>
      </c>
      <c r="F69" s="2">
        <v>-5.7</v>
      </c>
      <c r="G69">
        <f>D69-E69</f>
        <v>3.1999999999999993</v>
      </c>
    </row>
    <row r="70" spans="1:7" x14ac:dyDescent="0.25">
      <c r="A70" t="s">
        <v>184</v>
      </c>
      <c r="B70" t="s">
        <v>11</v>
      </c>
      <c r="C70">
        <v>176457</v>
      </c>
      <c r="D70" s="1">
        <v>11.2</v>
      </c>
      <c r="E70">
        <v>8.1</v>
      </c>
      <c r="F70" s="2">
        <v>-1</v>
      </c>
      <c r="G70">
        <f>D70-E70</f>
        <v>3.0999999999999996</v>
      </c>
    </row>
    <row r="71" spans="1:7" x14ac:dyDescent="0.25">
      <c r="A71" t="s">
        <v>313</v>
      </c>
      <c r="B71" t="s">
        <v>42</v>
      </c>
      <c r="C71">
        <v>93230</v>
      </c>
      <c r="D71" s="1">
        <v>12.1</v>
      </c>
      <c r="E71">
        <v>9</v>
      </c>
      <c r="F71" s="2">
        <v>-0.2</v>
      </c>
      <c r="G71">
        <f>D71-E71</f>
        <v>3.0999999999999996</v>
      </c>
    </row>
    <row r="72" spans="1:7" x14ac:dyDescent="0.25">
      <c r="A72" t="s">
        <v>213</v>
      </c>
      <c r="B72" t="s">
        <v>22</v>
      </c>
      <c r="C72">
        <v>66557</v>
      </c>
      <c r="D72" s="1">
        <v>10.8</v>
      </c>
      <c r="E72">
        <v>7.8</v>
      </c>
      <c r="F72" s="2">
        <v>-3.1</v>
      </c>
      <c r="G72">
        <f>D72-E72</f>
        <v>3.0000000000000009</v>
      </c>
    </row>
    <row r="73" spans="1:7" x14ac:dyDescent="0.25">
      <c r="A73" t="s">
        <v>23</v>
      </c>
      <c r="B73" t="s">
        <v>13</v>
      </c>
      <c r="C73">
        <v>155571</v>
      </c>
      <c r="D73" s="1">
        <v>12</v>
      </c>
      <c r="E73">
        <v>9</v>
      </c>
      <c r="F73" s="2">
        <v>6.9</v>
      </c>
      <c r="G73">
        <f>D73-E73</f>
        <v>3</v>
      </c>
    </row>
    <row r="74" spans="1:7" x14ac:dyDescent="0.25">
      <c r="A74" t="s">
        <v>74</v>
      </c>
      <c r="B74" t="s">
        <v>75</v>
      </c>
      <c r="C74">
        <v>67443</v>
      </c>
      <c r="D74" s="1">
        <v>12</v>
      </c>
      <c r="E74">
        <v>9</v>
      </c>
      <c r="F74" s="2">
        <v>5.7</v>
      </c>
      <c r="G74">
        <f>D74-E74</f>
        <v>3</v>
      </c>
    </row>
    <row r="75" spans="1:7" x14ac:dyDescent="0.25">
      <c r="A75" t="s">
        <v>122</v>
      </c>
      <c r="B75" t="s">
        <v>46</v>
      </c>
      <c r="C75">
        <v>77440</v>
      </c>
      <c r="D75" s="1">
        <v>12.8</v>
      </c>
      <c r="E75">
        <v>9.8000000000000007</v>
      </c>
      <c r="F75" s="2">
        <v>-1.8</v>
      </c>
      <c r="G75">
        <f>D75-E75</f>
        <v>3</v>
      </c>
    </row>
    <row r="76" spans="1:7" x14ac:dyDescent="0.25">
      <c r="A76" t="s">
        <v>194</v>
      </c>
      <c r="B76" t="s">
        <v>13</v>
      </c>
      <c r="C76">
        <v>141372</v>
      </c>
      <c r="D76" s="1">
        <v>11.6</v>
      </c>
      <c r="E76">
        <v>8.6</v>
      </c>
      <c r="F76" s="2">
        <v>-1.3</v>
      </c>
      <c r="G76">
        <f>D76-E76</f>
        <v>3</v>
      </c>
    </row>
    <row r="77" spans="1:7" x14ac:dyDescent="0.25">
      <c r="A77" t="s">
        <v>219</v>
      </c>
      <c r="B77" t="s">
        <v>46</v>
      </c>
      <c r="C77">
        <v>36646</v>
      </c>
      <c r="D77" s="1">
        <v>12.8</v>
      </c>
      <c r="E77">
        <v>9.9</v>
      </c>
      <c r="F77" s="2">
        <v>-1</v>
      </c>
      <c r="G77">
        <f>D77-E77</f>
        <v>2.9000000000000004</v>
      </c>
    </row>
    <row r="78" spans="1:7" x14ac:dyDescent="0.25">
      <c r="A78" t="s">
        <v>221</v>
      </c>
      <c r="B78" t="s">
        <v>26</v>
      </c>
      <c r="C78">
        <v>133986</v>
      </c>
      <c r="D78" s="1">
        <v>11.1</v>
      </c>
      <c r="E78">
        <v>8.1999999999999993</v>
      </c>
      <c r="F78" s="2">
        <v>-0.8</v>
      </c>
      <c r="G78">
        <f>D78-E78</f>
        <v>2.9000000000000004</v>
      </c>
    </row>
    <row r="79" spans="1:7" x14ac:dyDescent="0.25">
      <c r="A79" t="s">
        <v>223</v>
      </c>
      <c r="B79" t="s">
        <v>31</v>
      </c>
      <c r="C79">
        <v>37036</v>
      </c>
      <c r="D79" s="1">
        <v>12.9</v>
      </c>
      <c r="E79">
        <v>10</v>
      </c>
      <c r="F79" s="2">
        <v>-0.7</v>
      </c>
      <c r="G79">
        <f>D79-E79</f>
        <v>2.9000000000000004</v>
      </c>
    </row>
    <row r="80" spans="1:7" x14ac:dyDescent="0.25">
      <c r="A80" t="s">
        <v>34</v>
      </c>
      <c r="B80" t="s">
        <v>29</v>
      </c>
      <c r="C80">
        <v>91297</v>
      </c>
      <c r="D80" s="1">
        <v>11.7</v>
      </c>
      <c r="E80">
        <v>8.8000000000000007</v>
      </c>
      <c r="F80" s="2">
        <v>0.9</v>
      </c>
      <c r="G80">
        <f>D80-E80</f>
        <v>2.8999999999999986</v>
      </c>
    </row>
    <row r="81" spans="1:7" x14ac:dyDescent="0.25">
      <c r="A81" t="s">
        <v>311</v>
      </c>
      <c r="B81" t="s">
        <v>75</v>
      </c>
      <c r="C81">
        <v>46413</v>
      </c>
      <c r="D81" s="1">
        <v>12.5</v>
      </c>
      <c r="E81">
        <v>9.6999999999999993</v>
      </c>
      <c r="F81" s="2">
        <v>0.4</v>
      </c>
      <c r="G81">
        <f>D81-E81</f>
        <v>2.8000000000000007</v>
      </c>
    </row>
    <row r="82" spans="1:7" x14ac:dyDescent="0.25">
      <c r="A82" t="s">
        <v>317</v>
      </c>
      <c r="B82" t="s">
        <v>46</v>
      </c>
      <c r="C82">
        <v>55408</v>
      </c>
      <c r="D82" s="1">
        <v>12.4</v>
      </c>
      <c r="E82">
        <v>9.6</v>
      </c>
      <c r="F82" s="2">
        <v>1.5</v>
      </c>
      <c r="G82">
        <f>D82-E82</f>
        <v>2.8000000000000007</v>
      </c>
    </row>
    <row r="83" spans="1:7" x14ac:dyDescent="0.25">
      <c r="A83" t="s">
        <v>246</v>
      </c>
      <c r="B83" t="s">
        <v>11</v>
      </c>
      <c r="C83">
        <v>34111</v>
      </c>
      <c r="D83" s="1">
        <v>11.4</v>
      </c>
      <c r="E83">
        <v>8.6999999999999993</v>
      </c>
      <c r="F83" s="2">
        <v>-3.4</v>
      </c>
      <c r="G83">
        <f>D83-E83</f>
        <v>2.7000000000000011</v>
      </c>
    </row>
    <row r="84" spans="1:7" x14ac:dyDescent="0.25">
      <c r="A84" t="s">
        <v>153</v>
      </c>
      <c r="B84" t="s">
        <v>9</v>
      </c>
      <c r="C84">
        <v>294685</v>
      </c>
      <c r="D84" s="1">
        <v>10.5</v>
      </c>
      <c r="E84">
        <v>7.8</v>
      </c>
      <c r="F84" s="2">
        <v>-1.4</v>
      </c>
      <c r="G84">
        <f>D84-E84</f>
        <v>2.7</v>
      </c>
    </row>
    <row r="85" spans="1:7" x14ac:dyDescent="0.25">
      <c r="A85" t="s">
        <v>167</v>
      </c>
      <c r="B85" t="s">
        <v>13</v>
      </c>
      <c r="C85">
        <v>92988</v>
      </c>
      <c r="D85" s="1">
        <v>10.4</v>
      </c>
      <c r="E85">
        <v>7.7</v>
      </c>
      <c r="F85" s="2">
        <v>-7.7</v>
      </c>
      <c r="G85">
        <f>D85-E85</f>
        <v>2.7</v>
      </c>
    </row>
    <row r="86" spans="1:7" x14ac:dyDescent="0.25">
      <c r="A86" t="s">
        <v>89</v>
      </c>
      <c r="B86" t="s">
        <v>46</v>
      </c>
      <c r="C86">
        <v>70821</v>
      </c>
      <c r="D86" s="1">
        <v>12.2</v>
      </c>
      <c r="E86">
        <v>9.5</v>
      </c>
      <c r="F86" s="2">
        <v>-1</v>
      </c>
      <c r="G86">
        <f>D86-E86</f>
        <v>2.6999999999999993</v>
      </c>
    </row>
    <row r="87" spans="1:7" x14ac:dyDescent="0.25">
      <c r="A87" t="s">
        <v>148</v>
      </c>
      <c r="B87" t="s">
        <v>31</v>
      </c>
      <c r="C87">
        <v>105170</v>
      </c>
      <c r="D87" s="1">
        <v>10.6</v>
      </c>
      <c r="E87">
        <v>7.9</v>
      </c>
      <c r="F87" s="2">
        <v>-2.8</v>
      </c>
      <c r="G87">
        <f>D87-E87</f>
        <v>2.6999999999999993</v>
      </c>
    </row>
    <row r="88" spans="1:7" x14ac:dyDescent="0.25">
      <c r="A88" t="s">
        <v>209</v>
      </c>
      <c r="B88" t="s">
        <v>13</v>
      </c>
      <c r="C88">
        <v>129449</v>
      </c>
      <c r="D88" s="1">
        <v>11</v>
      </c>
      <c r="E88">
        <v>8.3000000000000007</v>
      </c>
      <c r="F88" s="2">
        <v>-2.7</v>
      </c>
      <c r="G88">
        <f>D88-E88</f>
        <v>2.6999999999999993</v>
      </c>
    </row>
    <row r="89" spans="1:7" x14ac:dyDescent="0.25">
      <c r="A89" t="s">
        <v>329</v>
      </c>
      <c r="B89" t="s">
        <v>29</v>
      </c>
      <c r="C89">
        <v>82736</v>
      </c>
      <c r="D89" s="1">
        <v>12.2</v>
      </c>
      <c r="E89">
        <v>9.5</v>
      </c>
      <c r="F89" s="2">
        <v>0.4</v>
      </c>
      <c r="G89">
        <f>D89-E89</f>
        <v>2.6999999999999993</v>
      </c>
    </row>
    <row r="90" spans="1:7" x14ac:dyDescent="0.25">
      <c r="A90" t="s">
        <v>342</v>
      </c>
      <c r="B90" t="s">
        <v>29</v>
      </c>
      <c r="C90">
        <v>195908</v>
      </c>
      <c r="D90" s="1">
        <v>11.2</v>
      </c>
      <c r="E90">
        <v>8.5</v>
      </c>
      <c r="F90" s="2">
        <v>1.3</v>
      </c>
      <c r="G90">
        <f>D90-E90</f>
        <v>2.6999999999999993</v>
      </c>
    </row>
    <row r="91" spans="1:7" x14ac:dyDescent="0.25">
      <c r="A91" t="s">
        <v>25</v>
      </c>
      <c r="B91" t="s">
        <v>26</v>
      </c>
      <c r="C91">
        <v>22001</v>
      </c>
      <c r="D91" s="1">
        <v>11.3</v>
      </c>
      <c r="E91">
        <v>8.6999999999999993</v>
      </c>
      <c r="F91" s="2">
        <v>-4.2</v>
      </c>
      <c r="G91">
        <f>D91-E91</f>
        <v>2.6000000000000014</v>
      </c>
    </row>
    <row r="92" spans="1:7" x14ac:dyDescent="0.25">
      <c r="A92" t="s">
        <v>250</v>
      </c>
      <c r="B92" t="s">
        <v>11</v>
      </c>
      <c r="C92">
        <v>116766</v>
      </c>
      <c r="D92" s="1">
        <v>11.6</v>
      </c>
      <c r="E92">
        <v>9</v>
      </c>
      <c r="F92" s="2">
        <v>6.5</v>
      </c>
      <c r="G92">
        <f>D92-E92</f>
        <v>2.5999999999999996</v>
      </c>
    </row>
    <row r="93" spans="1:7" x14ac:dyDescent="0.25">
      <c r="A93" t="s">
        <v>257</v>
      </c>
      <c r="B93" t="s">
        <v>46</v>
      </c>
      <c r="C93">
        <v>159332</v>
      </c>
      <c r="D93" s="1">
        <v>11.5</v>
      </c>
      <c r="E93">
        <v>8.9</v>
      </c>
      <c r="F93" s="2">
        <v>0.2</v>
      </c>
      <c r="G93">
        <f>D93-E93</f>
        <v>2.5999999999999996</v>
      </c>
    </row>
    <row r="94" spans="1:7" x14ac:dyDescent="0.25">
      <c r="A94" t="s">
        <v>265</v>
      </c>
      <c r="B94" t="s">
        <v>46</v>
      </c>
      <c r="C94">
        <v>137562</v>
      </c>
      <c r="D94" s="1">
        <v>11.7</v>
      </c>
      <c r="E94">
        <v>9.1</v>
      </c>
      <c r="F94" s="2">
        <v>-1.9</v>
      </c>
      <c r="G94">
        <f>D94-E94</f>
        <v>2.5999999999999996</v>
      </c>
    </row>
    <row r="95" spans="1:7" x14ac:dyDescent="0.25">
      <c r="A95" t="s">
        <v>351</v>
      </c>
      <c r="B95" t="s">
        <v>29</v>
      </c>
      <c r="C95">
        <v>155923</v>
      </c>
      <c r="D95" s="1">
        <v>11.7</v>
      </c>
      <c r="E95">
        <v>9.1</v>
      </c>
      <c r="F95" s="2">
        <v>-0.1</v>
      </c>
      <c r="G95">
        <f>D95-E95</f>
        <v>2.5999999999999996</v>
      </c>
    </row>
    <row r="96" spans="1:7" x14ac:dyDescent="0.25">
      <c r="A96" t="s">
        <v>81</v>
      </c>
      <c r="B96" t="s">
        <v>7</v>
      </c>
      <c r="C96">
        <v>38708</v>
      </c>
      <c r="D96" s="1">
        <v>11.4</v>
      </c>
      <c r="E96">
        <v>8.9</v>
      </c>
      <c r="F96" s="2">
        <v>-0.9</v>
      </c>
      <c r="G96">
        <f>D96-E96</f>
        <v>2.5</v>
      </c>
    </row>
    <row r="97" spans="1:7" x14ac:dyDescent="0.25">
      <c r="A97" t="s">
        <v>129</v>
      </c>
      <c r="B97" t="s">
        <v>22</v>
      </c>
      <c r="C97">
        <v>57164</v>
      </c>
      <c r="D97" s="1">
        <v>11.4</v>
      </c>
      <c r="E97">
        <v>8.9</v>
      </c>
      <c r="F97" s="2">
        <v>-2.2000000000000002</v>
      </c>
      <c r="G97">
        <f>D97-E97</f>
        <v>2.5</v>
      </c>
    </row>
    <row r="98" spans="1:7" x14ac:dyDescent="0.25">
      <c r="A98" t="s">
        <v>195</v>
      </c>
      <c r="B98" t="s">
        <v>26</v>
      </c>
      <c r="C98">
        <v>172770</v>
      </c>
      <c r="D98" s="1">
        <v>11.1</v>
      </c>
      <c r="E98">
        <v>8.6</v>
      </c>
      <c r="F98" s="2">
        <v>-0.4</v>
      </c>
      <c r="G98">
        <f>D98-E98</f>
        <v>2.5</v>
      </c>
    </row>
    <row r="99" spans="1:7" x14ac:dyDescent="0.25">
      <c r="A99" t="s">
        <v>237</v>
      </c>
      <c r="B99" t="s">
        <v>42</v>
      </c>
      <c r="C99">
        <v>35642</v>
      </c>
      <c r="D99" s="1">
        <v>11.8</v>
      </c>
      <c r="E99">
        <v>9.3000000000000007</v>
      </c>
      <c r="F99" s="2">
        <v>-1.6</v>
      </c>
      <c r="G99">
        <f>D99-E99</f>
        <v>2.5</v>
      </c>
    </row>
    <row r="100" spans="1:7" x14ac:dyDescent="0.25">
      <c r="A100" t="s">
        <v>14</v>
      </c>
      <c r="B100" t="s">
        <v>15</v>
      </c>
      <c r="C100">
        <v>112993</v>
      </c>
      <c r="D100" s="1">
        <v>11.5</v>
      </c>
      <c r="E100">
        <v>9.1</v>
      </c>
      <c r="F100" s="2">
        <v>-1.6</v>
      </c>
      <c r="G100">
        <f>D100-E100</f>
        <v>2.4000000000000004</v>
      </c>
    </row>
    <row r="101" spans="1:7" x14ac:dyDescent="0.25">
      <c r="A101" t="s">
        <v>43</v>
      </c>
      <c r="B101" t="s">
        <v>7</v>
      </c>
      <c r="C101">
        <v>51456</v>
      </c>
      <c r="D101" s="1">
        <v>12.4</v>
      </c>
      <c r="E101">
        <v>10</v>
      </c>
      <c r="F101" s="2">
        <v>-2</v>
      </c>
      <c r="G101">
        <f>D101-E101</f>
        <v>2.4000000000000004</v>
      </c>
    </row>
    <row r="102" spans="1:7" x14ac:dyDescent="0.25">
      <c r="A102" t="s">
        <v>198</v>
      </c>
      <c r="B102" t="s">
        <v>15</v>
      </c>
      <c r="C102">
        <v>48958</v>
      </c>
      <c r="D102" s="1">
        <v>11</v>
      </c>
      <c r="E102">
        <v>8.6</v>
      </c>
      <c r="F102" s="2">
        <v>-1.6</v>
      </c>
      <c r="G102">
        <f>D102-E102</f>
        <v>2.4000000000000004</v>
      </c>
    </row>
    <row r="103" spans="1:7" x14ac:dyDescent="0.25">
      <c r="A103" t="s">
        <v>335</v>
      </c>
      <c r="B103" t="s">
        <v>46</v>
      </c>
      <c r="C103">
        <v>87260</v>
      </c>
      <c r="D103" s="1">
        <v>12</v>
      </c>
      <c r="E103">
        <v>9.6</v>
      </c>
      <c r="F103" s="2">
        <v>1.2</v>
      </c>
      <c r="G103">
        <f>D103-E103</f>
        <v>2.4000000000000004</v>
      </c>
    </row>
    <row r="104" spans="1:7" x14ac:dyDescent="0.25">
      <c r="A104" t="s">
        <v>337</v>
      </c>
      <c r="B104" t="s">
        <v>11</v>
      </c>
      <c r="C104">
        <v>69286</v>
      </c>
      <c r="D104" s="1">
        <v>12.1</v>
      </c>
      <c r="E104">
        <v>9.6999999999999993</v>
      </c>
      <c r="F104" s="2">
        <v>-2.2000000000000002</v>
      </c>
      <c r="G104">
        <f>D104-E104</f>
        <v>2.4000000000000004</v>
      </c>
    </row>
    <row r="105" spans="1:7" x14ac:dyDescent="0.25">
      <c r="A105" t="s">
        <v>350</v>
      </c>
      <c r="B105" t="s">
        <v>7</v>
      </c>
      <c r="C105">
        <v>34777</v>
      </c>
      <c r="D105" s="1">
        <v>12.1</v>
      </c>
      <c r="E105">
        <v>9.6999999999999993</v>
      </c>
      <c r="F105" s="2">
        <v>-1.4</v>
      </c>
      <c r="G105">
        <f>D105-E105</f>
        <v>2.4000000000000004</v>
      </c>
    </row>
    <row r="106" spans="1:7" x14ac:dyDescent="0.25">
      <c r="A106" t="s">
        <v>112</v>
      </c>
      <c r="B106" t="s">
        <v>46</v>
      </c>
      <c r="C106">
        <v>125965</v>
      </c>
      <c r="D106" s="1">
        <v>11.7</v>
      </c>
      <c r="E106">
        <v>9.3000000000000007</v>
      </c>
      <c r="F106" s="2">
        <v>2.5</v>
      </c>
      <c r="G106">
        <f>D106-E106</f>
        <v>2.3999999999999986</v>
      </c>
    </row>
    <row r="107" spans="1:7" x14ac:dyDescent="0.25">
      <c r="A107" t="s">
        <v>150</v>
      </c>
      <c r="B107" t="s">
        <v>22</v>
      </c>
      <c r="C107">
        <v>107953</v>
      </c>
      <c r="D107" s="1">
        <v>12.2</v>
      </c>
      <c r="E107">
        <v>9.8000000000000007</v>
      </c>
      <c r="F107" s="2">
        <v>-4.0999999999999996</v>
      </c>
      <c r="G107">
        <f>D107-E107</f>
        <v>2.3999999999999986</v>
      </c>
    </row>
    <row r="108" spans="1:7" x14ac:dyDescent="0.25">
      <c r="A108" t="s">
        <v>228</v>
      </c>
      <c r="B108" t="s">
        <v>11</v>
      </c>
      <c r="C108">
        <v>50169</v>
      </c>
      <c r="D108" s="1">
        <v>11.2</v>
      </c>
      <c r="E108">
        <v>8.8000000000000007</v>
      </c>
      <c r="F108" s="2">
        <v>-2.2000000000000002</v>
      </c>
      <c r="G108">
        <f>D108-E108</f>
        <v>2.3999999999999986</v>
      </c>
    </row>
    <row r="109" spans="1:7" x14ac:dyDescent="0.25">
      <c r="A109" t="s">
        <v>62</v>
      </c>
      <c r="B109" t="s">
        <v>17</v>
      </c>
      <c r="C109">
        <v>106927</v>
      </c>
      <c r="D109" s="1">
        <v>13</v>
      </c>
      <c r="E109">
        <v>10.7</v>
      </c>
      <c r="F109" s="2">
        <v>-0.9</v>
      </c>
      <c r="G109">
        <f>D109-E109</f>
        <v>2.3000000000000007</v>
      </c>
    </row>
    <row r="110" spans="1:7" x14ac:dyDescent="0.25">
      <c r="A110" t="s">
        <v>222</v>
      </c>
      <c r="B110" t="s">
        <v>13</v>
      </c>
      <c r="C110">
        <v>92655</v>
      </c>
      <c r="D110" s="1">
        <v>11.5</v>
      </c>
      <c r="E110">
        <v>9.1999999999999993</v>
      </c>
      <c r="F110" s="2">
        <v>4.8</v>
      </c>
      <c r="G110">
        <f>D110-E110</f>
        <v>2.3000000000000007</v>
      </c>
    </row>
    <row r="111" spans="1:7" x14ac:dyDescent="0.25">
      <c r="A111" t="s">
        <v>245</v>
      </c>
      <c r="B111" t="s">
        <v>31</v>
      </c>
      <c r="C111">
        <v>72357</v>
      </c>
      <c r="D111" s="1">
        <v>11.4</v>
      </c>
      <c r="E111">
        <v>9.1</v>
      </c>
      <c r="F111" s="2">
        <v>4.3</v>
      </c>
      <c r="G111">
        <f>D111-E111</f>
        <v>2.3000000000000007</v>
      </c>
    </row>
    <row r="112" spans="1:7" x14ac:dyDescent="0.25">
      <c r="A112" t="s">
        <v>334</v>
      </c>
      <c r="B112" t="s">
        <v>7</v>
      </c>
      <c r="C112">
        <v>97642</v>
      </c>
      <c r="D112" s="1">
        <v>11.8</v>
      </c>
      <c r="E112">
        <v>9.5</v>
      </c>
      <c r="F112" s="2">
        <v>0.1</v>
      </c>
      <c r="G112">
        <f>D112-E112</f>
        <v>2.3000000000000007</v>
      </c>
    </row>
    <row r="113" spans="1:7" x14ac:dyDescent="0.25">
      <c r="A113" t="s">
        <v>349</v>
      </c>
      <c r="B113" t="s">
        <v>46</v>
      </c>
      <c r="C113">
        <v>83691</v>
      </c>
      <c r="D113" s="1">
        <v>12.4</v>
      </c>
      <c r="E113">
        <v>10.1</v>
      </c>
      <c r="F113" s="2">
        <v>-1.7</v>
      </c>
      <c r="G113">
        <f>D113-E113</f>
        <v>2.3000000000000007</v>
      </c>
    </row>
    <row r="114" spans="1:7" x14ac:dyDescent="0.25">
      <c r="A114" t="s">
        <v>137</v>
      </c>
      <c r="B114" t="s">
        <v>7</v>
      </c>
      <c r="C114">
        <v>66162</v>
      </c>
      <c r="D114" s="1">
        <v>12.8</v>
      </c>
      <c r="E114">
        <v>10.6</v>
      </c>
      <c r="F114" s="2">
        <v>-2</v>
      </c>
      <c r="G114">
        <f>D114-E114</f>
        <v>2.2000000000000011</v>
      </c>
    </row>
    <row r="115" spans="1:7" x14ac:dyDescent="0.25">
      <c r="A115" t="s">
        <v>359</v>
      </c>
      <c r="B115" t="s">
        <v>29</v>
      </c>
      <c r="C115">
        <v>110400</v>
      </c>
      <c r="D115" s="1">
        <v>11.3</v>
      </c>
      <c r="E115">
        <v>9.1</v>
      </c>
      <c r="F115" s="2">
        <v>12.5</v>
      </c>
      <c r="G115">
        <f>D115-E115</f>
        <v>2.2000000000000011</v>
      </c>
    </row>
    <row r="116" spans="1:7" x14ac:dyDescent="0.25">
      <c r="A116" t="s">
        <v>70</v>
      </c>
      <c r="B116" t="s">
        <v>19</v>
      </c>
      <c r="C116">
        <v>79937</v>
      </c>
      <c r="D116" s="1">
        <v>11.1</v>
      </c>
      <c r="E116">
        <v>8.9</v>
      </c>
      <c r="F116" s="2">
        <v>2.2000000000000002</v>
      </c>
      <c r="G116">
        <f>D116-E116</f>
        <v>2.1999999999999993</v>
      </c>
    </row>
    <row r="117" spans="1:7" x14ac:dyDescent="0.25">
      <c r="A117" t="s">
        <v>115</v>
      </c>
      <c r="B117" t="s">
        <v>19</v>
      </c>
      <c r="C117">
        <v>65049</v>
      </c>
      <c r="D117" s="1">
        <v>11.5</v>
      </c>
      <c r="E117">
        <v>9.3000000000000007</v>
      </c>
      <c r="F117" s="2">
        <v>3.8</v>
      </c>
      <c r="G117">
        <f>D117-E117</f>
        <v>2.1999999999999993</v>
      </c>
    </row>
    <row r="118" spans="1:7" x14ac:dyDescent="0.25">
      <c r="A118" t="s">
        <v>132</v>
      </c>
      <c r="B118" t="s">
        <v>26</v>
      </c>
      <c r="C118">
        <v>26608</v>
      </c>
      <c r="D118" s="1">
        <v>9.1999999999999993</v>
      </c>
      <c r="E118">
        <v>7</v>
      </c>
      <c r="F118" s="2">
        <v>-0.9</v>
      </c>
      <c r="G118">
        <f>D118-E118</f>
        <v>2.1999999999999993</v>
      </c>
    </row>
    <row r="119" spans="1:7" x14ac:dyDescent="0.25">
      <c r="A119" t="s">
        <v>224</v>
      </c>
      <c r="B119" t="s">
        <v>17</v>
      </c>
      <c r="C119">
        <v>144294</v>
      </c>
      <c r="D119" s="1">
        <v>12.7</v>
      </c>
      <c r="E119">
        <v>10.5</v>
      </c>
      <c r="F119" s="2">
        <v>5</v>
      </c>
      <c r="G119">
        <f>D119-E119</f>
        <v>2.1999999999999993</v>
      </c>
    </row>
    <row r="120" spans="1:7" x14ac:dyDescent="0.25">
      <c r="A120" t="s">
        <v>255</v>
      </c>
      <c r="B120" t="s">
        <v>17</v>
      </c>
      <c r="C120">
        <v>84578</v>
      </c>
      <c r="D120" s="1">
        <v>12.5</v>
      </c>
      <c r="E120">
        <v>10.3</v>
      </c>
      <c r="F120" s="2">
        <v>1.4</v>
      </c>
      <c r="G120">
        <f>D120-E120</f>
        <v>2.1999999999999993</v>
      </c>
    </row>
    <row r="121" spans="1:7" x14ac:dyDescent="0.25">
      <c r="A121" t="s">
        <v>289</v>
      </c>
      <c r="B121" t="s">
        <v>17</v>
      </c>
      <c r="C121">
        <v>147212</v>
      </c>
      <c r="D121" s="1">
        <v>11.7</v>
      </c>
      <c r="E121">
        <v>9.5</v>
      </c>
      <c r="F121" s="2">
        <v>2.2000000000000002</v>
      </c>
      <c r="G121">
        <f>D121-E121</f>
        <v>2.1999999999999993</v>
      </c>
    </row>
    <row r="122" spans="1:7" x14ac:dyDescent="0.25">
      <c r="A122" t="s">
        <v>71</v>
      </c>
      <c r="B122" t="s">
        <v>7</v>
      </c>
      <c r="C122">
        <v>45281</v>
      </c>
      <c r="D122" s="1">
        <v>11.9</v>
      </c>
      <c r="E122">
        <v>9.8000000000000007</v>
      </c>
      <c r="F122" s="2">
        <v>-1.4</v>
      </c>
      <c r="G122">
        <f>D122-E122</f>
        <v>2.0999999999999996</v>
      </c>
    </row>
    <row r="123" spans="1:7" x14ac:dyDescent="0.25">
      <c r="A123" t="s">
        <v>82</v>
      </c>
      <c r="B123" t="s">
        <v>19</v>
      </c>
      <c r="C123">
        <v>60595</v>
      </c>
      <c r="D123" s="1">
        <v>11.6</v>
      </c>
      <c r="E123">
        <v>9.5</v>
      </c>
      <c r="F123" s="2">
        <v>-1.8</v>
      </c>
      <c r="G123">
        <f>D123-E123</f>
        <v>2.0999999999999996</v>
      </c>
    </row>
    <row r="124" spans="1:7" x14ac:dyDescent="0.25">
      <c r="A124" t="s">
        <v>325</v>
      </c>
      <c r="B124" t="s">
        <v>75</v>
      </c>
      <c r="C124">
        <v>49789</v>
      </c>
      <c r="D124" s="1">
        <v>11.7</v>
      </c>
      <c r="E124">
        <v>9.6</v>
      </c>
      <c r="F124" s="2">
        <v>-3.3</v>
      </c>
      <c r="G124">
        <f>D124-E124</f>
        <v>2.0999999999999996</v>
      </c>
    </row>
    <row r="125" spans="1:7" x14ac:dyDescent="0.25">
      <c r="A125" t="s">
        <v>332</v>
      </c>
      <c r="B125" t="s">
        <v>19</v>
      </c>
      <c r="C125">
        <v>48470</v>
      </c>
      <c r="D125" s="1">
        <v>11.4</v>
      </c>
      <c r="E125">
        <v>9.3000000000000007</v>
      </c>
      <c r="F125" s="2">
        <v>-3.2</v>
      </c>
      <c r="G125">
        <f>D125-E125</f>
        <v>2.0999999999999996</v>
      </c>
    </row>
    <row r="126" spans="1:7" x14ac:dyDescent="0.25">
      <c r="A126" t="s">
        <v>45</v>
      </c>
      <c r="B126" t="s">
        <v>46</v>
      </c>
      <c r="C126">
        <v>47389</v>
      </c>
      <c r="D126" s="1">
        <v>12.1</v>
      </c>
      <c r="E126">
        <v>10.1</v>
      </c>
      <c r="F126" s="2">
        <v>0.1</v>
      </c>
      <c r="G126">
        <f>D126-E126</f>
        <v>2</v>
      </c>
    </row>
    <row r="127" spans="1:7" x14ac:dyDescent="0.25">
      <c r="A127" t="s">
        <v>101</v>
      </c>
      <c r="B127" t="s">
        <v>46</v>
      </c>
      <c r="C127">
        <v>55903</v>
      </c>
      <c r="D127" s="1">
        <v>11.3</v>
      </c>
      <c r="E127">
        <v>9.3000000000000007</v>
      </c>
      <c r="F127" s="2">
        <v>-0.9</v>
      </c>
      <c r="G127">
        <f>D127-E127</f>
        <v>2</v>
      </c>
    </row>
    <row r="128" spans="1:7" x14ac:dyDescent="0.25">
      <c r="A128" t="s">
        <v>103</v>
      </c>
      <c r="B128" t="s">
        <v>39</v>
      </c>
      <c r="C128">
        <v>201643</v>
      </c>
      <c r="D128" s="1">
        <v>11.2</v>
      </c>
      <c r="E128">
        <v>9.1999999999999993</v>
      </c>
      <c r="F128" s="2">
        <v>2.9</v>
      </c>
      <c r="G128">
        <f>D128-E128</f>
        <v>2</v>
      </c>
    </row>
    <row r="129" spans="1:7" x14ac:dyDescent="0.25">
      <c r="A129" t="s">
        <v>134</v>
      </c>
      <c r="B129" t="s">
        <v>26</v>
      </c>
      <c r="C129">
        <v>69105</v>
      </c>
      <c r="D129" s="1">
        <v>10.5</v>
      </c>
      <c r="E129">
        <v>8.5</v>
      </c>
      <c r="F129" s="2">
        <v>-1.8</v>
      </c>
      <c r="G129">
        <f>D129-E129</f>
        <v>2</v>
      </c>
    </row>
    <row r="130" spans="1:7" x14ac:dyDescent="0.25">
      <c r="A130" t="s">
        <v>173</v>
      </c>
      <c r="B130" t="s">
        <v>46</v>
      </c>
      <c r="C130">
        <v>79516</v>
      </c>
      <c r="D130" s="1">
        <v>10.1</v>
      </c>
      <c r="E130">
        <v>8.1</v>
      </c>
      <c r="F130" s="2">
        <v>-6.3</v>
      </c>
      <c r="G130">
        <f>D130-E130</f>
        <v>2</v>
      </c>
    </row>
    <row r="131" spans="1:7" x14ac:dyDescent="0.25">
      <c r="A131" t="s">
        <v>254</v>
      </c>
      <c r="B131" t="s">
        <v>11</v>
      </c>
      <c r="C131">
        <v>104506</v>
      </c>
      <c r="D131" s="1">
        <v>11.6</v>
      </c>
      <c r="E131">
        <v>9.6</v>
      </c>
      <c r="F131" s="2">
        <v>-3.7</v>
      </c>
      <c r="G131">
        <f>D131-E131</f>
        <v>2</v>
      </c>
    </row>
    <row r="132" spans="1:7" x14ac:dyDescent="0.25">
      <c r="A132" t="s">
        <v>109</v>
      </c>
      <c r="B132" t="s">
        <v>19</v>
      </c>
      <c r="C132">
        <v>77095</v>
      </c>
      <c r="D132" s="1">
        <v>10.6</v>
      </c>
      <c r="E132">
        <v>8.6999999999999993</v>
      </c>
      <c r="F132" s="2">
        <v>0.8</v>
      </c>
      <c r="G132">
        <f>D132-E132</f>
        <v>1.9000000000000004</v>
      </c>
    </row>
    <row r="133" spans="1:7" x14ac:dyDescent="0.25">
      <c r="A133" t="s">
        <v>121</v>
      </c>
      <c r="B133" t="s">
        <v>26</v>
      </c>
      <c r="C133">
        <v>110849</v>
      </c>
      <c r="D133" s="1">
        <v>11.1</v>
      </c>
      <c r="E133">
        <v>9.1999999999999993</v>
      </c>
      <c r="F133" s="2">
        <v>-0.1</v>
      </c>
      <c r="G133">
        <f>D133-E133</f>
        <v>1.9000000000000004</v>
      </c>
    </row>
    <row r="134" spans="1:7" x14ac:dyDescent="0.25">
      <c r="A134" t="s">
        <v>217</v>
      </c>
      <c r="B134" t="s">
        <v>42</v>
      </c>
      <c r="C134">
        <v>62842</v>
      </c>
      <c r="D134" s="1">
        <v>11.3</v>
      </c>
      <c r="E134">
        <v>9.4</v>
      </c>
      <c r="F134" s="2">
        <v>1</v>
      </c>
      <c r="G134">
        <f>D134-E134</f>
        <v>1.9000000000000004</v>
      </c>
    </row>
    <row r="135" spans="1:7" x14ac:dyDescent="0.25">
      <c r="A135" t="s">
        <v>220</v>
      </c>
      <c r="B135" t="s">
        <v>75</v>
      </c>
      <c r="C135">
        <v>58250</v>
      </c>
      <c r="D135" s="1">
        <v>11.3</v>
      </c>
      <c r="E135">
        <v>9.4</v>
      </c>
      <c r="F135" s="2">
        <v>-2.4</v>
      </c>
      <c r="G135">
        <f>D135-E135</f>
        <v>1.9000000000000004</v>
      </c>
    </row>
    <row r="136" spans="1:7" x14ac:dyDescent="0.25">
      <c r="A136" t="s">
        <v>235</v>
      </c>
      <c r="B136" t="s">
        <v>11</v>
      </c>
      <c r="C136">
        <v>33444</v>
      </c>
      <c r="D136" s="1">
        <v>11.8</v>
      </c>
      <c r="E136">
        <v>9.9</v>
      </c>
      <c r="F136" s="2">
        <v>-6</v>
      </c>
      <c r="G136">
        <f>D136-E136</f>
        <v>1.9000000000000004</v>
      </c>
    </row>
    <row r="137" spans="1:7" x14ac:dyDescent="0.25">
      <c r="A137" t="s">
        <v>258</v>
      </c>
      <c r="B137" t="s">
        <v>46</v>
      </c>
      <c r="C137">
        <v>54973</v>
      </c>
      <c r="D137" s="1">
        <v>11.9</v>
      </c>
      <c r="E137">
        <v>10</v>
      </c>
      <c r="F137" s="2">
        <v>1.1000000000000001</v>
      </c>
      <c r="G137">
        <f>D137-E137</f>
        <v>1.9000000000000004</v>
      </c>
    </row>
    <row r="138" spans="1:7" x14ac:dyDescent="0.25">
      <c r="A138" t="s">
        <v>113</v>
      </c>
      <c r="B138" t="s">
        <v>46</v>
      </c>
      <c r="C138">
        <v>78205</v>
      </c>
      <c r="D138" s="1">
        <v>11.4</v>
      </c>
      <c r="E138">
        <v>9.6</v>
      </c>
      <c r="F138" s="2">
        <v>-0.7</v>
      </c>
      <c r="G138">
        <f>D138-E138</f>
        <v>1.8000000000000007</v>
      </c>
    </row>
    <row r="139" spans="1:7" x14ac:dyDescent="0.25">
      <c r="A139" t="s">
        <v>165</v>
      </c>
      <c r="B139" t="s">
        <v>75</v>
      </c>
      <c r="C139">
        <v>125383</v>
      </c>
      <c r="D139" s="1">
        <v>11</v>
      </c>
      <c r="E139">
        <v>9.1999999999999993</v>
      </c>
      <c r="F139" s="2">
        <v>-1.6</v>
      </c>
      <c r="G139">
        <f>D139-E139</f>
        <v>1.8000000000000007</v>
      </c>
    </row>
    <row r="140" spans="1:7" x14ac:dyDescent="0.25">
      <c r="A140" t="s">
        <v>287</v>
      </c>
      <c r="B140" t="s">
        <v>19</v>
      </c>
      <c r="C140">
        <v>39930</v>
      </c>
      <c r="D140" s="1">
        <v>11.5</v>
      </c>
      <c r="E140">
        <v>9.6999999999999993</v>
      </c>
      <c r="F140" s="2">
        <v>-2.2999999999999998</v>
      </c>
      <c r="G140">
        <f>D140-E140</f>
        <v>1.8000000000000007</v>
      </c>
    </row>
    <row r="141" spans="1:7" x14ac:dyDescent="0.25">
      <c r="A141" t="s">
        <v>312</v>
      </c>
      <c r="B141" t="s">
        <v>46</v>
      </c>
      <c r="C141">
        <v>58516</v>
      </c>
      <c r="D141" s="1">
        <v>11.5</v>
      </c>
      <c r="E141">
        <v>9.6999999999999993</v>
      </c>
      <c r="F141" s="2">
        <v>-2.5</v>
      </c>
      <c r="G141">
        <f>D141-E141</f>
        <v>1.8000000000000007</v>
      </c>
    </row>
    <row r="142" spans="1:7" x14ac:dyDescent="0.25">
      <c r="A142" t="s">
        <v>321</v>
      </c>
      <c r="B142" t="s">
        <v>19</v>
      </c>
      <c r="C142">
        <v>119340</v>
      </c>
      <c r="D142" s="1">
        <v>11</v>
      </c>
      <c r="E142">
        <v>9.1999999999999993</v>
      </c>
      <c r="F142" s="2">
        <v>-0.6</v>
      </c>
      <c r="G142">
        <f>D142-E142</f>
        <v>1.8000000000000007</v>
      </c>
    </row>
    <row r="143" spans="1:7" x14ac:dyDescent="0.25">
      <c r="A143" t="s">
        <v>57</v>
      </c>
      <c r="B143" t="s">
        <v>19</v>
      </c>
      <c r="C143">
        <v>57485</v>
      </c>
      <c r="D143" s="1">
        <v>11.2</v>
      </c>
      <c r="E143">
        <v>9.4</v>
      </c>
      <c r="F143" s="2">
        <v>-3.6</v>
      </c>
      <c r="G143">
        <f>D143-E143</f>
        <v>1.7999999999999989</v>
      </c>
    </row>
    <row r="144" spans="1:7" x14ac:dyDescent="0.25">
      <c r="A144" t="s">
        <v>79</v>
      </c>
      <c r="B144" t="s">
        <v>17</v>
      </c>
      <c r="C144">
        <v>81923</v>
      </c>
      <c r="D144" s="1">
        <v>12.3</v>
      </c>
      <c r="E144">
        <v>10.6</v>
      </c>
      <c r="F144" s="2">
        <v>13.7</v>
      </c>
      <c r="G144">
        <f>D144-E144</f>
        <v>1.7000000000000011</v>
      </c>
    </row>
    <row r="145" spans="1:7" x14ac:dyDescent="0.25">
      <c r="A145" t="s">
        <v>83</v>
      </c>
      <c r="B145" t="s">
        <v>19</v>
      </c>
      <c r="C145">
        <v>82830</v>
      </c>
      <c r="D145" s="1">
        <v>10.8</v>
      </c>
      <c r="E145">
        <v>9.1</v>
      </c>
      <c r="F145" s="2">
        <v>-2.8</v>
      </c>
      <c r="G145">
        <f>D145-E145</f>
        <v>1.7000000000000011</v>
      </c>
    </row>
    <row r="146" spans="1:7" x14ac:dyDescent="0.25">
      <c r="A146" t="s">
        <v>234</v>
      </c>
      <c r="B146" t="s">
        <v>35</v>
      </c>
      <c r="C146">
        <v>43814</v>
      </c>
      <c r="D146" s="1">
        <v>10.8</v>
      </c>
      <c r="E146">
        <v>9.1</v>
      </c>
      <c r="F146" s="2">
        <v>-2.7</v>
      </c>
      <c r="G146">
        <f>D146-E146</f>
        <v>1.7000000000000011</v>
      </c>
    </row>
    <row r="147" spans="1:7" x14ac:dyDescent="0.25">
      <c r="A147" t="s">
        <v>333</v>
      </c>
      <c r="B147" t="s">
        <v>75</v>
      </c>
      <c r="C147">
        <v>56038</v>
      </c>
      <c r="D147" s="1">
        <v>11.8</v>
      </c>
      <c r="E147">
        <v>10.1</v>
      </c>
      <c r="F147" s="2">
        <v>0</v>
      </c>
      <c r="G147">
        <f>D147-E147</f>
        <v>1.7000000000000011</v>
      </c>
    </row>
    <row r="148" spans="1:7" x14ac:dyDescent="0.25">
      <c r="A148" t="s">
        <v>60</v>
      </c>
      <c r="B148" t="s">
        <v>11</v>
      </c>
      <c r="C148">
        <v>56389</v>
      </c>
      <c r="D148" s="1">
        <v>11.6</v>
      </c>
      <c r="E148">
        <v>9.9</v>
      </c>
      <c r="F148" s="2">
        <v>-2</v>
      </c>
      <c r="G148">
        <f>D148-E148</f>
        <v>1.6999999999999993</v>
      </c>
    </row>
    <row r="149" spans="1:7" x14ac:dyDescent="0.25">
      <c r="A149" t="s">
        <v>117</v>
      </c>
      <c r="B149" t="s">
        <v>29</v>
      </c>
      <c r="C149">
        <v>253344</v>
      </c>
      <c r="D149" s="1">
        <v>11.2</v>
      </c>
      <c r="E149">
        <v>9.5</v>
      </c>
      <c r="F149" s="2">
        <v>9.9</v>
      </c>
      <c r="G149">
        <f>D149-E149</f>
        <v>1.6999999999999993</v>
      </c>
    </row>
    <row r="150" spans="1:7" x14ac:dyDescent="0.25">
      <c r="A150" t="s">
        <v>237</v>
      </c>
      <c r="B150" t="s">
        <v>17</v>
      </c>
      <c r="C150">
        <v>76583</v>
      </c>
      <c r="D150" s="1">
        <v>11.2</v>
      </c>
      <c r="E150">
        <v>9.5</v>
      </c>
      <c r="F150" s="2">
        <v>2.7</v>
      </c>
      <c r="G150">
        <f>D150-E150</f>
        <v>1.6999999999999993</v>
      </c>
    </row>
    <row r="151" spans="1:7" x14ac:dyDescent="0.25">
      <c r="A151" t="s">
        <v>269</v>
      </c>
      <c r="B151" t="s">
        <v>46</v>
      </c>
      <c r="C151">
        <v>62407</v>
      </c>
      <c r="D151" s="1">
        <v>11.2</v>
      </c>
      <c r="E151">
        <v>9.5</v>
      </c>
      <c r="F151" s="2">
        <v>-0.6</v>
      </c>
      <c r="G151">
        <f>D151-E151</f>
        <v>1.6999999999999993</v>
      </c>
    </row>
    <row r="152" spans="1:7" x14ac:dyDescent="0.25">
      <c r="A152" t="s">
        <v>278</v>
      </c>
      <c r="B152" t="s">
        <v>17</v>
      </c>
      <c r="C152">
        <v>150270</v>
      </c>
      <c r="D152" s="1">
        <v>11.2</v>
      </c>
      <c r="E152">
        <v>9.5</v>
      </c>
      <c r="F152" s="2">
        <v>9.5</v>
      </c>
      <c r="G152">
        <f>D152-E152</f>
        <v>1.6999999999999993</v>
      </c>
    </row>
    <row r="153" spans="1:7" x14ac:dyDescent="0.25">
      <c r="A153" t="s">
        <v>299</v>
      </c>
      <c r="B153" t="s">
        <v>26</v>
      </c>
      <c r="C153">
        <v>164900</v>
      </c>
      <c r="D153" s="1">
        <v>11.2</v>
      </c>
      <c r="E153">
        <v>9.5</v>
      </c>
      <c r="F153" s="2">
        <v>5.4</v>
      </c>
      <c r="G153">
        <f>D153-E153</f>
        <v>1.6999999999999993</v>
      </c>
    </row>
    <row r="154" spans="1:7" x14ac:dyDescent="0.25">
      <c r="A154" t="s">
        <v>386</v>
      </c>
      <c r="B154" t="s">
        <v>7</v>
      </c>
      <c r="C154">
        <v>69985</v>
      </c>
      <c r="D154" s="1">
        <v>11.6</v>
      </c>
      <c r="E154">
        <v>9.9</v>
      </c>
      <c r="F154" s="2">
        <v>-0.4</v>
      </c>
      <c r="G154">
        <f>D154-E154</f>
        <v>1.6999999999999993</v>
      </c>
    </row>
    <row r="155" spans="1:7" x14ac:dyDescent="0.25">
      <c r="A155" t="s">
        <v>208</v>
      </c>
      <c r="B155" t="s">
        <v>7</v>
      </c>
      <c r="C155">
        <v>205718</v>
      </c>
      <c r="D155" s="1">
        <v>10.8</v>
      </c>
      <c r="E155">
        <v>9.1999999999999993</v>
      </c>
      <c r="F155" s="2">
        <v>-3</v>
      </c>
      <c r="G155">
        <f>D155-E155</f>
        <v>1.6000000000000014</v>
      </c>
    </row>
    <row r="156" spans="1:7" x14ac:dyDescent="0.25">
      <c r="A156" t="s">
        <v>293</v>
      </c>
      <c r="B156" t="s">
        <v>46</v>
      </c>
      <c r="C156">
        <v>59826</v>
      </c>
      <c r="D156" s="1">
        <v>11.8</v>
      </c>
      <c r="E156">
        <v>10.199999999999999</v>
      </c>
      <c r="F156" s="2">
        <v>0.6</v>
      </c>
      <c r="G156">
        <f>D156-E156</f>
        <v>1.6000000000000014</v>
      </c>
    </row>
    <row r="157" spans="1:7" x14ac:dyDescent="0.25">
      <c r="A157" t="s">
        <v>354</v>
      </c>
      <c r="B157" t="s">
        <v>19</v>
      </c>
      <c r="C157">
        <v>54098</v>
      </c>
      <c r="D157" s="1">
        <v>10.8</v>
      </c>
      <c r="E157">
        <v>9.1999999999999993</v>
      </c>
      <c r="F157" s="2">
        <v>-3.3</v>
      </c>
      <c r="G157">
        <f>D157-E157</f>
        <v>1.6000000000000014</v>
      </c>
    </row>
    <row r="158" spans="1:7" x14ac:dyDescent="0.25">
      <c r="A158" t="s">
        <v>240</v>
      </c>
      <c r="B158" t="s">
        <v>75</v>
      </c>
      <c r="C158">
        <v>86890</v>
      </c>
      <c r="D158" s="1">
        <v>11.9</v>
      </c>
      <c r="E158">
        <v>10.3</v>
      </c>
      <c r="F158" s="2">
        <v>-2</v>
      </c>
      <c r="G158">
        <f>D158-E158</f>
        <v>1.5999999999999996</v>
      </c>
    </row>
    <row r="159" spans="1:7" x14ac:dyDescent="0.25">
      <c r="A159" t="s">
        <v>296</v>
      </c>
      <c r="B159" t="s">
        <v>13</v>
      </c>
      <c r="C159">
        <v>74509</v>
      </c>
      <c r="D159" s="1">
        <v>11</v>
      </c>
      <c r="E159">
        <v>9.4</v>
      </c>
      <c r="F159" s="2">
        <v>3.1</v>
      </c>
      <c r="G159">
        <f>D159-E159</f>
        <v>1.5999999999999996</v>
      </c>
    </row>
    <row r="160" spans="1:7" x14ac:dyDescent="0.25">
      <c r="A160" t="s">
        <v>365</v>
      </c>
      <c r="B160" t="s">
        <v>13</v>
      </c>
      <c r="C160">
        <v>155982</v>
      </c>
      <c r="D160" s="1">
        <v>11.2</v>
      </c>
      <c r="E160">
        <v>9.6</v>
      </c>
      <c r="F160" s="2">
        <v>0.6</v>
      </c>
      <c r="G160">
        <f>D160-E160</f>
        <v>1.5999999999999996</v>
      </c>
    </row>
    <row r="161" spans="1:7" x14ac:dyDescent="0.25">
      <c r="A161" t="s">
        <v>18</v>
      </c>
      <c r="B161" t="s">
        <v>19</v>
      </c>
      <c r="C161">
        <v>48261</v>
      </c>
      <c r="D161" s="1">
        <v>11.7</v>
      </c>
      <c r="E161">
        <v>10.199999999999999</v>
      </c>
      <c r="F161" s="2">
        <v>-1</v>
      </c>
      <c r="G161">
        <f>D161-E161</f>
        <v>1.5</v>
      </c>
    </row>
    <row r="162" spans="1:7" x14ac:dyDescent="0.25">
      <c r="A162" t="s">
        <v>32</v>
      </c>
      <c r="B162" t="s">
        <v>11</v>
      </c>
      <c r="C162">
        <v>42927</v>
      </c>
      <c r="D162" s="1">
        <v>11.5</v>
      </c>
      <c r="E162">
        <v>10</v>
      </c>
      <c r="F162" s="2">
        <v>-5</v>
      </c>
      <c r="G162">
        <f>D162-E162</f>
        <v>1.5</v>
      </c>
    </row>
    <row r="163" spans="1:7" x14ac:dyDescent="0.25">
      <c r="A163" t="s">
        <v>48</v>
      </c>
      <c r="B163" t="s">
        <v>19</v>
      </c>
      <c r="C163">
        <v>49705</v>
      </c>
      <c r="D163" s="1">
        <v>12.1</v>
      </c>
      <c r="E163">
        <v>10.6</v>
      </c>
      <c r="F163" s="2">
        <v>-2.2999999999999998</v>
      </c>
      <c r="G163">
        <f>D163-E163</f>
        <v>1.5</v>
      </c>
    </row>
    <row r="164" spans="1:7" x14ac:dyDescent="0.25">
      <c r="A164" t="s">
        <v>64</v>
      </c>
      <c r="B164" t="s">
        <v>11</v>
      </c>
      <c r="C164">
        <v>56522</v>
      </c>
      <c r="D164" s="1">
        <v>11.3</v>
      </c>
      <c r="E164">
        <v>9.8000000000000007</v>
      </c>
      <c r="F164" s="2">
        <v>-2.7</v>
      </c>
      <c r="G164">
        <f>D164-E164</f>
        <v>1.5</v>
      </c>
    </row>
    <row r="165" spans="1:7" x14ac:dyDescent="0.25">
      <c r="A165" t="s">
        <v>107</v>
      </c>
      <c r="B165" t="s">
        <v>26</v>
      </c>
      <c r="C165">
        <v>61546</v>
      </c>
      <c r="D165" s="1">
        <v>10</v>
      </c>
      <c r="E165">
        <v>8.5</v>
      </c>
      <c r="F165" s="2">
        <v>-0.4</v>
      </c>
      <c r="G165">
        <f>D165-E165</f>
        <v>1.5</v>
      </c>
    </row>
    <row r="166" spans="1:7" x14ac:dyDescent="0.25">
      <c r="A166" t="s">
        <v>189</v>
      </c>
      <c r="B166" t="s">
        <v>17</v>
      </c>
      <c r="C166">
        <v>126542</v>
      </c>
      <c r="D166" s="1">
        <v>11</v>
      </c>
      <c r="E166">
        <v>9.5</v>
      </c>
      <c r="F166" s="2">
        <v>-3.2</v>
      </c>
      <c r="G166">
        <f>D166-E166</f>
        <v>1.5</v>
      </c>
    </row>
    <row r="167" spans="1:7" x14ac:dyDescent="0.25">
      <c r="A167" t="s">
        <v>248</v>
      </c>
      <c r="B167" t="s">
        <v>31</v>
      </c>
      <c r="C167">
        <v>104047</v>
      </c>
      <c r="D167" s="1">
        <v>11.2</v>
      </c>
      <c r="E167">
        <v>9.6999999999999993</v>
      </c>
      <c r="F167" s="2">
        <v>1.8</v>
      </c>
      <c r="G167">
        <f>D167-E167</f>
        <v>1.5</v>
      </c>
    </row>
    <row r="168" spans="1:7" x14ac:dyDescent="0.25">
      <c r="A168" t="s">
        <v>260</v>
      </c>
      <c r="B168" t="s">
        <v>17</v>
      </c>
      <c r="C168">
        <v>119607</v>
      </c>
      <c r="D168" s="1">
        <v>11.5</v>
      </c>
      <c r="E168">
        <v>10</v>
      </c>
      <c r="F168" s="2">
        <v>6.8</v>
      </c>
      <c r="G168">
        <f>D168-E168</f>
        <v>1.5</v>
      </c>
    </row>
    <row r="169" spans="1:7" x14ac:dyDescent="0.25">
      <c r="A169" t="s">
        <v>301</v>
      </c>
      <c r="B169" t="s">
        <v>26</v>
      </c>
      <c r="C169">
        <v>94857</v>
      </c>
      <c r="D169" s="1">
        <v>9.8000000000000007</v>
      </c>
      <c r="E169">
        <v>8.3000000000000007</v>
      </c>
      <c r="F169" s="2">
        <v>-1.5</v>
      </c>
      <c r="G169">
        <f>D169-E169</f>
        <v>1.5</v>
      </c>
    </row>
    <row r="170" spans="1:7" x14ac:dyDescent="0.25">
      <c r="A170" t="s">
        <v>347</v>
      </c>
      <c r="B170" t="s">
        <v>31</v>
      </c>
      <c r="C170">
        <v>79166</v>
      </c>
      <c r="D170" s="1">
        <v>11.6</v>
      </c>
      <c r="E170">
        <v>10.1</v>
      </c>
      <c r="F170" s="2">
        <v>5</v>
      </c>
      <c r="G170">
        <f>D170-E170</f>
        <v>1.5</v>
      </c>
    </row>
    <row r="171" spans="1:7" x14ac:dyDescent="0.25">
      <c r="A171" t="s">
        <v>181</v>
      </c>
      <c r="B171" t="s">
        <v>22</v>
      </c>
      <c r="C171">
        <v>349440</v>
      </c>
      <c r="D171" s="1">
        <v>10.9</v>
      </c>
      <c r="E171">
        <v>9.5</v>
      </c>
      <c r="F171" s="2">
        <v>-2.2999999999999998</v>
      </c>
      <c r="G171">
        <f>D171-E171</f>
        <v>1.4000000000000004</v>
      </c>
    </row>
    <row r="172" spans="1:7" x14ac:dyDescent="0.25">
      <c r="A172" t="s">
        <v>376</v>
      </c>
      <c r="B172" t="s">
        <v>9</v>
      </c>
      <c r="C172">
        <v>44385</v>
      </c>
      <c r="D172" s="1">
        <v>11.1</v>
      </c>
      <c r="E172">
        <v>9.6999999999999993</v>
      </c>
      <c r="F172" s="2">
        <v>-4.7</v>
      </c>
      <c r="G172">
        <f>D172-E172</f>
        <v>1.4000000000000004</v>
      </c>
    </row>
    <row r="173" spans="1:7" x14ac:dyDescent="0.25">
      <c r="A173" t="s">
        <v>90</v>
      </c>
      <c r="B173" t="s">
        <v>26</v>
      </c>
      <c r="C173">
        <v>121654</v>
      </c>
      <c r="D173" s="1">
        <v>10.7</v>
      </c>
      <c r="E173">
        <v>9.3000000000000007</v>
      </c>
      <c r="F173" s="2">
        <v>-1.3</v>
      </c>
      <c r="G173">
        <f>D173-E173</f>
        <v>1.3999999999999986</v>
      </c>
    </row>
    <row r="174" spans="1:7" x14ac:dyDescent="0.25">
      <c r="A174" t="s">
        <v>343</v>
      </c>
      <c r="B174" t="s">
        <v>29</v>
      </c>
      <c r="C174">
        <v>65298</v>
      </c>
      <c r="D174" s="1">
        <v>11</v>
      </c>
      <c r="E174">
        <v>9.6999999999999993</v>
      </c>
      <c r="F174" s="2">
        <v>1.7</v>
      </c>
      <c r="G174">
        <f>D174-E174</f>
        <v>1.3000000000000007</v>
      </c>
    </row>
    <row r="175" spans="1:7" x14ac:dyDescent="0.25">
      <c r="A175" t="s">
        <v>355</v>
      </c>
      <c r="B175" t="s">
        <v>17</v>
      </c>
      <c r="C175">
        <v>105185</v>
      </c>
      <c r="D175" s="1">
        <v>10.5</v>
      </c>
      <c r="E175">
        <v>9.1999999999999993</v>
      </c>
      <c r="F175" s="2">
        <v>11.2</v>
      </c>
      <c r="G175">
        <f>D175-E175</f>
        <v>1.3000000000000007</v>
      </c>
    </row>
    <row r="176" spans="1:7" x14ac:dyDescent="0.25">
      <c r="A176" t="s">
        <v>95</v>
      </c>
      <c r="B176" t="s">
        <v>46</v>
      </c>
      <c r="C176">
        <v>81166</v>
      </c>
      <c r="D176" s="1">
        <v>11.7</v>
      </c>
      <c r="E176">
        <v>10.4</v>
      </c>
      <c r="F176" s="2">
        <v>2.8</v>
      </c>
      <c r="G176">
        <f>D176-E176</f>
        <v>1.2999999999999989</v>
      </c>
    </row>
    <row r="177" spans="1:7" x14ac:dyDescent="0.25">
      <c r="A177" t="s">
        <v>162</v>
      </c>
      <c r="B177" t="s">
        <v>42</v>
      </c>
      <c r="C177">
        <v>456591</v>
      </c>
      <c r="D177" s="1">
        <v>11.1</v>
      </c>
      <c r="E177">
        <v>9.8000000000000007</v>
      </c>
      <c r="F177" s="2">
        <v>-0.2</v>
      </c>
      <c r="G177">
        <f>D177-E177</f>
        <v>1.2999999999999989</v>
      </c>
    </row>
    <row r="178" spans="1:7" x14ac:dyDescent="0.25">
      <c r="A178" t="s">
        <v>190</v>
      </c>
      <c r="B178" t="s">
        <v>46</v>
      </c>
      <c r="C178">
        <v>554221</v>
      </c>
      <c r="D178" s="1">
        <v>11.3</v>
      </c>
      <c r="E178">
        <v>10.1</v>
      </c>
      <c r="F178" s="2">
        <v>-5.3</v>
      </c>
      <c r="G178">
        <f>D178-E178</f>
        <v>1.2000000000000011</v>
      </c>
    </row>
    <row r="179" spans="1:7" x14ac:dyDescent="0.25">
      <c r="A179" t="s">
        <v>259</v>
      </c>
      <c r="B179" t="s">
        <v>29</v>
      </c>
      <c r="C179">
        <v>153602</v>
      </c>
      <c r="D179" s="1">
        <v>10.4</v>
      </c>
      <c r="E179">
        <v>9.1999999999999993</v>
      </c>
      <c r="F179" s="2">
        <v>0</v>
      </c>
      <c r="G179">
        <f>D179-E179</f>
        <v>1.2000000000000011</v>
      </c>
    </row>
    <row r="180" spans="1:7" x14ac:dyDescent="0.25">
      <c r="A180" t="s">
        <v>206</v>
      </c>
      <c r="B180" t="s">
        <v>26</v>
      </c>
      <c r="C180">
        <v>49419</v>
      </c>
      <c r="D180" s="1">
        <v>8.4</v>
      </c>
      <c r="E180">
        <v>7.2</v>
      </c>
      <c r="F180" s="2">
        <v>-5</v>
      </c>
      <c r="G180">
        <f>D180-E180</f>
        <v>1.2000000000000002</v>
      </c>
    </row>
    <row r="181" spans="1:7" x14ac:dyDescent="0.25">
      <c r="A181" t="s">
        <v>30</v>
      </c>
      <c r="B181" t="s">
        <v>31</v>
      </c>
      <c r="C181">
        <v>89051</v>
      </c>
      <c r="D181" s="1">
        <v>11</v>
      </c>
      <c r="E181">
        <v>9.8000000000000007</v>
      </c>
      <c r="F181" s="2">
        <v>-0.1</v>
      </c>
      <c r="G181">
        <f>D181-E181</f>
        <v>1.1999999999999993</v>
      </c>
    </row>
    <row r="182" spans="1:7" x14ac:dyDescent="0.25">
      <c r="A182" t="s">
        <v>172</v>
      </c>
      <c r="B182" t="s">
        <v>39</v>
      </c>
      <c r="C182">
        <v>204835</v>
      </c>
      <c r="D182" s="1">
        <v>10</v>
      </c>
      <c r="E182">
        <v>8.8000000000000007</v>
      </c>
      <c r="F182" s="2">
        <v>-4.0999999999999996</v>
      </c>
      <c r="G182">
        <f>D182-E182</f>
        <v>1.1999999999999993</v>
      </c>
    </row>
    <row r="183" spans="1:7" x14ac:dyDescent="0.25">
      <c r="A183" t="s">
        <v>34</v>
      </c>
      <c r="B183" t="s">
        <v>35</v>
      </c>
      <c r="C183">
        <v>92188</v>
      </c>
      <c r="D183" s="1">
        <v>10.8</v>
      </c>
      <c r="E183">
        <v>9.6999999999999993</v>
      </c>
      <c r="F183" s="2">
        <v>-0.5</v>
      </c>
      <c r="G183">
        <f>D183-E183</f>
        <v>1.1000000000000014</v>
      </c>
    </row>
    <row r="184" spans="1:7" x14ac:dyDescent="0.25">
      <c r="A184" t="s">
        <v>108</v>
      </c>
      <c r="B184" t="s">
        <v>9</v>
      </c>
      <c r="C184">
        <v>39053</v>
      </c>
      <c r="D184" s="1">
        <v>10.7</v>
      </c>
      <c r="E184">
        <v>9.6</v>
      </c>
      <c r="F184" s="2">
        <v>-5.9</v>
      </c>
      <c r="G184">
        <f>D184-E184</f>
        <v>1.0999999999999996</v>
      </c>
    </row>
    <row r="185" spans="1:7" x14ac:dyDescent="0.25">
      <c r="A185" t="s">
        <v>131</v>
      </c>
      <c r="B185" t="s">
        <v>31</v>
      </c>
      <c r="C185">
        <v>53618</v>
      </c>
      <c r="D185" s="1">
        <v>11.1</v>
      </c>
      <c r="E185">
        <v>10</v>
      </c>
      <c r="F185" s="2">
        <v>2.2999999999999998</v>
      </c>
      <c r="G185">
        <f>D185-E185</f>
        <v>1.0999999999999996</v>
      </c>
    </row>
    <row r="186" spans="1:7" x14ac:dyDescent="0.25">
      <c r="A186" t="s">
        <v>135</v>
      </c>
      <c r="B186" t="s">
        <v>11</v>
      </c>
      <c r="C186">
        <v>42501</v>
      </c>
      <c r="D186" s="1">
        <v>10.6</v>
      </c>
      <c r="E186">
        <v>9.5</v>
      </c>
      <c r="F186" s="2">
        <v>-2.8</v>
      </c>
      <c r="G186">
        <f>D186-E186</f>
        <v>1.0999999999999996</v>
      </c>
    </row>
    <row r="187" spans="1:7" x14ac:dyDescent="0.25">
      <c r="A187" t="s">
        <v>280</v>
      </c>
      <c r="B187" t="s">
        <v>26</v>
      </c>
      <c r="C187">
        <v>71231</v>
      </c>
      <c r="D187" s="1">
        <v>10.7</v>
      </c>
      <c r="E187">
        <v>9.6</v>
      </c>
      <c r="F187" s="2">
        <v>-1</v>
      </c>
      <c r="G187">
        <f>D187-E187</f>
        <v>1.0999999999999996</v>
      </c>
    </row>
    <row r="188" spans="1:7" x14ac:dyDescent="0.25">
      <c r="A188" t="s">
        <v>314</v>
      </c>
      <c r="B188" t="s">
        <v>17</v>
      </c>
      <c r="C188">
        <v>83928</v>
      </c>
      <c r="D188" s="1">
        <v>11.5</v>
      </c>
      <c r="E188">
        <v>10.4</v>
      </c>
      <c r="F188" s="2">
        <v>0.8</v>
      </c>
      <c r="G188">
        <f>D188-E188</f>
        <v>1.0999999999999996</v>
      </c>
    </row>
    <row r="189" spans="1:7" x14ac:dyDescent="0.25">
      <c r="A189" t="s">
        <v>361</v>
      </c>
      <c r="B189" t="s">
        <v>15</v>
      </c>
      <c r="C189">
        <v>42168</v>
      </c>
      <c r="D189" s="1">
        <v>12</v>
      </c>
      <c r="E189">
        <v>10.9</v>
      </c>
      <c r="F189" s="2">
        <v>-1.8</v>
      </c>
      <c r="G189">
        <f>D189-E189</f>
        <v>1.0999999999999996</v>
      </c>
    </row>
    <row r="190" spans="1:7" x14ac:dyDescent="0.25">
      <c r="A190" t="s">
        <v>51</v>
      </c>
      <c r="B190" t="s">
        <v>13</v>
      </c>
      <c r="C190">
        <v>172809</v>
      </c>
      <c r="D190" s="1">
        <v>11.2</v>
      </c>
      <c r="E190">
        <v>10.199999999999999</v>
      </c>
      <c r="F190" s="2">
        <v>2.8</v>
      </c>
      <c r="G190">
        <f>D190-E190</f>
        <v>1</v>
      </c>
    </row>
    <row r="191" spans="1:7" x14ac:dyDescent="0.25">
      <c r="A191" t="s">
        <v>55</v>
      </c>
      <c r="B191" t="s">
        <v>29</v>
      </c>
      <c r="C191">
        <v>58664</v>
      </c>
      <c r="D191" s="1">
        <v>10.199999999999999</v>
      </c>
      <c r="E191">
        <v>9.1999999999999993</v>
      </c>
      <c r="F191" s="2">
        <v>-1</v>
      </c>
      <c r="G191">
        <f>D191-E191</f>
        <v>1</v>
      </c>
    </row>
    <row r="192" spans="1:7" x14ac:dyDescent="0.25">
      <c r="A192" t="s">
        <v>78</v>
      </c>
      <c r="B192" t="s">
        <v>9</v>
      </c>
      <c r="C192">
        <v>49393</v>
      </c>
      <c r="D192" s="1">
        <v>10.5</v>
      </c>
      <c r="E192">
        <v>9.5</v>
      </c>
      <c r="F192" s="2">
        <v>-4.4000000000000004</v>
      </c>
      <c r="G192">
        <f>D192-E192</f>
        <v>1</v>
      </c>
    </row>
    <row r="193" spans="1:7" x14ac:dyDescent="0.25">
      <c r="A193" t="s">
        <v>80</v>
      </c>
      <c r="B193" t="s">
        <v>17</v>
      </c>
      <c r="C193">
        <v>96957</v>
      </c>
      <c r="D193" s="1">
        <v>12.4</v>
      </c>
      <c r="E193">
        <v>11.4</v>
      </c>
      <c r="F193" s="2">
        <v>1.2</v>
      </c>
      <c r="G193">
        <f>D193-E193</f>
        <v>1</v>
      </c>
    </row>
    <row r="194" spans="1:7" x14ac:dyDescent="0.25">
      <c r="A194" t="s">
        <v>139</v>
      </c>
      <c r="B194" t="s">
        <v>19</v>
      </c>
      <c r="C194">
        <v>38063</v>
      </c>
      <c r="D194" s="1">
        <v>11.6</v>
      </c>
      <c r="E194">
        <v>10.6</v>
      </c>
      <c r="F194" s="2">
        <v>-2.8</v>
      </c>
      <c r="G194">
        <f>D194-E194</f>
        <v>1</v>
      </c>
    </row>
    <row r="195" spans="1:7" x14ac:dyDescent="0.25">
      <c r="A195" t="s">
        <v>157</v>
      </c>
      <c r="B195" t="s">
        <v>22</v>
      </c>
      <c r="C195">
        <v>67650</v>
      </c>
      <c r="D195" s="1">
        <v>9.9</v>
      </c>
      <c r="E195">
        <v>8.9</v>
      </c>
      <c r="F195" s="2">
        <v>-3.6</v>
      </c>
      <c r="G195">
        <f>D195-E195</f>
        <v>1</v>
      </c>
    </row>
    <row r="196" spans="1:7" x14ac:dyDescent="0.25">
      <c r="A196" t="s">
        <v>231</v>
      </c>
      <c r="B196" t="s">
        <v>19</v>
      </c>
      <c r="C196">
        <v>67074</v>
      </c>
      <c r="D196" s="1">
        <v>10.7</v>
      </c>
      <c r="E196">
        <v>9.6999999999999993</v>
      </c>
      <c r="F196" s="2">
        <v>-0.9</v>
      </c>
      <c r="G196">
        <f>D196-E196</f>
        <v>1</v>
      </c>
    </row>
    <row r="197" spans="1:7" x14ac:dyDescent="0.25">
      <c r="A197" t="s">
        <v>375</v>
      </c>
      <c r="B197" t="s">
        <v>75</v>
      </c>
      <c r="C197">
        <v>81658</v>
      </c>
      <c r="D197" s="1">
        <v>11.1</v>
      </c>
      <c r="E197">
        <v>10.1</v>
      </c>
      <c r="F197" s="2">
        <v>-2.7</v>
      </c>
      <c r="G197">
        <f>D197-E197</f>
        <v>1</v>
      </c>
    </row>
    <row r="198" spans="1:7" x14ac:dyDescent="0.25">
      <c r="A198" t="s">
        <v>214</v>
      </c>
      <c r="B198" t="s">
        <v>75</v>
      </c>
      <c r="C198">
        <v>117503</v>
      </c>
      <c r="D198" s="1">
        <v>10.8</v>
      </c>
      <c r="E198">
        <v>9.9</v>
      </c>
      <c r="F198" s="2">
        <v>0.2</v>
      </c>
      <c r="G198">
        <f>D198-E198</f>
        <v>0.90000000000000036</v>
      </c>
    </row>
    <row r="199" spans="1:7" x14ac:dyDescent="0.25">
      <c r="A199" t="s">
        <v>281</v>
      </c>
      <c r="B199" t="s">
        <v>26</v>
      </c>
      <c r="C199">
        <v>78630</v>
      </c>
      <c r="D199" s="1">
        <v>11.4</v>
      </c>
      <c r="E199">
        <v>10.5</v>
      </c>
      <c r="F199" s="2">
        <v>-0.6</v>
      </c>
      <c r="G199">
        <f>D199-E199</f>
        <v>0.90000000000000036</v>
      </c>
    </row>
    <row r="200" spans="1:7" x14ac:dyDescent="0.25">
      <c r="A200" t="s">
        <v>317</v>
      </c>
      <c r="B200" t="s">
        <v>31</v>
      </c>
      <c r="C200">
        <v>50119</v>
      </c>
      <c r="D200" s="1">
        <v>11.4</v>
      </c>
      <c r="E200">
        <v>10.5</v>
      </c>
      <c r="F200" s="2">
        <v>4.8</v>
      </c>
      <c r="G200">
        <f>D200-E200</f>
        <v>0.90000000000000036</v>
      </c>
    </row>
    <row r="201" spans="1:7" x14ac:dyDescent="0.25">
      <c r="A201" t="s">
        <v>328</v>
      </c>
      <c r="B201" t="s">
        <v>75</v>
      </c>
      <c r="C201">
        <v>35492</v>
      </c>
      <c r="D201" s="1">
        <v>11.6</v>
      </c>
      <c r="E201">
        <v>10.7</v>
      </c>
      <c r="F201" s="2">
        <v>-2.2000000000000002</v>
      </c>
      <c r="G201">
        <f>D201-E201</f>
        <v>0.90000000000000036</v>
      </c>
    </row>
    <row r="202" spans="1:7" x14ac:dyDescent="0.25">
      <c r="A202" t="s">
        <v>378</v>
      </c>
      <c r="B202" t="s">
        <v>75</v>
      </c>
      <c r="C202">
        <v>98364</v>
      </c>
      <c r="D202" s="1">
        <v>11.3</v>
      </c>
      <c r="E202">
        <v>10.4</v>
      </c>
      <c r="F202" s="2">
        <v>-2.7</v>
      </c>
      <c r="G202">
        <f>D202-E202</f>
        <v>0.90000000000000036</v>
      </c>
    </row>
    <row r="203" spans="1:7" x14ac:dyDescent="0.25">
      <c r="A203" t="s">
        <v>110</v>
      </c>
      <c r="B203" t="s">
        <v>46</v>
      </c>
      <c r="C203">
        <v>88274</v>
      </c>
      <c r="D203" s="1">
        <v>11.7</v>
      </c>
      <c r="E203">
        <v>10.8</v>
      </c>
      <c r="F203" s="2">
        <v>-1.2</v>
      </c>
      <c r="G203">
        <f>D203-E203</f>
        <v>0.89999999999999858</v>
      </c>
    </row>
    <row r="204" spans="1:7" x14ac:dyDescent="0.25">
      <c r="A204" t="s">
        <v>175</v>
      </c>
      <c r="B204" t="s">
        <v>29</v>
      </c>
      <c r="C204">
        <v>755000</v>
      </c>
      <c r="D204" s="1">
        <v>10.7</v>
      </c>
      <c r="E204">
        <v>9.8000000000000007</v>
      </c>
      <c r="F204" s="2">
        <v>0.6</v>
      </c>
      <c r="G204">
        <f>D204-E204</f>
        <v>0.89999999999999858</v>
      </c>
    </row>
    <row r="205" spans="1:7" x14ac:dyDescent="0.25">
      <c r="A205" t="s">
        <v>252</v>
      </c>
      <c r="B205" t="s">
        <v>15</v>
      </c>
      <c r="C205">
        <v>78362</v>
      </c>
      <c r="D205" s="1">
        <v>11.7</v>
      </c>
      <c r="E205">
        <v>10.8</v>
      </c>
      <c r="F205" s="2">
        <v>-2.8</v>
      </c>
      <c r="G205">
        <f>D205-E205</f>
        <v>0.89999999999999858</v>
      </c>
    </row>
    <row r="206" spans="1:7" x14ac:dyDescent="0.25">
      <c r="A206" t="s">
        <v>371</v>
      </c>
      <c r="B206" t="s">
        <v>75</v>
      </c>
      <c r="C206">
        <v>39055</v>
      </c>
      <c r="D206" s="1">
        <v>10.7</v>
      </c>
      <c r="E206">
        <v>9.8000000000000007</v>
      </c>
      <c r="F206" s="2">
        <v>-0.9</v>
      </c>
      <c r="G206">
        <f>D206-E206</f>
        <v>0.89999999999999858</v>
      </c>
    </row>
    <row r="207" spans="1:7" x14ac:dyDescent="0.25">
      <c r="A207" t="s">
        <v>154</v>
      </c>
      <c r="B207" t="s">
        <v>13</v>
      </c>
      <c r="C207">
        <v>175402</v>
      </c>
      <c r="D207" s="1">
        <v>10.5</v>
      </c>
      <c r="E207">
        <v>9.6999999999999993</v>
      </c>
      <c r="F207" s="2">
        <v>-2.2999999999999998</v>
      </c>
      <c r="G207">
        <f>D207-E207</f>
        <v>0.80000000000000071</v>
      </c>
    </row>
    <row r="208" spans="1:7" x14ac:dyDescent="0.25">
      <c r="A208" t="s">
        <v>161</v>
      </c>
      <c r="B208" t="s">
        <v>11</v>
      </c>
      <c r="C208">
        <v>126419</v>
      </c>
      <c r="D208" s="1">
        <v>10.3</v>
      </c>
      <c r="E208">
        <v>9.5</v>
      </c>
      <c r="F208" s="2">
        <v>-1.9</v>
      </c>
      <c r="G208">
        <f>D208-E208</f>
        <v>0.80000000000000071</v>
      </c>
    </row>
    <row r="209" spans="1:7" x14ac:dyDescent="0.25">
      <c r="A209" t="s">
        <v>192</v>
      </c>
      <c r="B209" t="s">
        <v>17</v>
      </c>
      <c r="C209">
        <v>223397</v>
      </c>
      <c r="D209" s="1">
        <v>10.8</v>
      </c>
      <c r="E209">
        <v>10</v>
      </c>
      <c r="F209" s="2">
        <v>-4.4000000000000004</v>
      </c>
      <c r="G209">
        <f>D209-E209</f>
        <v>0.80000000000000071</v>
      </c>
    </row>
    <row r="210" spans="1:7" x14ac:dyDescent="0.25">
      <c r="A210" t="s">
        <v>339</v>
      </c>
      <c r="B210" t="s">
        <v>17</v>
      </c>
      <c r="C210">
        <v>39912</v>
      </c>
      <c r="D210" s="1">
        <v>11.5</v>
      </c>
      <c r="E210">
        <v>10.7</v>
      </c>
      <c r="F210" s="2">
        <v>-2</v>
      </c>
      <c r="G210">
        <f>D210-E210</f>
        <v>0.80000000000000071</v>
      </c>
    </row>
    <row r="211" spans="1:7" x14ac:dyDescent="0.25">
      <c r="A211" t="s">
        <v>389</v>
      </c>
      <c r="B211" t="s">
        <v>17</v>
      </c>
      <c r="C211">
        <v>75408</v>
      </c>
      <c r="D211" s="1">
        <v>13</v>
      </c>
      <c r="E211">
        <v>12.2</v>
      </c>
      <c r="F211" s="2">
        <v>2.2999999999999998</v>
      </c>
      <c r="G211">
        <f>D211-E211</f>
        <v>0.80000000000000071</v>
      </c>
    </row>
    <row r="212" spans="1:7" x14ac:dyDescent="0.25">
      <c r="A212" t="s">
        <v>176</v>
      </c>
      <c r="B212" t="s">
        <v>26</v>
      </c>
      <c r="C212">
        <v>47534</v>
      </c>
      <c r="D212" s="1">
        <v>9.1</v>
      </c>
      <c r="E212">
        <v>8.3000000000000007</v>
      </c>
      <c r="F212" s="2">
        <v>-2.2999999999999998</v>
      </c>
      <c r="G212">
        <f>D212-E212</f>
        <v>0.79999999999999893</v>
      </c>
    </row>
    <row r="213" spans="1:7" x14ac:dyDescent="0.25">
      <c r="A213" t="s">
        <v>292</v>
      </c>
      <c r="B213" t="s">
        <v>22</v>
      </c>
      <c r="C213">
        <v>60866</v>
      </c>
      <c r="D213" s="1">
        <v>11.7</v>
      </c>
      <c r="E213">
        <v>10.9</v>
      </c>
      <c r="F213" s="2">
        <v>-4</v>
      </c>
      <c r="G213">
        <f>D213-E213</f>
        <v>0.79999999999999893</v>
      </c>
    </row>
    <row r="214" spans="1:7" x14ac:dyDescent="0.25">
      <c r="A214" t="s">
        <v>144</v>
      </c>
      <c r="B214" t="s">
        <v>26</v>
      </c>
      <c r="C214">
        <v>56811</v>
      </c>
      <c r="D214" s="1">
        <v>10.4</v>
      </c>
      <c r="E214">
        <v>9.6999999999999993</v>
      </c>
      <c r="F214" s="2">
        <v>-1.8</v>
      </c>
      <c r="G214">
        <f>D214-E214</f>
        <v>0.70000000000000107</v>
      </c>
    </row>
    <row r="215" spans="1:7" x14ac:dyDescent="0.25">
      <c r="A215" t="s">
        <v>185</v>
      </c>
      <c r="B215" t="s">
        <v>35</v>
      </c>
      <c r="C215">
        <v>125792</v>
      </c>
      <c r="D215" s="1">
        <v>9.4</v>
      </c>
      <c r="E215">
        <v>8.6999999999999993</v>
      </c>
      <c r="F215" s="2">
        <v>-3.4</v>
      </c>
      <c r="G215">
        <f>D215-E215</f>
        <v>0.70000000000000107</v>
      </c>
    </row>
    <row r="216" spans="1:7" x14ac:dyDescent="0.25">
      <c r="A216" t="s">
        <v>319</v>
      </c>
      <c r="B216" t="s">
        <v>26</v>
      </c>
      <c r="C216">
        <v>107815</v>
      </c>
      <c r="D216" s="1">
        <v>9.3000000000000007</v>
      </c>
      <c r="E216">
        <v>8.6</v>
      </c>
      <c r="F216" s="2">
        <v>-3.9</v>
      </c>
      <c r="G216">
        <f>D216-E216</f>
        <v>0.70000000000000107</v>
      </c>
    </row>
    <row r="217" spans="1:7" x14ac:dyDescent="0.25">
      <c r="A217" t="s">
        <v>76</v>
      </c>
      <c r="B217" t="s">
        <v>17</v>
      </c>
      <c r="C217">
        <v>46766</v>
      </c>
      <c r="D217" s="1">
        <v>11.6</v>
      </c>
      <c r="E217">
        <v>10.9</v>
      </c>
      <c r="F217" s="2">
        <v>-2.7</v>
      </c>
      <c r="G217">
        <f>D217-E217</f>
        <v>0.69999999999999929</v>
      </c>
    </row>
    <row r="218" spans="1:7" x14ac:dyDescent="0.25">
      <c r="A218" t="s">
        <v>91</v>
      </c>
      <c r="B218" t="s">
        <v>26</v>
      </c>
      <c r="C218">
        <v>114689</v>
      </c>
      <c r="D218" s="1">
        <v>10.1</v>
      </c>
      <c r="E218">
        <v>9.4</v>
      </c>
      <c r="F218" s="2">
        <v>-1.3</v>
      </c>
      <c r="G218">
        <f>D218-E218</f>
        <v>0.69999999999999929</v>
      </c>
    </row>
    <row r="219" spans="1:7" x14ac:dyDescent="0.25">
      <c r="A219" t="s">
        <v>10</v>
      </c>
      <c r="B219" t="s">
        <v>11</v>
      </c>
      <c r="C219">
        <v>60128</v>
      </c>
      <c r="D219" s="1">
        <v>10.9</v>
      </c>
      <c r="E219">
        <v>10.3</v>
      </c>
      <c r="F219" s="2">
        <v>-6.1</v>
      </c>
      <c r="G219">
        <f>D219-E219</f>
        <v>0.59999999999999964</v>
      </c>
    </row>
    <row r="220" spans="1:7" x14ac:dyDescent="0.25">
      <c r="A220" t="s">
        <v>87</v>
      </c>
      <c r="B220" t="s">
        <v>7</v>
      </c>
      <c r="C220">
        <v>164112</v>
      </c>
      <c r="D220" s="1">
        <v>10.6</v>
      </c>
      <c r="E220">
        <v>10</v>
      </c>
      <c r="F220" s="2">
        <v>-1.6</v>
      </c>
      <c r="G220">
        <f>D220-E220</f>
        <v>0.59999999999999964</v>
      </c>
    </row>
    <row r="221" spans="1:7" x14ac:dyDescent="0.25">
      <c r="A221" t="s">
        <v>310</v>
      </c>
      <c r="B221" t="s">
        <v>19</v>
      </c>
      <c r="C221">
        <v>57298</v>
      </c>
      <c r="D221" s="1">
        <v>10.199999999999999</v>
      </c>
      <c r="E221">
        <v>9.6</v>
      </c>
      <c r="F221" s="2">
        <v>-2.9</v>
      </c>
      <c r="G221">
        <f>D221-E221</f>
        <v>0.59999999999999964</v>
      </c>
    </row>
    <row r="222" spans="1:7" x14ac:dyDescent="0.25">
      <c r="A222" t="s">
        <v>327</v>
      </c>
      <c r="B222" t="s">
        <v>26</v>
      </c>
      <c r="C222">
        <v>61897</v>
      </c>
      <c r="D222" s="1">
        <v>10.5</v>
      </c>
      <c r="E222">
        <v>9.9</v>
      </c>
      <c r="F222" s="2">
        <v>-0.9</v>
      </c>
      <c r="G222">
        <f>D222-E222</f>
        <v>0.59999999999999964</v>
      </c>
    </row>
    <row r="223" spans="1:7" x14ac:dyDescent="0.25">
      <c r="A223" t="s">
        <v>336</v>
      </c>
      <c r="B223" t="s">
        <v>19</v>
      </c>
      <c r="C223">
        <v>77053</v>
      </c>
      <c r="D223" s="1">
        <v>10.9</v>
      </c>
      <c r="E223">
        <v>10.3</v>
      </c>
      <c r="F223" s="2">
        <v>-1.4</v>
      </c>
      <c r="G223">
        <f>D223-E223</f>
        <v>0.59999999999999964</v>
      </c>
    </row>
    <row r="224" spans="1:7" x14ac:dyDescent="0.25">
      <c r="A224" t="s">
        <v>121</v>
      </c>
      <c r="B224" t="s">
        <v>75</v>
      </c>
      <c r="C224">
        <v>56131</v>
      </c>
      <c r="D224" s="1">
        <v>11</v>
      </c>
      <c r="E224">
        <v>10.5</v>
      </c>
      <c r="F224" s="2">
        <v>-2.7</v>
      </c>
      <c r="G224">
        <f>D224-E224</f>
        <v>0.5</v>
      </c>
    </row>
    <row r="225" spans="1:7" x14ac:dyDescent="0.25">
      <c r="A225" t="s">
        <v>166</v>
      </c>
      <c r="B225" t="s">
        <v>7</v>
      </c>
      <c r="C225">
        <v>99074</v>
      </c>
      <c r="D225" s="1">
        <v>10.7</v>
      </c>
      <c r="E225">
        <v>10.199999999999999</v>
      </c>
      <c r="F225" s="2">
        <v>-2.2000000000000002</v>
      </c>
      <c r="G225">
        <f>D225-E225</f>
        <v>0.5</v>
      </c>
    </row>
    <row r="226" spans="1:7" x14ac:dyDescent="0.25">
      <c r="A226" t="s">
        <v>174</v>
      </c>
      <c r="B226" t="s">
        <v>19</v>
      </c>
      <c r="C226">
        <v>106987</v>
      </c>
      <c r="D226" s="1">
        <v>9</v>
      </c>
      <c r="E226">
        <v>8.5</v>
      </c>
      <c r="F226" s="2">
        <v>-1.2</v>
      </c>
      <c r="G226">
        <f>D226-E226</f>
        <v>0.5</v>
      </c>
    </row>
    <row r="227" spans="1:7" x14ac:dyDescent="0.25">
      <c r="A227" t="s">
        <v>207</v>
      </c>
      <c r="B227" t="s">
        <v>29</v>
      </c>
      <c r="C227">
        <v>115158</v>
      </c>
      <c r="D227" s="1">
        <v>9</v>
      </c>
      <c r="E227">
        <v>8.5</v>
      </c>
      <c r="F227" s="2">
        <v>-3.1</v>
      </c>
      <c r="G227">
        <f>D227-E227</f>
        <v>0.5</v>
      </c>
    </row>
    <row r="228" spans="1:7" x14ac:dyDescent="0.25">
      <c r="A228" t="s">
        <v>216</v>
      </c>
      <c r="B228" t="s">
        <v>17</v>
      </c>
      <c r="C228">
        <v>46068</v>
      </c>
      <c r="D228" s="1">
        <v>13</v>
      </c>
      <c r="E228">
        <v>12.5</v>
      </c>
      <c r="F228" s="2">
        <v>-2.8</v>
      </c>
      <c r="G228">
        <f>D228-E228</f>
        <v>0.5</v>
      </c>
    </row>
    <row r="229" spans="1:7" x14ac:dyDescent="0.25">
      <c r="A229" t="s">
        <v>226</v>
      </c>
      <c r="B229" t="s">
        <v>7</v>
      </c>
      <c r="C229">
        <v>46877</v>
      </c>
      <c r="D229" s="1">
        <v>10.199999999999999</v>
      </c>
      <c r="E229">
        <v>9.6999999999999993</v>
      </c>
      <c r="F229" s="2">
        <v>-2.2999999999999998</v>
      </c>
      <c r="G229">
        <f>D229-E229</f>
        <v>0.5</v>
      </c>
    </row>
    <row r="230" spans="1:7" x14ac:dyDescent="0.25">
      <c r="A230" t="s">
        <v>249</v>
      </c>
      <c r="B230" t="s">
        <v>29</v>
      </c>
      <c r="C230">
        <v>113893</v>
      </c>
      <c r="D230" s="1">
        <v>9.9</v>
      </c>
      <c r="E230">
        <v>9.4</v>
      </c>
      <c r="F230" s="2">
        <v>-1.7</v>
      </c>
      <c r="G230">
        <f>D230-E230</f>
        <v>0.5</v>
      </c>
    </row>
    <row r="231" spans="1:7" x14ac:dyDescent="0.25">
      <c r="A231" t="s">
        <v>163</v>
      </c>
      <c r="B231" t="s">
        <v>42</v>
      </c>
      <c r="C231">
        <v>247859</v>
      </c>
      <c r="D231" s="1">
        <v>10</v>
      </c>
      <c r="E231">
        <v>9.6</v>
      </c>
      <c r="F231" s="2">
        <v>-3.8</v>
      </c>
      <c r="G231">
        <f>D231-E231</f>
        <v>0.40000000000000036</v>
      </c>
    </row>
    <row r="232" spans="1:7" x14ac:dyDescent="0.25">
      <c r="A232" t="s">
        <v>182</v>
      </c>
      <c r="B232" t="s">
        <v>13</v>
      </c>
      <c r="C232">
        <v>74893</v>
      </c>
      <c r="D232" s="1">
        <v>11</v>
      </c>
      <c r="E232">
        <v>10.6</v>
      </c>
      <c r="F232" s="2">
        <v>-1.5</v>
      </c>
      <c r="G232">
        <f>D232-E232</f>
        <v>0.40000000000000036</v>
      </c>
    </row>
    <row r="233" spans="1:7" x14ac:dyDescent="0.25">
      <c r="A233" t="s">
        <v>229</v>
      </c>
      <c r="B233" t="s">
        <v>17</v>
      </c>
      <c r="C233">
        <v>1714446</v>
      </c>
      <c r="D233" s="1">
        <v>11.1</v>
      </c>
      <c r="E233">
        <v>10.7</v>
      </c>
      <c r="F233" s="2">
        <v>2.2999999999999998</v>
      </c>
      <c r="G233">
        <f>D233-E233</f>
        <v>0.40000000000000036</v>
      </c>
    </row>
    <row r="234" spans="1:7" x14ac:dyDescent="0.25">
      <c r="A234" t="s">
        <v>298</v>
      </c>
      <c r="B234" t="s">
        <v>7</v>
      </c>
      <c r="C234">
        <v>43902</v>
      </c>
      <c r="D234" s="1">
        <v>11.6</v>
      </c>
      <c r="E234">
        <v>11.2</v>
      </c>
      <c r="F234" s="2">
        <v>-3.4</v>
      </c>
      <c r="G234">
        <f>D234-E234</f>
        <v>0.40000000000000036</v>
      </c>
    </row>
    <row r="235" spans="1:7" x14ac:dyDescent="0.25">
      <c r="A235" t="s">
        <v>367</v>
      </c>
      <c r="B235" t="s">
        <v>31</v>
      </c>
      <c r="C235">
        <v>47344</v>
      </c>
      <c r="D235" s="1">
        <v>10.8</v>
      </c>
      <c r="E235">
        <v>10.4</v>
      </c>
      <c r="F235" s="2">
        <v>-0.9</v>
      </c>
      <c r="G235">
        <f>D235-E235</f>
        <v>0.40000000000000036</v>
      </c>
    </row>
    <row r="236" spans="1:7" x14ac:dyDescent="0.25">
      <c r="A236" t="s">
        <v>356</v>
      </c>
      <c r="B236" t="s">
        <v>11</v>
      </c>
      <c r="C236">
        <v>23327</v>
      </c>
      <c r="D236" s="1">
        <v>11.2</v>
      </c>
      <c r="E236">
        <v>10.8</v>
      </c>
      <c r="F236" s="2">
        <v>-4.5999999999999996</v>
      </c>
      <c r="G236">
        <f>D236-E236</f>
        <v>0.39999999999999858</v>
      </c>
    </row>
    <row r="237" spans="1:7" x14ac:dyDescent="0.25">
      <c r="A237" t="s">
        <v>191</v>
      </c>
      <c r="B237" t="s">
        <v>26</v>
      </c>
      <c r="C237">
        <v>66389</v>
      </c>
      <c r="D237" s="1">
        <v>10</v>
      </c>
      <c r="E237">
        <v>9.6999999999999993</v>
      </c>
      <c r="F237" s="2">
        <v>-4.0999999999999996</v>
      </c>
      <c r="G237">
        <f>D237-E237</f>
        <v>0.30000000000000071</v>
      </c>
    </row>
    <row r="238" spans="1:7" x14ac:dyDescent="0.25">
      <c r="A238" t="s">
        <v>212</v>
      </c>
      <c r="B238" t="s">
        <v>13</v>
      </c>
      <c r="C238">
        <v>187674</v>
      </c>
      <c r="D238" s="1">
        <v>9.6</v>
      </c>
      <c r="E238">
        <v>9.3000000000000007</v>
      </c>
      <c r="F238" s="2">
        <v>-3.7</v>
      </c>
      <c r="G238">
        <f>D238-E238</f>
        <v>0.29999999999999893</v>
      </c>
    </row>
    <row r="239" spans="1:7" x14ac:dyDescent="0.25">
      <c r="A239" t="s">
        <v>65</v>
      </c>
      <c r="B239" t="s">
        <v>13</v>
      </c>
      <c r="C239">
        <v>114093</v>
      </c>
      <c r="D239" s="1">
        <v>10.8</v>
      </c>
      <c r="E239">
        <v>10.6</v>
      </c>
      <c r="F239" s="2">
        <v>-0.1</v>
      </c>
      <c r="G239">
        <f>D239-E239</f>
        <v>0.20000000000000107</v>
      </c>
    </row>
    <row r="240" spans="1:7" x14ac:dyDescent="0.25">
      <c r="A240" t="s">
        <v>118</v>
      </c>
      <c r="B240" t="s">
        <v>35</v>
      </c>
      <c r="C240">
        <v>66795</v>
      </c>
      <c r="D240" s="1">
        <v>8.4</v>
      </c>
      <c r="E240">
        <v>8.1999999999999993</v>
      </c>
      <c r="F240" s="2">
        <v>-1.4</v>
      </c>
      <c r="G240">
        <f>D240-E240</f>
        <v>0.20000000000000107</v>
      </c>
    </row>
    <row r="241" spans="1:7" x14ac:dyDescent="0.25">
      <c r="A241" t="s">
        <v>270</v>
      </c>
      <c r="B241" t="s">
        <v>17</v>
      </c>
      <c r="C241">
        <v>107471</v>
      </c>
      <c r="D241" s="1">
        <v>11.2</v>
      </c>
      <c r="E241">
        <v>11</v>
      </c>
      <c r="F241" s="2">
        <v>4.2</v>
      </c>
      <c r="G241">
        <f>D241-E241</f>
        <v>0.19999999999999929</v>
      </c>
    </row>
    <row r="242" spans="1:7" x14ac:dyDescent="0.25">
      <c r="A242" t="s">
        <v>323</v>
      </c>
      <c r="B242" t="s">
        <v>39</v>
      </c>
      <c r="C242">
        <v>73277</v>
      </c>
      <c r="D242" s="1">
        <v>10.6</v>
      </c>
      <c r="E242">
        <v>10.4</v>
      </c>
      <c r="F242" s="2">
        <v>-2.5</v>
      </c>
      <c r="G242">
        <f>D242-E242</f>
        <v>0.19999999999999929</v>
      </c>
    </row>
    <row r="243" spans="1:7" x14ac:dyDescent="0.25">
      <c r="A243" t="s">
        <v>50</v>
      </c>
      <c r="B243" t="s">
        <v>17</v>
      </c>
      <c r="C243">
        <v>90249</v>
      </c>
      <c r="D243" s="1">
        <v>11.4</v>
      </c>
      <c r="E243">
        <v>11.3</v>
      </c>
      <c r="F243" s="2">
        <v>-2.6</v>
      </c>
      <c r="G243">
        <f>D243-E243</f>
        <v>9.9999999999999645E-2</v>
      </c>
    </row>
    <row r="244" spans="1:7" x14ac:dyDescent="0.25">
      <c r="A244" t="s">
        <v>97</v>
      </c>
      <c r="B244" t="s">
        <v>19</v>
      </c>
      <c r="C244">
        <v>47769</v>
      </c>
      <c r="D244" s="1">
        <v>10.9</v>
      </c>
      <c r="E244">
        <v>10.8</v>
      </c>
      <c r="F244" s="2">
        <v>-1.3</v>
      </c>
      <c r="G244">
        <f>D244-E244</f>
        <v>9.9999999999999645E-2</v>
      </c>
    </row>
    <row r="245" spans="1:7" x14ac:dyDescent="0.25">
      <c r="A245" t="s">
        <v>141</v>
      </c>
      <c r="B245" t="s">
        <v>9</v>
      </c>
      <c r="C245">
        <v>50919</v>
      </c>
      <c r="D245" s="1">
        <v>11.7</v>
      </c>
      <c r="E245">
        <v>11.6</v>
      </c>
      <c r="F245" s="2">
        <v>0.3</v>
      </c>
      <c r="G245">
        <f>D245-E245</f>
        <v>9.9999999999999645E-2</v>
      </c>
    </row>
    <row r="246" spans="1:7" x14ac:dyDescent="0.25">
      <c r="A246" t="s">
        <v>331</v>
      </c>
      <c r="B246" t="s">
        <v>31</v>
      </c>
      <c r="C246">
        <v>159323</v>
      </c>
      <c r="D246" s="1">
        <v>10.5</v>
      </c>
      <c r="E246">
        <v>10.4</v>
      </c>
      <c r="F246" s="2">
        <v>0</v>
      </c>
      <c r="G246">
        <f>D246-E246</f>
        <v>9.9999999999999645E-2</v>
      </c>
    </row>
    <row r="247" spans="1:7" x14ac:dyDescent="0.25">
      <c r="A247" t="s">
        <v>390</v>
      </c>
      <c r="B247" t="s">
        <v>13</v>
      </c>
      <c r="C247">
        <v>150850</v>
      </c>
      <c r="D247" s="1">
        <v>10.9</v>
      </c>
      <c r="E247">
        <v>10.8</v>
      </c>
      <c r="F247" s="2">
        <v>1.5</v>
      </c>
      <c r="G247">
        <f>D247-E247</f>
        <v>9.9999999999999645E-2</v>
      </c>
    </row>
    <row r="248" spans="1:7" x14ac:dyDescent="0.25">
      <c r="A248" t="s">
        <v>6</v>
      </c>
      <c r="B248" t="s">
        <v>7</v>
      </c>
      <c r="C248">
        <v>55336</v>
      </c>
      <c r="D248" s="1">
        <v>11.3</v>
      </c>
      <c r="E248">
        <v>11.3</v>
      </c>
      <c r="F248" s="2">
        <v>0.8</v>
      </c>
      <c r="G248">
        <f>D248-E248</f>
        <v>0</v>
      </c>
    </row>
    <row r="249" spans="1:7" x14ac:dyDescent="0.25">
      <c r="A249" t="s">
        <v>147</v>
      </c>
      <c r="B249" t="s">
        <v>22</v>
      </c>
      <c r="C249">
        <v>144383</v>
      </c>
      <c r="D249" s="1">
        <v>10.6</v>
      </c>
      <c r="E249">
        <v>10.6</v>
      </c>
      <c r="F249" s="2">
        <v>6.1</v>
      </c>
      <c r="G249">
        <f>D249-E249</f>
        <v>0</v>
      </c>
    </row>
    <row r="250" spans="1:7" x14ac:dyDescent="0.25">
      <c r="A250" t="s">
        <v>271</v>
      </c>
      <c r="B250" t="s">
        <v>17</v>
      </c>
      <c r="C250">
        <v>87244</v>
      </c>
      <c r="D250" s="1">
        <v>12.1</v>
      </c>
      <c r="E250">
        <v>12.1</v>
      </c>
      <c r="F250" s="2">
        <v>-0.1</v>
      </c>
      <c r="G250">
        <f>D250-E250</f>
        <v>0</v>
      </c>
    </row>
    <row r="251" spans="1:7" x14ac:dyDescent="0.25">
      <c r="A251" t="s">
        <v>286</v>
      </c>
      <c r="B251" t="s">
        <v>17</v>
      </c>
      <c r="C251">
        <v>50994</v>
      </c>
      <c r="D251" s="1">
        <v>11.8</v>
      </c>
      <c r="E251">
        <v>11.8</v>
      </c>
      <c r="F251" s="2">
        <v>0.6</v>
      </c>
      <c r="G251">
        <f>D251-E251</f>
        <v>0</v>
      </c>
    </row>
    <row r="252" spans="1:7" x14ac:dyDescent="0.25">
      <c r="A252" t="s">
        <v>340</v>
      </c>
      <c r="B252" t="s">
        <v>26</v>
      </c>
      <c r="C252">
        <v>53487</v>
      </c>
      <c r="D252" s="1">
        <v>8.5</v>
      </c>
      <c r="E252">
        <v>8.5</v>
      </c>
      <c r="F252" s="2">
        <v>-1.4</v>
      </c>
      <c r="G252">
        <f>D252-E252</f>
        <v>0</v>
      </c>
    </row>
    <row r="253" spans="1:7" x14ac:dyDescent="0.25">
      <c r="A253" t="s">
        <v>8</v>
      </c>
      <c r="B253" t="s">
        <v>9</v>
      </c>
      <c r="C253">
        <v>58763</v>
      </c>
      <c r="D253" s="1">
        <v>10.4</v>
      </c>
      <c r="E253">
        <v>10.5</v>
      </c>
      <c r="F253" s="2">
        <v>-1.1000000000000001</v>
      </c>
      <c r="G253">
        <f>D253-E253</f>
        <v>-9.9999999999999645E-2</v>
      </c>
    </row>
    <row r="254" spans="1:7" x14ac:dyDescent="0.25">
      <c r="A254" t="s">
        <v>225</v>
      </c>
      <c r="B254" t="s">
        <v>17</v>
      </c>
      <c r="C254">
        <v>72713</v>
      </c>
      <c r="D254" s="1">
        <v>11.3</v>
      </c>
      <c r="E254">
        <v>11.4</v>
      </c>
      <c r="F254" s="2">
        <v>-1.4</v>
      </c>
      <c r="G254">
        <f>D254-E254</f>
        <v>-9.9999999999999645E-2</v>
      </c>
    </row>
    <row r="255" spans="1:7" x14ac:dyDescent="0.25">
      <c r="A255" t="s">
        <v>330</v>
      </c>
      <c r="B255" t="s">
        <v>9</v>
      </c>
      <c r="C255">
        <v>35148</v>
      </c>
      <c r="D255" s="1">
        <v>10.7</v>
      </c>
      <c r="E255">
        <v>10.8</v>
      </c>
      <c r="F255" s="2">
        <v>-1.1000000000000001</v>
      </c>
      <c r="G255">
        <f>D255-E255</f>
        <v>-0.10000000000000142</v>
      </c>
    </row>
    <row r="256" spans="1:7" x14ac:dyDescent="0.25">
      <c r="A256" t="s">
        <v>294</v>
      </c>
      <c r="B256" t="s">
        <v>15</v>
      </c>
      <c r="C256">
        <v>49053</v>
      </c>
      <c r="D256" s="1">
        <v>11.4</v>
      </c>
      <c r="E256">
        <v>11.6</v>
      </c>
      <c r="F256" s="2">
        <v>-1.4</v>
      </c>
      <c r="G256">
        <f>D256-E256</f>
        <v>-0.19999999999999929</v>
      </c>
    </row>
    <row r="257" spans="1:7" x14ac:dyDescent="0.25">
      <c r="A257" t="s">
        <v>360</v>
      </c>
      <c r="B257" t="s">
        <v>15</v>
      </c>
      <c r="C257">
        <v>77843</v>
      </c>
      <c r="D257" s="1">
        <v>11.4</v>
      </c>
      <c r="E257">
        <v>11.6</v>
      </c>
      <c r="F257" s="2">
        <v>-0.7</v>
      </c>
      <c r="G257">
        <f>D257-E257</f>
        <v>-0.19999999999999929</v>
      </c>
    </row>
    <row r="258" spans="1:7" x14ac:dyDescent="0.25">
      <c r="A258" t="s">
        <v>149</v>
      </c>
      <c r="B258" t="s">
        <v>13</v>
      </c>
      <c r="C258">
        <v>76618</v>
      </c>
      <c r="D258" s="1">
        <v>10.199999999999999</v>
      </c>
      <c r="E258">
        <v>10.4</v>
      </c>
      <c r="F258" s="2">
        <v>2.2999999999999998</v>
      </c>
      <c r="G258">
        <f>D258-E258</f>
        <v>-0.20000000000000107</v>
      </c>
    </row>
    <row r="259" spans="1:7" x14ac:dyDescent="0.25">
      <c r="A259" t="s">
        <v>164</v>
      </c>
      <c r="B259" t="s">
        <v>13</v>
      </c>
      <c r="C259">
        <v>196167</v>
      </c>
      <c r="D259" s="1">
        <v>9.5</v>
      </c>
      <c r="E259">
        <v>9.8000000000000007</v>
      </c>
      <c r="F259" s="2">
        <v>-2.6</v>
      </c>
      <c r="G259">
        <f>D259-E259</f>
        <v>-0.30000000000000071</v>
      </c>
    </row>
    <row r="260" spans="1:7" x14ac:dyDescent="0.25">
      <c r="A260" t="s">
        <v>253</v>
      </c>
      <c r="B260" t="s">
        <v>35</v>
      </c>
      <c r="C260">
        <v>135010</v>
      </c>
      <c r="D260" s="1">
        <v>8.1</v>
      </c>
      <c r="E260">
        <v>8.4</v>
      </c>
      <c r="F260" s="2">
        <v>2.9</v>
      </c>
      <c r="G260">
        <f>D260-E260</f>
        <v>-0.30000000000000071</v>
      </c>
    </row>
    <row r="261" spans="1:7" x14ac:dyDescent="0.25">
      <c r="A261" t="s">
        <v>341</v>
      </c>
      <c r="B261" t="s">
        <v>13</v>
      </c>
      <c r="C261">
        <v>137496</v>
      </c>
      <c r="D261" s="1">
        <v>9.6999999999999993</v>
      </c>
      <c r="E261">
        <v>10</v>
      </c>
      <c r="F261" s="2">
        <v>0.3</v>
      </c>
      <c r="G261">
        <f>D261-E261</f>
        <v>-0.30000000000000071</v>
      </c>
    </row>
    <row r="262" spans="1:7" x14ac:dyDescent="0.25">
      <c r="A262" t="s">
        <v>116</v>
      </c>
      <c r="B262" t="s">
        <v>17</v>
      </c>
      <c r="C262">
        <v>61199</v>
      </c>
      <c r="D262" s="1">
        <v>10.8</v>
      </c>
      <c r="E262">
        <v>11.2</v>
      </c>
      <c r="F262" s="2">
        <v>-2.9</v>
      </c>
      <c r="G262">
        <f>D262-E262</f>
        <v>-0.39999999999999858</v>
      </c>
    </row>
    <row r="263" spans="1:7" x14ac:dyDescent="0.25">
      <c r="A263" t="s">
        <v>324</v>
      </c>
      <c r="B263" t="s">
        <v>35</v>
      </c>
      <c r="C263">
        <v>79177</v>
      </c>
      <c r="D263" s="1">
        <v>8.3000000000000007</v>
      </c>
      <c r="E263">
        <v>8.6999999999999993</v>
      </c>
      <c r="F263" s="2">
        <v>-1.6</v>
      </c>
      <c r="G263">
        <f>D263-E263</f>
        <v>-0.39999999999999858</v>
      </c>
    </row>
    <row r="264" spans="1:7" x14ac:dyDescent="0.25">
      <c r="A264" t="s">
        <v>387</v>
      </c>
      <c r="B264" t="s">
        <v>17</v>
      </c>
      <c r="C264">
        <v>39671</v>
      </c>
      <c r="D264" s="1">
        <v>10.3</v>
      </c>
      <c r="E264">
        <v>10.7</v>
      </c>
      <c r="F264" s="2">
        <v>-2.6</v>
      </c>
      <c r="G264">
        <f>D264-E264</f>
        <v>-0.39999999999999858</v>
      </c>
    </row>
    <row r="265" spans="1:7" x14ac:dyDescent="0.25">
      <c r="A265" t="s">
        <v>73</v>
      </c>
      <c r="B265" t="s">
        <v>31</v>
      </c>
      <c r="C265">
        <v>36317</v>
      </c>
      <c r="D265" s="1">
        <v>10.9</v>
      </c>
      <c r="E265">
        <v>11.3</v>
      </c>
      <c r="F265" s="2">
        <v>-1.6</v>
      </c>
      <c r="G265">
        <f>D265-E265</f>
        <v>-0.40000000000000036</v>
      </c>
    </row>
    <row r="266" spans="1:7" x14ac:dyDescent="0.25">
      <c r="A266" t="s">
        <v>140</v>
      </c>
      <c r="B266" t="s">
        <v>15</v>
      </c>
      <c r="C266">
        <v>66807</v>
      </c>
      <c r="D266" s="1">
        <v>10.6</v>
      </c>
      <c r="E266">
        <v>11</v>
      </c>
      <c r="F266" s="2">
        <v>10.8</v>
      </c>
      <c r="G266">
        <f>D266-E266</f>
        <v>-0.40000000000000036</v>
      </c>
    </row>
    <row r="267" spans="1:7" x14ac:dyDescent="0.25">
      <c r="A267" t="s">
        <v>279</v>
      </c>
      <c r="B267" t="s">
        <v>17</v>
      </c>
      <c r="C267">
        <v>52389</v>
      </c>
      <c r="D267" s="1">
        <v>11.7</v>
      </c>
      <c r="E267">
        <v>12.1</v>
      </c>
      <c r="F267" s="2">
        <v>-4.2</v>
      </c>
      <c r="G267">
        <f>D267-E267</f>
        <v>-0.40000000000000036</v>
      </c>
    </row>
    <row r="268" spans="1:7" x14ac:dyDescent="0.25">
      <c r="A268" t="s">
        <v>297</v>
      </c>
      <c r="B268" t="s">
        <v>22</v>
      </c>
      <c r="C268">
        <v>58342</v>
      </c>
      <c r="D268" s="1">
        <v>11</v>
      </c>
      <c r="E268">
        <v>11.4</v>
      </c>
      <c r="F268" s="2">
        <v>-4.0999999999999996</v>
      </c>
      <c r="G268">
        <f>D268-E268</f>
        <v>-0.40000000000000036</v>
      </c>
    </row>
    <row r="269" spans="1:7" x14ac:dyDescent="0.25">
      <c r="A269" t="s">
        <v>331</v>
      </c>
      <c r="B269" t="s">
        <v>22</v>
      </c>
      <c r="C269">
        <v>72366</v>
      </c>
      <c r="D269" s="1">
        <v>9.5</v>
      </c>
      <c r="E269">
        <v>9.9</v>
      </c>
      <c r="F269" s="2">
        <v>-0.2</v>
      </c>
      <c r="G269">
        <f>D269-E269</f>
        <v>-0.40000000000000036</v>
      </c>
    </row>
    <row r="270" spans="1:7" x14ac:dyDescent="0.25">
      <c r="A270" t="s">
        <v>380</v>
      </c>
      <c r="B270" t="s">
        <v>15</v>
      </c>
      <c r="C270">
        <v>67588</v>
      </c>
      <c r="D270" s="1">
        <v>10.7</v>
      </c>
      <c r="E270">
        <v>11.1</v>
      </c>
      <c r="F270" s="2">
        <v>-1</v>
      </c>
      <c r="G270">
        <f>D270-E270</f>
        <v>-0.40000000000000036</v>
      </c>
    </row>
    <row r="271" spans="1:7" x14ac:dyDescent="0.25">
      <c r="A271" t="s">
        <v>102</v>
      </c>
      <c r="B271" t="s">
        <v>11</v>
      </c>
      <c r="C271">
        <v>64814</v>
      </c>
      <c r="D271" s="1">
        <v>10.8</v>
      </c>
      <c r="E271">
        <v>11.3</v>
      </c>
      <c r="F271" s="2">
        <v>-4.5999999999999996</v>
      </c>
      <c r="G271">
        <f>D271-E271</f>
        <v>-0.5</v>
      </c>
    </row>
    <row r="272" spans="1:7" x14ac:dyDescent="0.25">
      <c r="A272" t="s">
        <v>155</v>
      </c>
      <c r="B272" t="s">
        <v>7</v>
      </c>
      <c r="C272">
        <v>357650</v>
      </c>
      <c r="D272" s="1">
        <v>10</v>
      </c>
      <c r="E272">
        <v>10.5</v>
      </c>
      <c r="F272" s="2">
        <v>-4.5</v>
      </c>
      <c r="G272">
        <f>D272-E272</f>
        <v>-0.5</v>
      </c>
    </row>
    <row r="273" spans="1:7" x14ac:dyDescent="0.25">
      <c r="A273" t="s">
        <v>168</v>
      </c>
      <c r="B273" t="s">
        <v>13</v>
      </c>
      <c r="C273">
        <v>95036</v>
      </c>
      <c r="D273" s="1">
        <v>9.6</v>
      </c>
      <c r="E273">
        <v>10.1</v>
      </c>
      <c r="F273" s="2">
        <v>-1.3</v>
      </c>
      <c r="G273">
        <f>D273-E273</f>
        <v>-0.5</v>
      </c>
    </row>
    <row r="274" spans="1:7" x14ac:dyDescent="0.25">
      <c r="A274" t="s">
        <v>188</v>
      </c>
      <c r="B274" t="s">
        <v>15</v>
      </c>
      <c r="C274">
        <v>77810</v>
      </c>
      <c r="D274" s="1">
        <v>10.6</v>
      </c>
      <c r="E274">
        <v>11.1</v>
      </c>
      <c r="F274" s="2">
        <v>-2.7</v>
      </c>
      <c r="G274">
        <f>D274-E274</f>
        <v>-0.5</v>
      </c>
    </row>
    <row r="275" spans="1:7" x14ac:dyDescent="0.25">
      <c r="A275" t="s">
        <v>193</v>
      </c>
      <c r="B275" t="s">
        <v>13</v>
      </c>
      <c r="C275">
        <v>143394</v>
      </c>
      <c r="D275" s="1">
        <v>10.9</v>
      </c>
      <c r="E275">
        <v>11.4</v>
      </c>
      <c r="F275" s="2">
        <v>-4</v>
      </c>
      <c r="G275">
        <f>D275-E275</f>
        <v>-0.5</v>
      </c>
    </row>
    <row r="276" spans="1:7" x14ac:dyDescent="0.25">
      <c r="A276" t="s">
        <v>236</v>
      </c>
      <c r="B276" t="s">
        <v>26</v>
      </c>
      <c r="C276">
        <v>66947</v>
      </c>
      <c r="D276" s="1">
        <v>8.8000000000000007</v>
      </c>
      <c r="E276">
        <v>9.3000000000000007</v>
      </c>
      <c r="F276" s="2">
        <v>-1.8</v>
      </c>
      <c r="G276">
        <f>D276-E276</f>
        <v>-0.5</v>
      </c>
    </row>
    <row r="277" spans="1:7" x14ac:dyDescent="0.25">
      <c r="A277" t="s">
        <v>243</v>
      </c>
      <c r="B277" t="s">
        <v>35</v>
      </c>
      <c r="C277">
        <v>143852</v>
      </c>
      <c r="D277" s="1">
        <v>9.3000000000000007</v>
      </c>
      <c r="E277">
        <v>9.8000000000000007</v>
      </c>
      <c r="F277" s="2">
        <v>-2.1</v>
      </c>
      <c r="G277">
        <f>D277-E277</f>
        <v>-0.5</v>
      </c>
    </row>
    <row r="278" spans="1:7" x14ac:dyDescent="0.25">
      <c r="A278" t="s">
        <v>27</v>
      </c>
      <c r="B278" t="s">
        <v>22</v>
      </c>
      <c r="C278">
        <v>103226</v>
      </c>
      <c r="D278" s="1">
        <v>10.5</v>
      </c>
      <c r="E278">
        <v>11.1</v>
      </c>
      <c r="F278" s="2">
        <v>-2.1</v>
      </c>
      <c r="G278">
        <f>D278-E278</f>
        <v>-0.59999999999999964</v>
      </c>
    </row>
    <row r="279" spans="1:7" x14ac:dyDescent="0.25">
      <c r="A279" t="s">
        <v>204</v>
      </c>
      <c r="B279" t="s">
        <v>19</v>
      </c>
      <c r="C279">
        <v>40765</v>
      </c>
      <c r="D279" s="1">
        <v>8.4</v>
      </c>
      <c r="E279">
        <v>9</v>
      </c>
      <c r="F279" s="2">
        <v>0.5</v>
      </c>
      <c r="G279">
        <f>D279-E279</f>
        <v>-0.59999999999999964</v>
      </c>
    </row>
    <row r="280" spans="1:7" x14ac:dyDescent="0.25">
      <c r="A280" t="s">
        <v>257</v>
      </c>
      <c r="B280" t="s">
        <v>17</v>
      </c>
      <c r="C280">
        <v>74511</v>
      </c>
      <c r="D280" s="1">
        <v>10.4</v>
      </c>
      <c r="E280">
        <v>11</v>
      </c>
      <c r="F280" s="2">
        <v>-2.9</v>
      </c>
      <c r="G280">
        <f>D280-E280</f>
        <v>-0.59999999999999964</v>
      </c>
    </row>
    <row r="281" spans="1:7" x14ac:dyDescent="0.25">
      <c r="A281" t="s">
        <v>288</v>
      </c>
      <c r="B281" t="s">
        <v>13</v>
      </c>
      <c r="C281">
        <v>110448</v>
      </c>
      <c r="D281" s="1">
        <v>8.6</v>
      </c>
      <c r="E281">
        <v>9.1999999999999993</v>
      </c>
      <c r="F281" s="2">
        <v>0.7</v>
      </c>
      <c r="G281">
        <f>D281-E281</f>
        <v>-0.59999999999999964</v>
      </c>
    </row>
    <row r="282" spans="1:7" x14ac:dyDescent="0.25">
      <c r="A282" t="s">
        <v>291</v>
      </c>
      <c r="B282" t="s">
        <v>7</v>
      </c>
      <c r="C282">
        <v>41793</v>
      </c>
      <c r="D282" s="1">
        <v>10.5</v>
      </c>
      <c r="E282">
        <v>11.1</v>
      </c>
      <c r="F282" s="2">
        <v>-2.4</v>
      </c>
      <c r="G282">
        <f>D282-E282</f>
        <v>-0.59999999999999964</v>
      </c>
    </row>
    <row r="283" spans="1:7" x14ac:dyDescent="0.25">
      <c r="A283" t="s">
        <v>177</v>
      </c>
      <c r="B283" t="s">
        <v>31</v>
      </c>
      <c r="C283">
        <v>104178</v>
      </c>
      <c r="D283" s="1">
        <v>9.6999999999999993</v>
      </c>
      <c r="E283">
        <v>10.3</v>
      </c>
      <c r="F283" s="2">
        <v>-2.4</v>
      </c>
      <c r="G283">
        <f>D283-E283</f>
        <v>-0.60000000000000142</v>
      </c>
    </row>
    <row r="284" spans="1:7" x14ac:dyDescent="0.25">
      <c r="A284" t="s">
        <v>199</v>
      </c>
      <c r="B284" t="s">
        <v>42</v>
      </c>
      <c r="C284">
        <v>97087</v>
      </c>
      <c r="D284" s="1">
        <v>9.1999999999999993</v>
      </c>
      <c r="E284">
        <v>9.8000000000000007</v>
      </c>
      <c r="F284" s="2">
        <v>-2.9</v>
      </c>
      <c r="G284">
        <f>D284-E284</f>
        <v>-0.60000000000000142</v>
      </c>
    </row>
    <row r="285" spans="1:7" x14ac:dyDescent="0.25">
      <c r="A285" t="s">
        <v>49</v>
      </c>
      <c r="B285" t="s">
        <v>29</v>
      </c>
      <c r="C285">
        <v>127645</v>
      </c>
      <c r="D285" s="1">
        <v>9.6</v>
      </c>
      <c r="E285">
        <v>10.3</v>
      </c>
      <c r="F285" s="2">
        <v>0.4</v>
      </c>
      <c r="G285">
        <f>D285-E285</f>
        <v>-0.70000000000000107</v>
      </c>
    </row>
    <row r="286" spans="1:7" x14ac:dyDescent="0.25">
      <c r="A286" t="s">
        <v>210</v>
      </c>
      <c r="B286" t="s">
        <v>7</v>
      </c>
      <c r="C286">
        <v>117402</v>
      </c>
      <c r="D286" s="1">
        <v>9.6</v>
      </c>
      <c r="E286">
        <v>10.4</v>
      </c>
      <c r="F286" s="2">
        <v>-3.4</v>
      </c>
      <c r="G286">
        <f>D286-E286</f>
        <v>-0.80000000000000071</v>
      </c>
    </row>
    <row r="287" spans="1:7" x14ac:dyDescent="0.25">
      <c r="A287" t="s">
        <v>211</v>
      </c>
      <c r="B287" t="s">
        <v>31</v>
      </c>
      <c r="C287">
        <v>632146</v>
      </c>
      <c r="D287" s="1">
        <v>10.199999999999999</v>
      </c>
      <c r="E287">
        <v>11</v>
      </c>
      <c r="F287" s="2">
        <v>1.3</v>
      </c>
      <c r="G287">
        <f>D287-E287</f>
        <v>-0.80000000000000071</v>
      </c>
    </row>
    <row r="288" spans="1:7" x14ac:dyDescent="0.25">
      <c r="A288" t="s">
        <v>263</v>
      </c>
      <c r="B288" t="s">
        <v>22</v>
      </c>
      <c r="C288">
        <v>35921</v>
      </c>
      <c r="D288" s="1">
        <v>11.2</v>
      </c>
      <c r="E288">
        <v>12</v>
      </c>
      <c r="F288" s="2">
        <v>-3.2</v>
      </c>
      <c r="G288">
        <f>D288-E288</f>
        <v>-0.80000000000000071</v>
      </c>
    </row>
    <row r="289" spans="1:7" x14ac:dyDescent="0.25">
      <c r="A289" t="s">
        <v>276</v>
      </c>
      <c r="B289" t="s">
        <v>29</v>
      </c>
      <c r="C289">
        <v>43419</v>
      </c>
      <c r="D289" s="1">
        <v>10.7</v>
      </c>
      <c r="E289">
        <v>11.5</v>
      </c>
      <c r="F289" s="2">
        <v>1.4</v>
      </c>
      <c r="G289">
        <f>D289-E289</f>
        <v>-0.80000000000000071</v>
      </c>
    </row>
    <row r="290" spans="1:7" x14ac:dyDescent="0.25">
      <c r="A290" t="s">
        <v>96</v>
      </c>
      <c r="B290" t="s">
        <v>31</v>
      </c>
      <c r="C290">
        <v>45562</v>
      </c>
      <c r="D290" s="1">
        <v>10.3</v>
      </c>
      <c r="E290">
        <v>11.2</v>
      </c>
      <c r="F290" s="2">
        <v>-3.9</v>
      </c>
      <c r="G290">
        <f>D290-E290</f>
        <v>-0.89999999999999858</v>
      </c>
    </row>
    <row r="291" spans="1:7" x14ac:dyDescent="0.25">
      <c r="A291" t="s">
        <v>320</v>
      </c>
      <c r="B291" t="s">
        <v>39</v>
      </c>
      <c r="C291">
        <v>93280</v>
      </c>
      <c r="D291" s="1">
        <v>10.3</v>
      </c>
      <c r="E291">
        <v>11.2</v>
      </c>
      <c r="F291" s="2">
        <v>-3.1</v>
      </c>
      <c r="G291">
        <f>D291-E291</f>
        <v>-0.89999999999999858</v>
      </c>
    </row>
    <row r="292" spans="1:7" x14ac:dyDescent="0.25">
      <c r="A292" t="s">
        <v>388</v>
      </c>
      <c r="B292" t="s">
        <v>17</v>
      </c>
      <c r="C292">
        <v>36796</v>
      </c>
      <c r="D292" s="1">
        <v>11.3</v>
      </c>
      <c r="E292">
        <v>12.2</v>
      </c>
      <c r="F292" s="2">
        <v>-2</v>
      </c>
      <c r="G292">
        <f>D292-E292</f>
        <v>-0.89999999999999858</v>
      </c>
    </row>
    <row r="293" spans="1:7" x14ac:dyDescent="0.25">
      <c r="A293" t="s">
        <v>106</v>
      </c>
      <c r="B293" t="s">
        <v>35</v>
      </c>
      <c r="C293">
        <v>68801</v>
      </c>
      <c r="D293" s="1">
        <v>8.6</v>
      </c>
      <c r="E293">
        <v>9.5</v>
      </c>
      <c r="F293" s="2">
        <v>-2.4</v>
      </c>
      <c r="G293">
        <f>D293-E293</f>
        <v>-0.90000000000000036</v>
      </c>
    </row>
    <row r="294" spans="1:7" x14ac:dyDescent="0.25">
      <c r="A294" t="s">
        <v>146</v>
      </c>
      <c r="B294" t="s">
        <v>22</v>
      </c>
      <c r="C294">
        <v>89876</v>
      </c>
      <c r="D294" s="1">
        <v>11</v>
      </c>
      <c r="E294">
        <v>11.9</v>
      </c>
      <c r="F294" s="2">
        <v>-2</v>
      </c>
      <c r="G294">
        <f>D294-E294</f>
        <v>-0.90000000000000036</v>
      </c>
    </row>
    <row r="295" spans="1:7" x14ac:dyDescent="0.25">
      <c r="A295" t="s">
        <v>247</v>
      </c>
      <c r="B295" t="s">
        <v>35</v>
      </c>
      <c r="C295">
        <v>67194</v>
      </c>
      <c r="D295" s="1">
        <v>8.6999999999999993</v>
      </c>
      <c r="E295">
        <v>9.6</v>
      </c>
      <c r="F295" s="2">
        <v>-2.6</v>
      </c>
      <c r="G295">
        <f>D295-E295</f>
        <v>-0.90000000000000036</v>
      </c>
    </row>
    <row r="296" spans="1:7" x14ac:dyDescent="0.25">
      <c r="A296" t="s">
        <v>304</v>
      </c>
      <c r="B296" t="s">
        <v>17</v>
      </c>
      <c r="C296">
        <v>80509</v>
      </c>
      <c r="D296" s="1">
        <v>10.7</v>
      </c>
      <c r="E296">
        <v>11.6</v>
      </c>
      <c r="F296" s="2">
        <v>0.4</v>
      </c>
      <c r="G296">
        <f>D296-E296</f>
        <v>-0.90000000000000036</v>
      </c>
    </row>
    <row r="297" spans="1:7" x14ac:dyDescent="0.25">
      <c r="A297" t="s">
        <v>104</v>
      </c>
      <c r="B297" t="s">
        <v>13</v>
      </c>
      <c r="C297">
        <v>85001</v>
      </c>
      <c r="D297" s="1">
        <v>9.4</v>
      </c>
      <c r="E297">
        <v>10.4</v>
      </c>
      <c r="F297" s="2">
        <v>1.4</v>
      </c>
      <c r="G297">
        <f>D297-E297</f>
        <v>-1</v>
      </c>
    </row>
    <row r="298" spans="1:7" x14ac:dyDescent="0.25">
      <c r="A298" t="s">
        <v>187</v>
      </c>
      <c r="B298" t="s">
        <v>13</v>
      </c>
      <c r="C298">
        <v>58519</v>
      </c>
      <c r="D298" s="1">
        <v>10.4</v>
      </c>
      <c r="E298">
        <v>11.4</v>
      </c>
      <c r="F298" s="2">
        <v>-3.8</v>
      </c>
      <c r="G298">
        <f>D298-E298</f>
        <v>-1</v>
      </c>
    </row>
    <row r="299" spans="1:7" x14ac:dyDescent="0.25">
      <c r="A299" t="s">
        <v>306</v>
      </c>
      <c r="B299" t="s">
        <v>15</v>
      </c>
      <c r="C299">
        <v>119916</v>
      </c>
      <c r="D299" s="1">
        <v>10.7</v>
      </c>
      <c r="E299">
        <v>11.7</v>
      </c>
      <c r="F299" s="2">
        <v>-1.7</v>
      </c>
      <c r="G299">
        <f>D299-E299</f>
        <v>-1</v>
      </c>
    </row>
    <row r="300" spans="1:7" x14ac:dyDescent="0.25">
      <c r="A300" t="s">
        <v>374</v>
      </c>
      <c r="B300" t="s">
        <v>31</v>
      </c>
      <c r="C300">
        <v>68575</v>
      </c>
      <c r="D300" s="1">
        <v>10.199999999999999</v>
      </c>
      <c r="E300">
        <v>11.2</v>
      </c>
      <c r="F300" s="2">
        <v>-1.2</v>
      </c>
      <c r="G300">
        <f>D300-E300</f>
        <v>-1</v>
      </c>
    </row>
    <row r="301" spans="1:7" x14ac:dyDescent="0.25">
      <c r="A301" t="s">
        <v>382</v>
      </c>
      <c r="B301" t="s">
        <v>31</v>
      </c>
      <c r="C301">
        <v>92867</v>
      </c>
      <c r="D301" s="1">
        <v>9.8000000000000007</v>
      </c>
      <c r="E301">
        <v>10.8</v>
      </c>
      <c r="F301" s="2">
        <v>-3.1</v>
      </c>
      <c r="G301">
        <f>D301-E301</f>
        <v>-1</v>
      </c>
    </row>
    <row r="302" spans="1:7" x14ac:dyDescent="0.25">
      <c r="A302" t="s">
        <v>20</v>
      </c>
      <c r="B302" t="s">
        <v>9</v>
      </c>
      <c r="C302">
        <v>139643</v>
      </c>
      <c r="D302" s="1">
        <v>10.1</v>
      </c>
      <c r="E302">
        <v>11.2</v>
      </c>
      <c r="F302" s="2">
        <v>7.3</v>
      </c>
      <c r="G302">
        <f>D302-E302</f>
        <v>-1.0999999999999996</v>
      </c>
    </row>
    <row r="303" spans="1:7" x14ac:dyDescent="0.25">
      <c r="A303" t="s">
        <v>156</v>
      </c>
      <c r="B303" t="s">
        <v>13</v>
      </c>
      <c r="C303">
        <v>182749</v>
      </c>
      <c r="D303" s="1">
        <v>9.9</v>
      </c>
      <c r="E303">
        <v>11</v>
      </c>
      <c r="F303" s="2">
        <v>-5</v>
      </c>
      <c r="G303">
        <f>D303-E303</f>
        <v>-1.0999999999999996</v>
      </c>
    </row>
    <row r="304" spans="1:7" x14ac:dyDescent="0.25">
      <c r="A304" t="s">
        <v>267</v>
      </c>
      <c r="B304" t="s">
        <v>15</v>
      </c>
      <c r="C304">
        <v>90462</v>
      </c>
      <c r="D304" s="1">
        <v>11.6</v>
      </c>
      <c r="E304">
        <v>12.7</v>
      </c>
      <c r="F304" s="2">
        <v>1.6</v>
      </c>
      <c r="G304">
        <f>D304-E304</f>
        <v>-1.0999999999999996</v>
      </c>
    </row>
    <row r="305" spans="1:7" x14ac:dyDescent="0.25">
      <c r="A305" t="s">
        <v>362</v>
      </c>
      <c r="B305" t="s">
        <v>7</v>
      </c>
      <c r="C305">
        <v>85368</v>
      </c>
      <c r="D305" s="1">
        <v>10.199999999999999</v>
      </c>
      <c r="E305">
        <v>11.3</v>
      </c>
      <c r="F305" s="2">
        <v>0</v>
      </c>
      <c r="G305">
        <f>D305-E305</f>
        <v>-1.1000000000000014</v>
      </c>
    </row>
    <row r="306" spans="1:7" x14ac:dyDescent="0.25">
      <c r="A306" t="s">
        <v>21</v>
      </c>
      <c r="B306" t="s">
        <v>22</v>
      </c>
      <c r="C306">
        <v>112846</v>
      </c>
      <c r="D306" s="1">
        <v>11.4</v>
      </c>
      <c r="E306">
        <v>12.6</v>
      </c>
      <c r="F306" s="2">
        <v>-2.7</v>
      </c>
      <c r="G306">
        <f>D306-E306</f>
        <v>-1.1999999999999993</v>
      </c>
    </row>
    <row r="307" spans="1:7" x14ac:dyDescent="0.25">
      <c r="A307" t="s">
        <v>93</v>
      </c>
      <c r="B307" t="s">
        <v>39</v>
      </c>
      <c r="C307">
        <v>88665</v>
      </c>
      <c r="D307" s="1">
        <v>10.4</v>
      </c>
      <c r="E307">
        <v>11.6</v>
      </c>
      <c r="F307" s="2">
        <v>-2</v>
      </c>
      <c r="G307">
        <f>D307-E307</f>
        <v>-1.1999999999999993</v>
      </c>
    </row>
    <row r="308" spans="1:7" x14ac:dyDescent="0.25">
      <c r="A308" t="s">
        <v>159</v>
      </c>
      <c r="B308" t="s">
        <v>13</v>
      </c>
      <c r="C308">
        <v>239319</v>
      </c>
      <c r="D308" s="1">
        <v>9.9</v>
      </c>
      <c r="E308">
        <v>11.1</v>
      </c>
      <c r="F308" s="2">
        <v>-3.5</v>
      </c>
      <c r="G308">
        <f>D308-E308</f>
        <v>-1.1999999999999993</v>
      </c>
    </row>
    <row r="309" spans="1:7" x14ac:dyDescent="0.25">
      <c r="A309" t="s">
        <v>345</v>
      </c>
      <c r="B309" t="s">
        <v>15</v>
      </c>
      <c r="C309">
        <v>120132</v>
      </c>
      <c r="D309" s="1">
        <v>11</v>
      </c>
      <c r="E309">
        <v>12.2</v>
      </c>
      <c r="F309" s="2">
        <v>-1.6</v>
      </c>
      <c r="G309">
        <f>D309-E309</f>
        <v>-1.1999999999999993</v>
      </c>
    </row>
    <row r="310" spans="1:7" x14ac:dyDescent="0.25">
      <c r="A310" t="s">
        <v>119</v>
      </c>
      <c r="B310" t="s">
        <v>22</v>
      </c>
      <c r="C310">
        <v>98574</v>
      </c>
      <c r="D310" s="1">
        <v>9.6999999999999993</v>
      </c>
      <c r="E310">
        <v>10.9</v>
      </c>
      <c r="F310" s="2">
        <v>-2.4</v>
      </c>
      <c r="G310">
        <f>D310-E310</f>
        <v>-1.2000000000000011</v>
      </c>
    </row>
    <row r="311" spans="1:7" x14ac:dyDescent="0.25">
      <c r="A311" t="s">
        <v>205</v>
      </c>
      <c r="B311" t="s">
        <v>19</v>
      </c>
      <c r="C311">
        <v>406307</v>
      </c>
      <c r="D311" s="1">
        <v>9.6999999999999993</v>
      </c>
      <c r="E311">
        <v>10.9</v>
      </c>
      <c r="F311" s="2">
        <v>-0.9</v>
      </c>
      <c r="G311">
        <f>D311-E311</f>
        <v>-1.2000000000000011</v>
      </c>
    </row>
    <row r="312" spans="1:7" x14ac:dyDescent="0.25">
      <c r="A312" t="s">
        <v>302</v>
      </c>
      <c r="B312" t="s">
        <v>9</v>
      </c>
      <c r="C312">
        <v>21013</v>
      </c>
      <c r="D312" s="1">
        <v>10.1</v>
      </c>
      <c r="E312">
        <v>11.3</v>
      </c>
      <c r="F312" s="2">
        <v>-2.4</v>
      </c>
      <c r="G312">
        <f>D312-E312</f>
        <v>-1.2000000000000011</v>
      </c>
    </row>
    <row r="313" spans="1:7" x14ac:dyDescent="0.25">
      <c r="A313" t="s">
        <v>285</v>
      </c>
      <c r="B313" t="s">
        <v>22</v>
      </c>
      <c r="C313">
        <v>115860</v>
      </c>
      <c r="D313" s="1">
        <v>9.9</v>
      </c>
      <c r="E313">
        <v>11.2</v>
      </c>
      <c r="F313" s="2">
        <v>-1.5</v>
      </c>
      <c r="G313">
        <f>D313-E313</f>
        <v>-1.2999999999999989</v>
      </c>
    </row>
    <row r="314" spans="1:7" x14ac:dyDescent="0.25">
      <c r="A314" t="s">
        <v>326</v>
      </c>
      <c r="B314" t="s">
        <v>31</v>
      </c>
      <c r="C314">
        <v>43873</v>
      </c>
      <c r="D314" s="1">
        <v>10</v>
      </c>
      <c r="E314">
        <v>11.4</v>
      </c>
      <c r="F314" s="2">
        <v>-1.2</v>
      </c>
      <c r="G314">
        <f>D314-E314</f>
        <v>-1.4000000000000004</v>
      </c>
    </row>
    <row r="315" spans="1:7" x14ac:dyDescent="0.25">
      <c r="A315" t="s">
        <v>143</v>
      </c>
      <c r="B315" t="s">
        <v>15</v>
      </c>
      <c r="C315">
        <v>81151</v>
      </c>
      <c r="D315" s="1">
        <v>10.8</v>
      </c>
      <c r="E315">
        <v>12.3</v>
      </c>
      <c r="F315" s="2">
        <v>-1.9</v>
      </c>
      <c r="G315">
        <f>D315-E315</f>
        <v>-1.5</v>
      </c>
    </row>
    <row r="316" spans="1:7" x14ac:dyDescent="0.25">
      <c r="A316" t="s">
        <v>256</v>
      </c>
      <c r="B316" t="s">
        <v>39</v>
      </c>
      <c r="C316">
        <v>114670</v>
      </c>
      <c r="D316" s="1">
        <v>9.3000000000000007</v>
      </c>
      <c r="E316">
        <v>10.8</v>
      </c>
      <c r="F316" s="2">
        <v>-2.1</v>
      </c>
      <c r="G316">
        <f>D316-E316</f>
        <v>-1.5</v>
      </c>
    </row>
    <row r="317" spans="1:7" x14ac:dyDescent="0.25">
      <c r="A317" t="s">
        <v>372</v>
      </c>
      <c r="B317" t="s">
        <v>9</v>
      </c>
      <c r="C317">
        <v>59010</v>
      </c>
      <c r="D317" s="1">
        <v>11</v>
      </c>
      <c r="E317">
        <v>12.5</v>
      </c>
      <c r="F317" s="2">
        <v>-3.7</v>
      </c>
      <c r="G317">
        <f>D317-E317</f>
        <v>-1.5</v>
      </c>
    </row>
    <row r="318" spans="1:7" x14ac:dyDescent="0.25">
      <c r="A318" t="s">
        <v>384</v>
      </c>
      <c r="B318" t="s">
        <v>31</v>
      </c>
      <c r="C318">
        <v>45376</v>
      </c>
      <c r="D318" s="1">
        <v>10.4</v>
      </c>
      <c r="E318">
        <v>11.9</v>
      </c>
      <c r="F318" s="2">
        <v>-1.2</v>
      </c>
      <c r="G318">
        <f>D318-E318</f>
        <v>-1.5</v>
      </c>
    </row>
    <row r="319" spans="1:7" x14ac:dyDescent="0.25">
      <c r="A319" t="s">
        <v>44</v>
      </c>
      <c r="B319" t="s">
        <v>22</v>
      </c>
      <c r="C319">
        <v>78765</v>
      </c>
      <c r="D319" s="1">
        <v>11.6</v>
      </c>
      <c r="E319">
        <v>13.2</v>
      </c>
      <c r="F319" s="2">
        <v>-1.4</v>
      </c>
      <c r="G319">
        <f>D319-E319</f>
        <v>-1.5999999999999996</v>
      </c>
    </row>
    <row r="320" spans="1:7" x14ac:dyDescent="0.25">
      <c r="A320" t="s">
        <v>160</v>
      </c>
      <c r="B320" t="s">
        <v>13</v>
      </c>
      <c r="C320">
        <v>127686</v>
      </c>
      <c r="D320" s="1">
        <v>9.4</v>
      </c>
      <c r="E320">
        <v>11</v>
      </c>
      <c r="F320" s="2">
        <v>-3</v>
      </c>
      <c r="G320">
        <f>D320-E320</f>
        <v>-1.5999999999999996</v>
      </c>
    </row>
    <row r="321" spans="1:7" x14ac:dyDescent="0.25">
      <c r="A321" t="s">
        <v>282</v>
      </c>
      <c r="B321" t="s">
        <v>17</v>
      </c>
      <c r="C321">
        <v>43064</v>
      </c>
      <c r="D321" s="1">
        <v>11.3</v>
      </c>
      <c r="E321">
        <v>12.9</v>
      </c>
      <c r="F321" s="2">
        <v>-3.7</v>
      </c>
      <c r="G321">
        <f>D321-E321</f>
        <v>-1.5999999999999996</v>
      </c>
    </row>
    <row r="322" spans="1:7" x14ac:dyDescent="0.25">
      <c r="A322" t="s">
        <v>357</v>
      </c>
      <c r="B322" t="s">
        <v>17</v>
      </c>
      <c r="C322">
        <v>67080</v>
      </c>
      <c r="D322" s="1">
        <v>10.9</v>
      </c>
      <c r="E322">
        <v>12.5</v>
      </c>
      <c r="F322" s="2">
        <v>-2.8</v>
      </c>
      <c r="G322">
        <f>D322-E322</f>
        <v>-1.5999999999999996</v>
      </c>
    </row>
    <row r="323" spans="1:7" x14ac:dyDescent="0.25">
      <c r="A323" t="s">
        <v>381</v>
      </c>
      <c r="B323" t="s">
        <v>15</v>
      </c>
      <c r="C323">
        <v>161959</v>
      </c>
      <c r="D323" s="1">
        <v>10.3</v>
      </c>
      <c r="E323">
        <v>11.9</v>
      </c>
      <c r="F323" s="2">
        <v>4.8</v>
      </c>
      <c r="G323">
        <f>D323-E323</f>
        <v>-1.5999999999999996</v>
      </c>
    </row>
    <row r="324" spans="1:7" x14ac:dyDescent="0.25">
      <c r="A324" t="s">
        <v>203</v>
      </c>
      <c r="B324" t="s">
        <v>13</v>
      </c>
      <c r="C324">
        <v>54091</v>
      </c>
      <c r="D324" s="1">
        <v>10.199999999999999</v>
      </c>
      <c r="E324">
        <v>11.8</v>
      </c>
      <c r="F324" s="2">
        <v>-3.5</v>
      </c>
      <c r="G324">
        <f>D324-E324</f>
        <v>-1.6000000000000014</v>
      </c>
    </row>
    <row r="325" spans="1:7" x14ac:dyDescent="0.25">
      <c r="A325" t="s">
        <v>145</v>
      </c>
      <c r="B325" t="s">
        <v>31</v>
      </c>
      <c r="C325">
        <v>56085</v>
      </c>
      <c r="D325" s="1">
        <v>10.1</v>
      </c>
      <c r="E325">
        <v>11.9</v>
      </c>
      <c r="F325" s="2">
        <v>-3.4</v>
      </c>
      <c r="G325">
        <f>D325-E325</f>
        <v>-1.8000000000000007</v>
      </c>
    </row>
    <row r="326" spans="1:7" x14ac:dyDescent="0.25">
      <c r="A326" t="s">
        <v>170</v>
      </c>
      <c r="B326" t="s">
        <v>46</v>
      </c>
      <c r="C326">
        <v>107019</v>
      </c>
      <c r="D326" s="1">
        <v>9.5</v>
      </c>
      <c r="E326">
        <v>11.3</v>
      </c>
      <c r="F326" s="2">
        <v>-4</v>
      </c>
      <c r="G326">
        <f>D326-E326</f>
        <v>-1.8000000000000007</v>
      </c>
    </row>
    <row r="327" spans="1:7" x14ac:dyDescent="0.25">
      <c r="A327" t="s">
        <v>307</v>
      </c>
      <c r="B327" t="s">
        <v>17</v>
      </c>
      <c r="C327">
        <v>53028</v>
      </c>
      <c r="D327" s="1">
        <v>10.3</v>
      </c>
      <c r="E327">
        <v>12.2</v>
      </c>
      <c r="F327" s="2">
        <v>-4.4000000000000004</v>
      </c>
      <c r="G327">
        <f>D327-E327</f>
        <v>-1.8999999999999986</v>
      </c>
    </row>
    <row r="328" spans="1:7" x14ac:dyDescent="0.25">
      <c r="A328" t="s">
        <v>363</v>
      </c>
      <c r="B328" t="s">
        <v>22</v>
      </c>
      <c r="C328">
        <v>39526</v>
      </c>
      <c r="D328" s="1">
        <v>10.8</v>
      </c>
      <c r="E328">
        <v>12.7</v>
      </c>
      <c r="F328" s="2">
        <v>-3.8</v>
      </c>
      <c r="G328">
        <f>D328-E328</f>
        <v>-1.8999999999999986</v>
      </c>
    </row>
    <row r="329" spans="1:7" x14ac:dyDescent="0.25">
      <c r="A329" t="s">
        <v>92</v>
      </c>
      <c r="B329" t="s">
        <v>31</v>
      </c>
      <c r="C329">
        <v>51581</v>
      </c>
      <c r="D329" s="1">
        <v>9.9</v>
      </c>
      <c r="E329">
        <v>11.8</v>
      </c>
      <c r="F329" s="2">
        <v>-1.7</v>
      </c>
      <c r="G329">
        <f>D329-E329</f>
        <v>-1.9000000000000004</v>
      </c>
    </row>
    <row r="330" spans="1:7" x14ac:dyDescent="0.25">
      <c r="A330" t="s">
        <v>126</v>
      </c>
      <c r="B330" t="s">
        <v>15</v>
      </c>
      <c r="C330">
        <v>50808</v>
      </c>
      <c r="D330" s="1">
        <v>9.9</v>
      </c>
      <c r="E330">
        <v>11.8</v>
      </c>
      <c r="F330" s="2">
        <v>0.6</v>
      </c>
      <c r="G330">
        <f>D330-E330</f>
        <v>-1.9000000000000004</v>
      </c>
    </row>
    <row r="331" spans="1:7" x14ac:dyDescent="0.25">
      <c r="A331" t="s">
        <v>345</v>
      </c>
      <c r="B331" t="s">
        <v>22</v>
      </c>
      <c r="C331">
        <v>86657</v>
      </c>
      <c r="D331" s="1">
        <v>9.6999999999999993</v>
      </c>
      <c r="E331">
        <v>11.6</v>
      </c>
      <c r="F331" s="2">
        <v>-4.0999999999999996</v>
      </c>
      <c r="G331">
        <f>D331-E331</f>
        <v>-1.9000000000000004</v>
      </c>
    </row>
    <row r="332" spans="1:7" x14ac:dyDescent="0.25">
      <c r="A332" t="s">
        <v>277</v>
      </c>
      <c r="B332" t="s">
        <v>35</v>
      </c>
      <c r="C332">
        <v>58732</v>
      </c>
      <c r="D332" s="1">
        <v>9</v>
      </c>
      <c r="E332">
        <v>11</v>
      </c>
      <c r="F332" s="2">
        <v>-2.9</v>
      </c>
      <c r="G332">
        <f>D332-E332</f>
        <v>-2</v>
      </c>
    </row>
    <row r="333" spans="1:7" x14ac:dyDescent="0.25">
      <c r="A333" t="s">
        <v>100</v>
      </c>
      <c r="B333" t="s">
        <v>35</v>
      </c>
      <c r="C333">
        <v>100320</v>
      </c>
      <c r="D333" s="1">
        <v>8.1</v>
      </c>
      <c r="E333">
        <v>10.199999999999999</v>
      </c>
      <c r="F333" s="2">
        <v>-3.3</v>
      </c>
      <c r="G333">
        <f>D333-E333</f>
        <v>-2.0999999999999996</v>
      </c>
    </row>
    <row r="334" spans="1:7" x14ac:dyDescent="0.25">
      <c r="A334" t="s">
        <v>253</v>
      </c>
      <c r="B334" t="s">
        <v>22</v>
      </c>
      <c r="C334">
        <v>62048</v>
      </c>
      <c r="D334" s="1">
        <v>10.4</v>
      </c>
      <c r="E334">
        <v>12.5</v>
      </c>
      <c r="F334" s="2">
        <v>-2.7</v>
      </c>
      <c r="G334">
        <f>D334-E334</f>
        <v>-2.0999999999999996</v>
      </c>
    </row>
    <row r="335" spans="1:7" x14ac:dyDescent="0.25">
      <c r="A335" t="s">
        <v>308</v>
      </c>
      <c r="B335" t="s">
        <v>39</v>
      </c>
      <c r="C335">
        <v>78400</v>
      </c>
      <c r="D335" s="1">
        <v>8.9</v>
      </c>
      <c r="E335">
        <v>11</v>
      </c>
      <c r="F335" s="2">
        <v>-3</v>
      </c>
      <c r="G335">
        <f>D335-E335</f>
        <v>-2.0999999999999996</v>
      </c>
    </row>
    <row r="336" spans="1:7" x14ac:dyDescent="0.25">
      <c r="A336" t="s">
        <v>111</v>
      </c>
      <c r="B336" t="s">
        <v>39</v>
      </c>
      <c r="C336">
        <v>83005</v>
      </c>
      <c r="D336" s="1">
        <v>9.6999999999999993</v>
      </c>
      <c r="E336">
        <v>11.8</v>
      </c>
      <c r="F336" s="2">
        <v>-2</v>
      </c>
      <c r="G336">
        <f>D336-E336</f>
        <v>-2.1000000000000014</v>
      </c>
    </row>
    <row r="337" spans="1:7" x14ac:dyDescent="0.25">
      <c r="A337" t="s">
        <v>300</v>
      </c>
      <c r="B337" t="s">
        <v>39</v>
      </c>
      <c r="C337">
        <v>80709</v>
      </c>
      <c r="D337" s="1">
        <v>9.6999999999999993</v>
      </c>
      <c r="E337">
        <v>11.8</v>
      </c>
      <c r="F337" s="2">
        <v>-2.2000000000000002</v>
      </c>
      <c r="G337">
        <f>D337-E337</f>
        <v>-2.1000000000000014</v>
      </c>
    </row>
    <row r="338" spans="1:7" x14ac:dyDescent="0.25">
      <c r="A338" t="s">
        <v>105</v>
      </c>
      <c r="B338" t="s">
        <v>31</v>
      </c>
      <c r="C338">
        <v>163648</v>
      </c>
      <c r="D338" s="1">
        <v>9.8000000000000007</v>
      </c>
      <c r="E338">
        <v>12</v>
      </c>
      <c r="F338" s="2">
        <v>-2.6</v>
      </c>
      <c r="G338">
        <f>D338-E338</f>
        <v>-2.1999999999999993</v>
      </c>
    </row>
    <row r="339" spans="1:7" x14ac:dyDescent="0.25">
      <c r="A339" t="s">
        <v>158</v>
      </c>
      <c r="B339" t="s">
        <v>13</v>
      </c>
      <c r="C339">
        <v>113007</v>
      </c>
      <c r="D339" s="1">
        <v>10.9</v>
      </c>
      <c r="E339">
        <v>13.2</v>
      </c>
      <c r="F339" s="2">
        <v>-0.2</v>
      </c>
      <c r="G339">
        <f>D339-E339</f>
        <v>-2.2999999999999989</v>
      </c>
    </row>
    <row r="340" spans="1:7" x14ac:dyDescent="0.25">
      <c r="A340" t="s">
        <v>171</v>
      </c>
      <c r="B340" t="s">
        <v>13</v>
      </c>
      <c r="C340">
        <v>308548</v>
      </c>
      <c r="D340" s="1">
        <v>9.4</v>
      </c>
      <c r="E340">
        <v>11.7</v>
      </c>
      <c r="F340" s="2">
        <v>-3.2</v>
      </c>
      <c r="G340">
        <f>D340-E340</f>
        <v>-2.2999999999999989</v>
      </c>
    </row>
    <row r="341" spans="1:7" x14ac:dyDescent="0.25">
      <c r="A341" t="s">
        <v>232</v>
      </c>
      <c r="B341" t="s">
        <v>13</v>
      </c>
      <c r="C341">
        <v>71517</v>
      </c>
      <c r="D341" s="1">
        <v>9.8000000000000007</v>
      </c>
      <c r="E341">
        <v>12.1</v>
      </c>
      <c r="F341" s="2">
        <v>0.8</v>
      </c>
      <c r="G341">
        <f>D341-E341</f>
        <v>-2.2999999999999989</v>
      </c>
    </row>
    <row r="342" spans="1:7" x14ac:dyDescent="0.25">
      <c r="A342" t="s">
        <v>53</v>
      </c>
      <c r="B342" t="s">
        <v>13</v>
      </c>
      <c r="C342">
        <v>134103</v>
      </c>
      <c r="D342" s="1">
        <v>9.6</v>
      </c>
      <c r="E342">
        <v>11.9</v>
      </c>
      <c r="F342" s="2">
        <v>3.7</v>
      </c>
      <c r="G342">
        <f>D342-E342</f>
        <v>-2.3000000000000007</v>
      </c>
    </row>
    <row r="343" spans="1:7" x14ac:dyDescent="0.25">
      <c r="A343" t="s">
        <v>67</v>
      </c>
      <c r="B343" t="s">
        <v>35</v>
      </c>
      <c r="C343">
        <v>49422</v>
      </c>
      <c r="D343" s="1">
        <v>9.3000000000000007</v>
      </c>
      <c r="E343">
        <v>11.7</v>
      </c>
      <c r="F343" s="2">
        <v>-3.2</v>
      </c>
      <c r="G343">
        <f>D343-E343</f>
        <v>-2.3999999999999986</v>
      </c>
    </row>
    <row r="344" spans="1:7" x14ac:dyDescent="0.25">
      <c r="A344" t="s">
        <v>309</v>
      </c>
      <c r="B344" t="s">
        <v>15</v>
      </c>
      <c r="C344">
        <v>37604</v>
      </c>
      <c r="D344" s="1">
        <v>11.2</v>
      </c>
      <c r="E344">
        <v>13.6</v>
      </c>
      <c r="F344" s="2">
        <v>2.4</v>
      </c>
      <c r="G344">
        <f>D344-E344</f>
        <v>-2.4000000000000004</v>
      </c>
    </row>
    <row r="345" spans="1:7" x14ac:dyDescent="0.25">
      <c r="A345" t="s">
        <v>36</v>
      </c>
      <c r="B345" t="s">
        <v>15</v>
      </c>
      <c r="C345">
        <v>30537</v>
      </c>
      <c r="D345" s="1">
        <v>10.199999999999999</v>
      </c>
      <c r="E345">
        <v>12.7</v>
      </c>
      <c r="F345" s="2">
        <v>0.2</v>
      </c>
      <c r="G345">
        <f>D345-E345</f>
        <v>-2.5</v>
      </c>
    </row>
    <row r="346" spans="1:7" x14ac:dyDescent="0.25">
      <c r="A346" t="s">
        <v>38</v>
      </c>
      <c r="B346" t="s">
        <v>39</v>
      </c>
      <c r="C346">
        <v>73127</v>
      </c>
      <c r="D346" s="1">
        <v>9.9</v>
      </c>
      <c r="E346">
        <v>12.4</v>
      </c>
      <c r="F346" s="2">
        <v>0.1</v>
      </c>
      <c r="G346">
        <f>D346-E346</f>
        <v>-2.5</v>
      </c>
    </row>
    <row r="347" spans="1:7" x14ac:dyDescent="0.25">
      <c r="A347" t="s">
        <v>85</v>
      </c>
      <c r="B347" t="s">
        <v>22</v>
      </c>
      <c r="C347">
        <v>67059</v>
      </c>
      <c r="D347" s="1">
        <v>10.1</v>
      </c>
      <c r="E347">
        <v>12.6</v>
      </c>
      <c r="F347" s="2">
        <v>-4.9000000000000004</v>
      </c>
      <c r="G347">
        <f>D347-E347</f>
        <v>-2.5</v>
      </c>
    </row>
    <row r="348" spans="1:7" x14ac:dyDescent="0.25">
      <c r="A348" t="s">
        <v>197</v>
      </c>
      <c r="B348" t="s">
        <v>13</v>
      </c>
      <c r="C348">
        <v>70712</v>
      </c>
      <c r="D348" s="1">
        <v>10.199999999999999</v>
      </c>
      <c r="E348">
        <v>12.7</v>
      </c>
      <c r="F348" s="2">
        <v>-3.3</v>
      </c>
      <c r="G348">
        <f>D348-E348</f>
        <v>-2.5</v>
      </c>
    </row>
    <row r="349" spans="1:7" x14ac:dyDescent="0.25">
      <c r="A349" t="s">
        <v>290</v>
      </c>
      <c r="B349" t="s">
        <v>15</v>
      </c>
      <c r="C349">
        <v>117431</v>
      </c>
      <c r="D349" s="1">
        <v>9.8000000000000007</v>
      </c>
      <c r="E349">
        <v>12.4</v>
      </c>
      <c r="F349" s="2">
        <v>-0.5</v>
      </c>
      <c r="G349">
        <f>D349-E349</f>
        <v>-2.5999999999999996</v>
      </c>
    </row>
    <row r="350" spans="1:7" x14ac:dyDescent="0.25">
      <c r="A350" t="s">
        <v>128</v>
      </c>
      <c r="B350" t="s">
        <v>15</v>
      </c>
      <c r="C350">
        <v>52420</v>
      </c>
      <c r="D350" s="1">
        <v>10.7</v>
      </c>
      <c r="E350">
        <v>13.3</v>
      </c>
      <c r="F350" s="2">
        <v>-1.9</v>
      </c>
      <c r="G350">
        <f>D350-E350</f>
        <v>-2.6000000000000014</v>
      </c>
    </row>
    <row r="351" spans="1:7" x14ac:dyDescent="0.25">
      <c r="A351" t="s">
        <v>88</v>
      </c>
      <c r="B351" t="s">
        <v>22</v>
      </c>
      <c r="C351">
        <v>47242</v>
      </c>
      <c r="D351" s="1">
        <v>10.1</v>
      </c>
      <c r="E351">
        <v>12.8</v>
      </c>
      <c r="F351" s="2">
        <v>-1.4</v>
      </c>
      <c r="G351">
        <f>D351-E351</f>
        <v>-2.7000000000000011</v>
      </c>
    </row>
    <row r="352" spans="1:7" x14ac:dyDescent="0.25">
      <c r="A352" t="s">
        <v>364</v>
      </c>
      <c r="B352" t="s">
        <v>39</v>
      </c>
      <c r="C352">
        <v>46668</v>
      </c>
      <c r="D352" s="1">
        <v>9.6</v>
      </c>
      <c r="E352">
        <v>12.3</v>
      </c>
      <c r="F352" s="2">
        <v>-2.4</v>
      </c>
      <c r="G352">
        <f>D352-E352</f>
        <v>-2.7000000000000011</v>
      </c>
    </row>
    <row r="353" spans="1:7" x14ac:dyDescent="0.25">
      <c r="A353" t="s">
        <v>201</v>
      </c>
      <c r="B353" t="s">
        <v>13</v>
      </c>
      <c r="C353">
        <v>219300</v>
      </c>
      <c r="D353" s="1">
        <v>9</v>
      </c>
      <c r="E353">
        <v>11.8</v>
      </c>
      <c r="F353" s="2">
        <v>-4.8</v>
      </c>
      <c r="G353">
        <f>D353-E353</f>
        <v>-2.8000000000000007</v>
      </c>
    </row>
    <row r="354" spans="1:7" x14ac:dyDescent="0.25">
      <c r="A354" t="s">
        <v>94</v>
      </c>
      <c r="B354" t="s">
        <v>31</v>
      </c>
      <c r="C354">
        <v>63865</v>
      </c>
      <c r="D354" s="1">
        <v>9.3000000000000007</v>
      </c>
      <c r="E354">
        <v>12.3</v>
      </c>
      <c r="F354" s="2">
        <v>3.8</v>
      </c>
      <c r="G354">
        <f>D354-E354</f>
        <v>-3</v>
      </c>
    </row>
    <row r="355" spans="1:7" x14ac:dyDescent="0.25">
      <c r="A355" t="s">
        <v>151</v>
      </c>
      <c r="B355" t="s">
        <v>31</v>
      </c>
      <c r="C355">
        <v>47194</v>
      </c>
      <c r="D355" s="1">
        <v>8.6</v>
      </c>
      <c r="E355">
        <v>11.6</v>
      </c>
      <c r="F355" s="2">
        <v>-2.8</v>
      </c>
      <c r="G355">
        <f>D355-E355</f>
        <v>-3</v>
      </c>
    </row>
    <row r="356" spans="1:7" x14ac:dyDescent="0.25">
      <c r="A356" t="s">
        <v>23</v>
      </c>
      <c r="B356" t="s">
        <v>9</v>
      </c>
      <c r="C356">
        <v>58463</v>
      </c>
      <c r="D356" s="1">
        <v>9.6</v>
      </c>
      <c r="E356">
        <v>12.7</v>
      </c>
      <c r="F356" s="2">
        <v>-3.1</v>
      </c>
      <c r="G356">
        <f>D356-E356</f>
        <v>-3.0999999999999996</v>
      </c>
    </row>
    <row r="357" spans="1:7" x14ac:dyDescent="0.25">
      <c r="A357" t="s">
        <v>315</v>
      </c>
      <c r="B357" t="s">
        <v>17</v>
      </c>
      <c r="C357">
        <v>55832</v>
      </c>
      <c r="D357" s="1">
        <v>10.3</v>
      </c>
      <c r="E357">
        <v>13.4</v>
      </c>
      <c r="F357" s="2">
        <v>-3.5</v>
      </c>
      <c r="G357">
        <f>D357-E357</f>
        <v>-3.0999999999999996</v>
      </c>
    </row>
    <row r="358" spans="1:7" x14ac:dyDescent="0.25">
      <c r="A358" t="s">
        <v>316</v>
      </c>
      <c r="B358" t="s">
        <v>9</v>
      </c>
      <c r="C358">
        <v>70517</v>
      </c>
      <c r="D358" s="1">
        <v>9.3000000000000007</v>
      </c>
      <c r="E358">
        <v>12.5</v>
      </c>
      <c r="F358" s="2">
        <v>-4.3</v>
      </c>
      <c r="G358">
        <f>D358-E358</f>
        <v>-3.1999999999999993</v>
      </c>
    </row>
    <row r="359" spans="1:7" x14ac:dyDescent="0.25">
      <c r="A359" t="s">
        <v>142</v>
      </c>
      <c r="B359" t="s">
        <v>17</v>
      </c>
      <c r="C359">
        <v>32072</v>
      </c>
      <c r="D359" s="1">
        <v>10.1</v>
      </c>
      <c r="E359">
        <v>13.3</v>
      </c>
      <c r="F359" s="2">
        <v>-4.5</v>
      </c>
      <c r="G359">
        <f>D359-E359</f>
        <v>-3.2000000000000011</v>
      </c>
    </row>
    <row r="360" spans="1:7" x14ac:dyDescent="0.25">
      <c r="A360" t="s">
        <v>261</v>
      </c>
      <c r="B360" t="s">
        <v>15</v>
      </c>
      <c r="C360">
        <v>119060</v>
      </c>
      <c r="D360" s="1">
        <v>9.1</v>
      </c>
      <c r="E360">
        <v>12.4</v>
      </c>
      <c r="F360" s="2">
        <v>2.6</v>
      </c>
      <c r="G360">
        <f>D360-E360</f>
        <v>-3.3000000000000007</v>
      </c>
    </row>
    <row r="361" spans="1:7" x14ac:dyDescent="0.25">
      <c r="A361" t="s">
        <v>262</v>
      </c>
      <c r="B361" t="s">
        <v>15</v>
      </c>
      <c r="C361">
        <v>52750</v>
      </c>
      <c r="D361" s="1">
        <v>8.6999999999999993</v>
      </c>
      <c r="E361">
        <v>12</v>
      </c>
      <c r="F361" s="2">
        <v>-1.3</v>
      </c>
      <c r="G361">
        <f>D361-E361</f>
        <v>-3.3000000000000007</v>
      </c>
    </row>
    <row r="362" spans="1:7" x14ac:dyDescent="0.25">
      <c r="A362" t="s">
        <v>379</v>
      </c>
      <c r="B362" t="s">
        <v>13</v>
      </c>
      <c r="C362">
        <v>122628</v>
      </c>
      <c r="D362" s="1">
        <v>9.3000000000000007</v>
      </c>
      <c r="E362">
        <v>12.7</v>
      </c>
      <c r="F362" s="2">
        <v>-0.2</v>
      </c>
      <c r="G362">
        <f>D362-E362</f>
        <v>-3.3999999999999986</v>
      </c>
    </row>
    <row r="363" spans="1:7" x14ac:dyDescent="0.25">
      <c r="A363" t="s">
        <v>377</v>
      </c>
      <c r="B363" t="s">
        <v>22</v>
      </c>
      <c r="C363">
        <v>109181</v>
      </c>
      <c r="D363" s="1">
        <v>9.5</v>
      </c>
      <c r="E363">
        <v>13</v>
      </c>
      <c r="F363" s="2">
        <v>-0.6</v>
      </c>
      <c r="G363">
        <f>D363-E363</f>
        <v>-3.5</v>
      </c>
    </row>
    <row r="364" spans="1:7" x14ac:dyDescent="0.25">
      <c r="A364" t="s">
        <v>12</v>
      </c>
      <c r="B364" t="s">
        <v>13</v>
      </c>
      <c r="C364">
        <v>150950</v>
      </c>
      <c r="D364" s="1">
        <v>9.4</v>
      </c>
      <c r="E364">
        <v>13</v>
      </c>
      <c r="F364" s="2">
        <v>3.1</v>
      </c>
      <c r="G364">
        <f>D364-E364</f>
        <v>-3.5999999999999996</v>
      </c>
    </row>
    <row r="365" spans="1:7" x14ac:dyDescent="0.25">
      <c r="A365" t="s">
        <v>169</v>
      </c>
      <c r="B365" t="s">
        <v>31</v>
      </c>
      <c r="C365">
        <v>84564</v>
      </c>
      <c r="D365" s="1">
        <v>8.8000000000000007</v>
      </c>
      <c r="E365">
        <v>12.4</v>
      </c>
      <c r="F365" s="2">
        <v>-3.4</v>
      </c>
      <c r="G365">
        <f>D365-E365</f>
        <v>-3.5999999999999996</v>
      </c>
    </row>
    <row r="366" spans="1:7" x14ac:dyDescent="0.25">
      <c r="A366" t="s">
        <v>353</v>
      </c>
      <c r="B366" t="s">
        <v>31</v>
      </c>
      <c r="C366">
        <v>179526</v>
      </c>
      <c r="D366" s="1">
        <v>9</v>
      </c>
      <c r="E366">
        <v>12.6</v>
      </c>
      <c r="F366" s="2">
        <v>-3.7</v>
      </c>
      <c r="G366">
        <f>D366-E366</f>
        <v>-3.5999999999999996</v>
      </c>
    </row>
    <row r="367" spans="1:7" x14ac:dyDescent="0.25">
      <c r="A367" t="s">
        <v>59</v>
      </c>
      <c r="B367" t="s">
        <v>31</v>
      </c>
      <c r="C367">
        <v>103636</v>
      </c>
      <c r="D367" s="1">
        <v>9.1999999999999993</v>
      </c>
      <c r="E367">
        <v>12.8</v>
      </c>
      <c r="F367" s="2">
        <v>-0.6</v>
      </c>
      <c r="G367">
        <f>D367-E367</f>
        <v>-3.6000000000000014</v>
      </c>
    </row>
    <row r="368" spans="1:7" x14ac:dyDescent="0.25">
      <c r="A368" t="s">
        <v>123</v>
      </c>
      <c r="B368" t="s">
        <v>15</v>
      </c>
      <c r="C368">
        <v>102015</v>
      </c>
      <c r="D368" s="1">
        <v>9.5</v>
      </c>
      <c r="E368">
        <v>13.2</v>
      </c>
      <c r="F368" s="2">
        <v>-1.9</v>
      </c>
      <c r="G368">
        <f>D368-E368</f>
        <v>-3.6999999999999993</v>
      </c>
    </row>
    <row r="369" spans="1:7" x14ac:dyDescent="0.25">
      <c r="A369" t="s">
        <v>251</v>
      </c>
      <c r="B369" t="s">
        <v>39</v>
      </c>
      <c r="C369">
        <v>55471</v>
      </c>
      <c r="D369" s="1">
        <v>9.5</v>
      </c>
      <c r="E369">
        <v>13.3</v>
      </c>
      <c r="F369" s="2">
        <v>-1.1000000000000001</v>
      </c>
      <c r="G369">
        <f>D369-E369</f>
        <v>-3.8000000000000007</v>
      </c>
    </row>
    <row r="370" spans="1:7" x14ac:dyDescent="0.25">
      <c r="A370" t="s">
        <v>305</v>
      </c>
      <c r="B370" t="s">
        <v>9</v>
      </c>
      <c r="C370">
        <v>47286</v>
      </c>
      <c r="D370" s="1">
        <v>9.3000000000000007</v>
      </c>
      <c r="E370">
        <v>13.2</v>
      </c>
      <c r="F370" s="2">
        <v>-4.2</v>
      </c>
      <c r="G370">
        <f>D370-E370</f>
        <v>-3.8999999999999986</v>
      </c>
    </row>
    <row r="371" spans="1:7" x14ac:dyDescent="0.25">
      <c r="A371" t="s">
        <v>272</v>
      </c>
      <c r="B371" t="s">
        <v>15</v>
      </c>
      <c r="C371">
        <v>41618</v>
      </c>
      <c r="D371" s="1">
        <v>10.1</v>
      </c>
      <c r="E371">
        <v>14.1</v>
      </c>
      <c r="F371" s="2">
        <v>-0.7</v>
      </c>
      <c r="G371">
        <f>D371-E371</f>
        <v>-4</v>
      </c>
    </row>
    <row r="372" spans="1:7" x14ac:dyDescent="0.25">
      <c r="A372" t="s">
        <v>227</v>
      </c>
      <c r="B372" t="s">
        <v>9</v>
      </c>
      <c r="C372">
        <v>42212</v>
      </c>
      <c r="D372" s="1">
        <v>8.3000000000000007</v>
      </c>
      <c r="E372">
        <v>12.4</v>
      </c>
      <c r="F372" s="2">
        <v>-3.5</v>
      </c>
      <c r="G372">
        <f>D372-E372</f>
        <v>-4.0999999999999996</v>
      </c>
    </row>
    <row r="373" spans="1:7" x14ac:dyDescent="0.25">
      <c r="A373" t="s">
        <v>99</v>
      </c>
      <c r="B373" t="s">
        <v>39</v>
      </c>
      <c r="C373">
        <v>35088</v>
      </c>
      <c r="D373" s="1">
        <v>8.3000000000000007</v>
      </c>
      <c r="E373">
        <v>12.5</v>
      </c>
      <c r="F373" s="2">
        <v>-1.8</v>
      </c>
      <c r="G373">
        <f>D373-E373</f>
        <v>-4.1999999999999993</v>
      </c>
    </row>
    <row r="374" spans="1:7" x14ac:dyDescent="0.25">
      <c r="A374" t="s">
        <v>218</v>
      </c>
      <c r="B374" t="s">
        <v>29</v>
      </c>
      <c r="C374">
        <v>50114</v>
      </c>
      <c r="D374" s="1">
        <v>10.3</v>
      </c>
      <c r="E374">
        <v>14.5</v>
      </c>
      <c r="F374" s="2">
        <v>0.3</v>
      </c>
      <c r="G374">
        <f>D374-E374</f>
        <v>-4.1999999999999993</v>
      </c>
    </row>
    <row r="375" spans="1:7" x14ac:dyDescent="0.25">
      <c r="A375" t="s">
        <v>266</v>
      </c>
      <c r="B375" t="s">
        <v>39</v>
      </c>
      <c r="C375">
        <v>41282</v>
      </c>
      <c r="D375" s="1">
        <v>8.5</v>
      </c>
      <c r="E375">
        <v>12.8</v>
      </c>
      <c r="F375" s="2">
        <v>-3.4</v>
      </c>
      <c r="G375">
        <f>D375-E375</f>
        <v>-4.3000000000000007</v>
      </c>
    </row>
    <row r="376" spans="1:7" x14ac:dyDescent="0.25">
      <c r="A376" t="s">
        <v>120</v>
      </c>
      <c r="B376" t="s">
        <v>22</v>
      </c>
      <c r="C376">
        <v>67824</v>
      </c>
      <c r="D376" s="1">
        <v>8.8000000000000007</v>
      </c>
      <c r="E376">
        <v>13.7</v>
      </c>
      <c r="F376" s="2">
        <v>-1</v>
      </c>
      <c r="G376">
        <f>D376-E376</f>
        <v>-4.8999999999999986</v>
      </c>
    </row>
    <row r="377" spans="1:7" x14ac:dyDescent="0.25">
      <c r="A377" t="s">
        <v>138</v>
      </c>
      <c r="B377" t="s">
        <v>17</v>
      </c>
      <c r="C377">
        <v>36033</v>
      </c>
      <c r="D377" s="1">
        <v>10.5</v>
      </c>
      <c r="E377">
        <v>15.5</v>
      </c>
      <c r="F377" s="2">
        <v>-2.2999999999999998</v>
      </c>
      <c r="G377">
        <f>D377-E377</f>
        <v>-5</v>
      </c>
    </row>
    <row r="378" spans="1:7" x14ac:dyDescent="0.25">
      <c r="A378" t="s">
        <v>179</v>
      </c>
      <c r="B378" t="s">
        <v>15</v>
      </c>
      <c r="C378">
        <v>742387</v>
      </c>
      <c r="D378" s="1">
        <v>9.3000000000000007</v>
      </c>
      <c r="E378">
        <v>14.3</v>
      </c>
      <c r="F378" s="2">
        <v>-1.8</v>
      </c>
      <c r="G378">
        <f>D378-E378</f>
        <v>-5</v>
      </c>
    </row>
    <row r="379" spans="1:7" x14ac:dyDescent="0.25">
      <c r="A379" t="s">
        <v>200</v>
      </c>
      <c r="B379" t="s">
        <v>42</v>
      </c>
      <c r="C379">
        <v>38460</v>
      </c>
      <c r="D379" s="1">
        <v>7.7</v>
      </c>
      <c r="E379">
        <v>13</v>
      </c>
      <c r="F379" s="2">
        <v>-3.5</v>
      </c>
      <c r="G379">
        <f>D379-E379</f>
        <v>-5.3</v>
      </c>
    </row>
    <row r="380" spans="1:7" x14ac:dyDescent="0.25">
      <c r="A380" t="s">
        <v>84</v>
      </c>
      <c r="B380" t="s">
        <v>9</v>
      </c>
      <c r="C380">
        <v>46385</v>
      </c>
      <c r="D380" s="1">
        <v>8.3000000000000007</v>
      </c>
      <c r="E380">
        <v>15.1</v>
      </c>
      <c r="F380" s="2">
        <v>-3.6</v>
      </c>
      <c r="G380">
        <f>D380-E380</f>
        <v>-6.7999999999999989</v>
      </c>
    </row>
  </sheetData>
  <sortState xmlns:xlrd2="http://schemas.microsoft.com/office/spreadsheetml/2017/richdata2" ref="J22:K37">
    <sortCondition descending="1" ref="K22:K37"/>
  </sortState>
  <mergeCells count="1">
    <mergeCell ref="O3:P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5F98F-0D7D-4393-8A22-D8C72BAD7C17}">
  <dimension ref="A1:P380"/>
  <sheetViews>
    <sheetView tabSelected="1" zoomScale="115" zoomScaleNormal="115" workbookViewId="0">
      <selection activeCell="M9" sqref="M9"/>
    </sheetView>
  </sheetViews>
  <sheetFormatPr defaultRowHeight="15" x14ac:dyDescent="0.25"/>
  <cols>
    <col min="1" max="1" width="23.28515625" bestFit="1" customWidth="1"/>
    <col min="2" max="2" width="21" bestFit="1" customWidth="1"/>
    <col min="3" max="3" width="15.7109375" bestFit="1" customWidth="1"/>
    <col min="4" max="4" width="12.5703125" style="1" bestFit="1" customWidth="1"/>
    <col min="5" max="5" width="12.140625" bestFit="1" customWidth="1"/>
    <col min="6" max="6" width="14.28515625" style="2" bestFit="1" customWidth="1"/>
    <col min="7" max="7" width="20.85546875" customWidth="1"/>
    <col min="10" max="10" width="22.140625" bestFit="1" customWidth="1"/>
    <col min="11" max="11" width="21.42578125" bestFit="1" customWidth="1"/>
    <col min="15" max="15" width="16.85546875" customWidth="1"/>
    <col min="16" max="16" width="13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398</v>
      </c>
      <c r="J1" s="3" t="s">
        <v>1</v>
      </c>
      <c r="K1" t="s">
        <v>35</v>
      </c>
    </row>
    <row r="2" spans="1:16" x14ac:dyDescent="0.25">
      <c r="A2" t="s">
        <v>6</v>
      </c>
      <c r="B2" t="s">
        <v>7</v>
      </c>
      <c r="C2">
        <v>55336</v>
      </c>
      <c r="D2" s="1">
        <v>11.3</v>
      </c>
      <c r="E2">
        <v>11.3</v>
      </c>
      <c r="F2" s="2">
        <v>0.8</v>
      </c>
      <c r="G2">
        <f>ROUNDDOWN((D2*C2)/1000, 0)</f>
        <v>625</v>
      </c>
    </row>
    <row r="3" spans="1:16" x14ac:dyDescent="0.25">
      <c r="A3" t="s">
        <v>8</v>
      </c>
      <c r="B3" t="s">
        <v>9</v>
      </c>
      <c r="C3">
        <v>58763</v>
      </c>
      <c r="D3" s="1">
        <v>10.4</v>
      </c>
      <c r="E3">
        <v>10.5</v>
      </c>
      <c r="F3" s="2">
        <v>-1.1000000000000001</v>
      </c>
      <c r="G3">
        <f>ROUNDDOWN((D3*C3)/1000, 0)</f>
        <v>611</v>
      </c>
      <c r="J3" s="3" t="s">
        <v>393</v>
      </c>
      <c r="K3" t="s">
        <v>399</v>
      </c>
      <c r="O3" s="5"/>
      <c r="P3" s="5"/>
    </row>
    <row r="4" spans="1:16" x14ac:dyDescent="0.25">
      <c r="A4" t="s">
        <v>10</v>
      </c>
      <c r="B4" t="s">
        <v>11</v>
      </c>
      <c r="C4">
        <v>60128</v>
      </c>
      <c r="D4" s="1">
        <v>10.9</v>
      </c>
      <c r="E4">
        <v>10.3</v>
      </c>
      <c r="F4" s="2">
        <v>-6.1</v>
      </c>
      <c r="G4">
        <f>ROUNDDOWN((D4*C4)/1000, 0)</f>
        <v>655</v>
      </c>
      <c r="J4" s="4" t="s">
        <v>34</v>
      </c>
      <c r="K4" s="1">
        <v>995</v>
      </c>
      <c r="O4" s="6"/>
      <c r="P4" s="7"/>
    </row>
    <row r="5" spans="1:16" x14ac:dyDescent="0.25">
      <c r="A5" t="s">
        <v>12</v>
      </c>
      <c r="B5" t="s">
        <v>13</v>
      </c>
      <c r="C5">
        <v>150950</v>
      </c>
      <c r="D5" s="1">
        <v>9.4</v>
      </c>
      <c r="E5">
        <v>13</v>
      </c>
      <c r="F5" s="2">
        <v>3.1</v>
      </c>
      <c r="G5">
        <f>ROUNDDOWN((D5*C5)/1000, 0)</f>
        <v>1418</v>
      </c>
      <c r="J5" s="4" t="s">
        <v>67</v>
      </c>
      <c r="K5" s="1">
        <v>459</v>
      </c>
      <c r="O5" s="6"/>
      <c r="P5" s="7"/>
    </row>
    <row r="6" spans="1:16" x14ac:dyDescent="0.25">
      <c r="A6" t="s">
        <v>14</v>
      </c>
      <c r="B6" t="s">
        <v>15</v>
      </c>
      <c r="C6">
        <v>112993</v>
      </c>
      <c r="D6" s="1">
        <v>11.5</v>
      </c>
      <c r="E6">
        <v>9.1</v>
      </c>
      <c r="F6" s="2">
        <v>-1.6</v>
      </c>
      <c r="G6">
        <f>ROUNDDOWN((D6*C6)/1000, 0)</f>
        <v>1299</v>
      </c>
      <c r="J6" s="4" t="s">
        <v>100</v>
      </c>
      <c r="K6" s="1">
        <v>812</v>
      </c>
      <c r="O6" s="6"/>
      <c r="P6" s="7"/>
    </row>
    <row r="7" spans="1:16" x14ac:dyDescent="0.25">
      <c r="A7" t="s">
        <v>16</v>
      </c>
      <c r="B7" t="s">
        <v>17</v>
      </c>
      <c r="C7">
        <v>33701</v>
      </c>
      <c r="D7" s="1">
        <v>15</v>
      </c>
      <c r="E7">
        <v>11</v>
      </c>
      <c r="F7" s="2">
        <v>-1.1000000000000001</v>
      </c>
      <c r="G7">
        <f>ROUNDDOWN((D7*C7)/1000, 0)</f>
        <v>505</v>
      </c>
      <c r="J7" s="4" t="s">
        <v>106</v>
      </c>
      <c r="K7" s="1">
        <v>591</v>
      </c>
      <c r="O7" s="6"/>
      <c r="P7" s="7"/>
    </row>
    <row r="8" spans="1:16" x14ac:dyDescent="0.25">
      <c r="A8" t="s">
        <v>18</v>
      </c>
      <c r="B8" t="s">
        <v>19</v>
      </c>
      <c r="C8">
        <v>48261</v>
      </c>
      <c r="D8" s="1">
        <v>11.7</v>
      </c>
      <c r="E8">
        <v>10.199999999999999</v>
      </c>
      <c r="F8" s="2">
        <v>-1</v>
      </c>
      <c r="G8">
        <f>ROUNDDOWN((D8*C8)/1000, 0)</f>
        <v>564</v>
      </c>
      <c r="J8" s="4" t="s">
        <v>118</v>
      </c>
      <c r="K8" s="1">
        <v>561</v>
      </c>
    </row>
    <row r="9" spans="1:16" x14ac:dyDescent="0.25">
      <c r="A9" t="s">
        <v>20</v>
      </c>
      <c r="B9" t="s">
        <v>9</v>
      </c>
      <c r="C9">
        <v>139643</v>
      </c>
      <c r="D9" s="1">
        <v>10.1</v>
      </c>
      <c r="E9">
        <v>11.2</v>
      </c>
      <c r="F9" s="2">
        <v>7.3</v>
      </c>
      <c r="G9">
        <f>ROUNDDOWN((D9*C9)/1000, 0)</f>
        <v>1410</v>
      </c>
      <c r="J9" s="4" t="s">
        <v>185</v>
      </c>
      <c r="K9" s="1">
        <v>1182</v>
      </c>
    </row>
    <row r="10" spans="1:16" x14ac:dyDescent="0.25">
      <c r="A10" t="s">
        <v>21</v>
      </c>
      <c r="B10" t="s">
        <v>22</v>
      </c>
      <c r="C10">
        <v>112846</v>
      </c>
      <c r="D10" s="1">
        <v>11.4</v>
      </c>
      <c r="E10">
        <v>12.6</v>
      </c>
      <c r="F10" s="2">
        <v>-2.7</v>
      </c>
      <c r="G10">
        <f>ROUNDDOWN((D10*C10)/1000, 0)</f>
        <v>1286</v>
      </c>
      <c r="J10" s="4" t="s">
        <v>234</v>
      </c>
      <c r="K10" s="1">
        <v>473</v>
      </c>
    </row>
    <row r="11" spans="1:16" x14ac:dyDescent="0.25">
      <c r="A11" t="s">
        <v>23</v>
      </c>
      <c r="B11" t="s">
        <v>13</v>
      </c>
      <c r="C11">
        <v>155571</v>
      </c>
      <c r="D11" s="1">
        <v>12</v>
      </c>
      <c r="E11">
        <v>9</v>
      </c>
      <c r="F11" s="2">
        <v>6.9</v>
      </c>
      <c r="G11">
        <f>ROUNDDOWN((D11*C11)/1000, 0)</f>
        <v>1866</v>
      </c>
      <c r="J11" s="4" t="s">
        <v>243</v>
      </c>
      <c r="K11" s="1">
        <v>1337</v>
      </c>
    </row>
    <row r="12" spans="1:16" x14ac:dyDescent="0.25">
      <c r="A12" t="s">
        <v>23</v>
      </c>
      <c r="B12" t="s">
        <v>9</v>
      </c>
      <c r="C12">
        <v>58463</v>
      </c>
      <c r="D12" s="1">
        <v>9.6</v>
      </c>
      <c r="E12">
        <v>12.7</v>
      </c>
      <c r="F12" s="2">
        <v>-3.1</v>
      </c>
      <c r="G12">
        <f>ROUNDDOWN((D12*C12)/1000, 0)</f>
        <v>561</v>
      </c>
      <c r="J12" s="4" t="s">
        <v>247</v>
      </c>
      <c r="K12" s="1">
        <v>584</v>
      </c>
    </row>
    <row r="13" spans="1:16" x14ac:dyDescent="0.25">
      <c r="A13" t="s">
        <v>24</v>
      </c>
      <c r="B13" t="s">
        <v>13</v>
      </c>
      <c r="C13">
        <v>56806</v>
      </c>
      <c r="D13" s="1">
        <v>12.2</v>
      </c>
      <c r="E13">
        <v>8.1999999999999993</v>
      </c>
      <c r="F13" s="2">
        <v>2.5</v>
      </c>
      <c r="G13">
        <f>ROUNDDOWN((D13*C13)/1000, 0)</f>
        <v>693</v>
      </c>
      <c r="J13" s="4" t="s">
        <v>253</v>
      </c>
      <c r="K13" s="1">
        <v>1093</v>
      </c>
    </row>
    <row r="14" spans="1:16" x14ac:dyDescent="0.25">
      <c r="A14" t="s">
        <v>25</v>
      </c>
      <c r="B14" t="s">
        <v>26</v>
      </c>
      <c r="C14">
        <v>22001</v>
      </c>
      <c r="D14" s="1">
        <v>11.3</v>
      </c>
      <c r="E14">
        <v>8.6999999999999993</v>
      </c>
      <c r="F14" s="2">
        <v>-4.2</v>
      </c>
      <c r="G14">
        <f>ROUNDDOWN((D14*C14)/1000, 0)</f>
        <v>248</v>
      </c>
      <c r="J14" s="4" t="s">
        <v>277</v>
      </c>
      <c r="K14" s="1">
        <v>528</v>
      </c>
    </row>
    <row r="15" spans="1:16" x14ac:dyDescent="0.25">
      <c r="A15" t="s">
        <v>27</v>
      </c>
      <c r="B15" t="s">
        <v>22</v>
      </c>
      <c r="C15">
        <v>103226</v>
      </c>
      <c r="D15" s="1">
        <v>10.5</v>
      </c>
      <c r="E15">
        <v>11.1</v>
      </c>
      <c r="F15" s="2">
        <v>-2.1</v>
      </c>
      <c r="G15">
        <f>ROUNDDOWN((D15*C15)/1000, 0)</f>
        <v>1083</v>
      </c>
      <c r="J15" s="4" t="s">
        <v>324</v>
      </c>
      <c r="K15" s="1">
        <v>657</v>
      </c>
    </row>
    <row r="16" spans="1:16" x14ac:dyDescent="0.25">
      <c r="A16" t="s">
        <v>28</v>
      </c>
      <c r="B16" t="s">
        <v>29</v>
      </c>
      <c r="C16">
        <v>102181</v>
      </c>
      <c r="D16" s="1">
        <v>13.1</v>
      </c>
      <c r="E16">
        <v>9.4</v>
      </c>
      <c r="F16" s="2">
        <v>1</v>
      </c>
      <c r="G16">
        <f>ROUNDDOWN((D16*C16)/1000, 0)</f>
        <v>1338</v>
      </c>
      <c r="J16" s="4" t="s">
        <v>394</v>
      </c>
      <c r="K16" s="1">
        <v>9272</v>
      </c>
    </row>
    <row r="17" spans="1:11" x14ac:dyDescent="0.25">
      <c r="A17" t="s">
        <v>30</v>
      </c>
      <c r="B17" t="s">
        <v>31</v>
      </c>
      <c r="C17">
        <v>89051</v>
      </c>
      <c r="D17" s="1">
        <v>11</v>
      </c>
      <c r="E17">
        <v>9.8000000000000007</v>
      </c>
      <c r="F17" s="2">
        <v>-0.1</v>
      </c>
      <c r="G17">
        <f>ROUNDDOWN((D17*C17)/1000, 0)</f>
        <v>979</v>
      </c>
    </row>
    <row r="18" spans="1:11" x14ac:dyDescent="0.25">
      <c r="A18" t="s">
        <v>32</v>
      </c>
      <c r="B18" t="s">
        <v>11</v>
      </c>
      <c r="C18">
        <v>42927</v>
      </c>
      <c r="D18" s="1">
        <v>11.5</v>
      </c>
      <c r="E18">
        <v>10</v>
      </c>
      <c r="F18" s="2">
        <v>-5</v>
      </c>
      <c r="G18">
        <f>ROUNDDOWN((D18*C18)/1000, 0)</f>
        <v>493</v>
      </c>
    </row>
    <row r="19" spans="1:11" x14ac:dyDescent="0.25">
      <c r="A19" t="s">
        <v>33</v>
      </c>
      <c r="B19" t="s">
        <v>7</v>
      </c>
      <c r="C19">
        <v>75579</v>
      </c>
      <c r="D19" s="1">
        <v>13.6</v>
      </c>
      <c r="E19">
        <v>10</v>
      </c>
      <c r="F19" s="2">
        <v>-1.3</v>
      </c>
      <c r="G19">
        <f>ROUNDDOWN((D19*C19)/1000, 0)</f>
        <v>1027</v>
      </c>
      <c r="J19" s="4" t="s">
        <v>34</v>
      </c>
      <c r="K19" s="1">
        <v>995</v>
      </c>
    </row>
    <row r="20" spans="1:11" x14ac:dyDescent="0.25">
      <c r="A20" t="s">
        <v>34</v>
      </c>
      <c r="B20" t="s">
        <v>29</v>
      </c>
      <c r="C20">
        <v>91297</v>
      </c>
      <c r="D20" s="1">
        <v>11.7</v>
      </c>
      <c r="E20">
        <v>8.8000000000000007</v>
      </c>
      <c r="F20" s="2">
        <v>0.9</v>
      </c>
      <c r="G20">
        <f>ROUNDDOWN((D20*C20)/1000, 0)</f>
        <v>1068</v>
      </c>
      <c r="J20" s="4" t="s">
        <v>67</v>
      </c>
      <c r="K20" s="1">
        <v>459</v>
      </c>
    </row>
    <row r="21" spans="1:11" x14ac:dyDescent="0.25">
      <c r="A21" t="s">
        <v>34</v>
      </c>
      <c r="B21" t="s">
        <v>35</v>
      </c>
      <c r="C21">
        <v>92188</v>
      </c>
      <c r="D21" s="1">
        <v>10.8</v>
      </c>
      <c r="E21">
        <v>9.6999999999999993</v>
      </c>
      <c r="F21" s="2">
        <v>-0.5</v>
      </c>
      <c r="G21">
        <f>ROUNDDOWN((D21*C21)/1000, 0)</f>
        <v>995</v>
      </c>
      <c r="J21" s="4" t="s">
        <v>100</v>
      </c>
      <c r="K21" s="1">
        <v>812</v>
      </c>
    </row>
    <row r="22" spans="1:11" x14ac:dyDescent="0.25">
      <c r="A22" t="s">
        <v>36</v>
      </c>
      <c r="B22" t="s">
        <v>15</v>
      </c>
      <c r="C22">
        <v>30537</v>
      </c>
      <c r="D22" s="1">
        <v>10.199999999999999</v>
      </c>
      <c r="E22">
        <v>12.7</v>
      </c>
      <c r="F22" s="2">
        <v>0.2</v>
      </c>
      <c r="G22">
        <f>ROUNDDOWN((D22*C22)/1000, 0)</f>
        <v>311</v>
      </c>
      <c r="J22" s="4" t="s">
        <v>106</v>
      </c>
      <c r="K22" s="1">
        <v>591</v>
      </c>
    </row>
    <row r="23" spans="1:11" x14ac:dyDescent="0.25">
      <c r="A23" t="s">
        <v>37</v>
      </c>
      <c r="B23" t="s">
        <v>26</v>
      </c>
      <c r="C23">
        <v>65253</v>
      </c>
      <c r="D23" s="1">
        <v>11.9</v>
      </c>
      <c r="E23">
        <v>8.5</v>
      </c>
      <c r="F23" s="2">
        <v>-2.1</v>
      </c>
      <c r="G23">
        <f>ROUNDDOWN((D23*C23)/1000, 0)</f>
        <v>776</v>
      </c>
      <c r="J23" s="4" t="s">
        <v>118</v>
      </c>
      <c r="K23" s="1">
        <v>561</v>
      </c>
    </row>
    <row r="24" spans="1:11" x14ac:dyDescent="0.25">
      <c r="A24" t="s">
        <v>38</v>
      </c>
      <c r="B24" t="s">
        <v>39</v>
      </c>
      <c r="C24">
        <v>73127</v>
      </c>
      <c r="D24" s="1">
        <v>9.9</v>
      </c>
      <c r="E24">
        <v>12.4</v>
      </c>
      <c r="F24" s="2">
        <v>0.1</v>
      </c>
      <c r="G24">
        <f>ROUNDDOWN((D24*C24)/1000, 0)</f>
        <v>723</v>
      </c>
      <c r="J24" s="4" t="s">
        <v>185</v>
      </c>
      <c r="K24" s="1">
        <v>1182</v>
      </c>
    </row>
    <row r="25" spans="1:11" x14ac:dyDescent="0.25">
      <c r="A25" t="s">
        <v>40</v>
      </c>
      <c r="B25" t="s">
        <v>7</v>
      </c>
      <c r="C25">
        <v>103010</v>
      </c>
      <c r="D25" s="1">
        <v>11.5</v>
      </c>
      <c r="E25">
        <v>7.8</v>
      </c>
      <c r="F25" s="2">
        <v>15.1</v>
      </c>
      <c r="G25">
        <f>ROUNDDOWN((D25*C25)/1000, 0)</f>
        <v>1184</v>
      </c>
      <c r="J25" s="4" t="s">
        <v>234</v>
      </c>
      <c r="K25" s="1">
        <v>473</v>
      </c>
    </row>
    <row r="26" spans="1:11" x14ac:dyDescent="0.25">
      <c r="A26" t="s">
        <v>41</v>
      </c>
      <c r="B26" t="s">
        <v>42</v>
      </c>
      <c r="C26">
        <v>76043</v>
      </c>
      <c r="D26" s="1">
        <v>13.6</v>
      </c>
      <c r="E26">
        <v>7.9</v>
      </c>
      <c r="F26" s="2">
        <v>-2.7</v>
      </c>
      <c r="G26">
        <f>ROUNDDOWN((D26*C26)/1000, 0)</f>
        <v>1034</v>
      </c>
      <c r="J26" s="4" t="s">
        <v>243</v>
      </c>
      <c r="K26" s="1">
        <v>1337</v>
      </c>
    </row>
    <row r="27" spans="1:11" x14ac:dyDescent="0.25">
      <c r="A27" t="s">
        <v>43</v>
      </c>
      <c r="B27" t="s">
        <v>7</v>
      </c>
      <c r="C27">
        <v>51456</v>
      </c>
      <c r="D27" s="1">
        <v>12.4</v>
      </c>
      <c r="E27">
        <v>10</v>
      </c>
      <c r="F27" s="2">
        <v>-2</v>
      </c>
      <c r="G27">
        <f>ROUNDDOWN((D27*C27)/1000, 0)</f>
        <v>638</v>
      </c>
      <c r="J27" s="4" t="s">
        <v>247</v>
      </c>
      <c r="K27" s="1">
        <v>584</v>
      </c>
    </row>
    <row r="28" spans="1:11" x14ac:dyDescent="0.25">
      <c r="A28" t="s">
        <v>44</v>
      </c>
      <c r="B28" t="s">
        <v>22</v>
      </c>
      <c r="C28">
        <v>78765</v>
      </c>
      <c r="D28" s="1">
        <v>11.6</v>
      </c>
      <c r="E28">
        <v>13.2</v>
      </c>
      <c r="F28" s="2">
        <v>-1.4</v>
      </c>
      <c r="G28">
        <f>ROUNDDOWN((D28*C28)/1000, 0)</f>
        <v>913</v>
      </c>
      <c r="J28" s="4" t="s">
        <v>253</v>
      </c>
      <c r="K28" s="1">
        <v>1093</v>
      </c>
    </row>
    <row r="29" spans="1:11" x14ac:dyDescent="0.25">
      <c r="A29" t="s">
        <v>45</v>
      </c>
      <c r="B29" t="s">
        <v>46</v>
      </c>
      <c r="C29">
        <v>47389</v>
      </c>
      <c r="D29" s="1">
        <v>12.1</v>
      </c>
      <c r="E29">
        <v>10.1</v>
      </c>
      <c r="F29" s="2">
        <v>0.1</v>
      </c>
      <c r="G29">
        <f>ROUNDDOWN((D29*C29)/1000, 0)</f>
        <v>573</v>
      </c>
      <c r="J29" s="4" t="s">
        <v>277</v>
      </c>
      <c r="K29" s="1">
        <v>528</v>
      </c>
    </row>
    <row r="30" spans="1:11" x14ac:dyDescent="0.25">
      <c r="A30" t="s">
        <v>47</v>
      </c>
      <c r="B30" t="s">
        <v>42</v>
      </c>
      <c r="C30">
        <v>93411</v>
      </c>
      <c r="D30" s="1">
        <v>13.9</v>
      </c>
      <c r="E30">
        <v>9</v>
      </c>
      <c r="F30" s="2">
        <v>-0.3</v>
      </c>
      <c r="G30">
        <f>ROUNDDOWN((D30*C30)/1000, 0)</f>
        <v>1298</v>
      </c>
      <c r="J30" s="4" t="s">
        <v>324</v>
      </c>
      <c r="K30" s="1">
        <v>657</v>
      </c>
    </row>
    <row r="31" spans="1:11" x14ac:dyDescent="0.25">
      <c r="A31" t="s">
        <v>48</v>
      </c>
      <c r="B31" t="s">
        <v>19</v>
      </c>
      <c r="C31">
        <v>49705</v>
      </c>
      <c r="D31" s="1">
        <v>12.1</v>
      </c>
      <c r="E31">
        <v>10.6</v>
      </c>
      <c r="F31" s="2">
        <v>-2.2999999999999998</v>
      </c>
      <c r="G31">
        <f>ROUNDDOWN((D31*C31)/1000, 0)</f>
        <v>601</v>
      </c>
    </row>
    <row r="32" spans="1:11" x14ac:dyDescent="0.25">
      <c r="A32" t="s">
        <v>49</v>
      </c>
      <c r="B32" t="s">
        <v>29</v>
      </c>
      <c r="C32">
        <v>127645</v>
      </c>
      <c r="D32" s="1">
        <v>9.6</v>
      </c>
      <c r="E32">
        <v>10.3</v>
      </c>
      <c r="F32" s="2">
        <v>0.4</v>
      </c>
      <c r="G32">
        <f>ROUNDDOWN((D32*C32)/1000, 0)</f>
        <v>1225</v>
      </c>
    </row>
    <row r="33" spans="1:7" x14ac:dyDescent="0.25">
      <c r="A33" t="s">
        <v>50</v>
      </c>
      <c r="B33" t="s">
        <v>17</v>
      </c>
      <c r="C33">
        <v>90249</v>
      </c>
      <c r="D33" s="1">
        <v>11.4</v>
      </c>
      <c r="E33">
        <v>11.3</v>
      </c>
      <c r="F33" s="2">
        <v>-2.6</v>
      </c>
      <c r="G33">
        <f>ROUNDDOWN((D33*C33)/1000, 0)</f>
        <v>1028</v>
      </c>
    </row>
    <row r="34" spans="1:7" x14ac:dyDescent="0.25">
      <c r="A34" t="s">
        <v>51</v>
      </c>
      <c r="B34" t="s">
        <v>13</v>
      </c>
      <c r="C34">
        <v>172809</v>
      </c>
      <c r="D34" s="1">
        <v>11.2</v>
      </c>
      <c r="E34">
        <v>10.199999999999999</v>
      </c>
      <c r="F34" s="2">
        <v>2.8</v>
      </c>
      <c r="G34">
        <f>ROUNDDOWN((D34*C34)/1000, 0)</f>
        <v>1935</v>
      </c>
    </row>
    <row r="35" spans="1:7" x14ac:dyDescent="0.25">
      <c r="A35" t="s">
        <v>52</v>
      </c>
      <c r="B35" t="s">
        <v>46</v>
      </c>
      <c r="C35">
        <v>86939</v>
      </c>
      <c r="D35" s="1">
        <v>12.9</v>
      </c>
      <c r="E35">
        <v>9.5</v>
      </c>
      <c r="F35" s="2">
        <v>-1.6</v>
      </c>
      <c r="G35">
        <f>ROUNDDOWN((D35*C35)/1000, 0)</f>
        <v>1121</v>
      </c>
    </row>
    <row r="36" spans="1:7" x14ac:dyDescent="0.25">
      <c r="A36" t="s">
        <v>53</v>
      </c>
      <c r="B36" t="s">
        <v>13</v>
      </c>
      <c r="C36">
        <v>134103</v>
      </c>
      <c r="D36" s="1">
        <v>9.6</v>
      </c>
      <c r="E36">
        <v>11.9</v>
      </c>
      <c r="F36" s="2">
        <v>3.7</v>
      </c>
      <c r="G36">
        <f>ROUNDDOWN((D36*C36)/1000, 0)</f>
        <v>1287</v>
      </c>
    </row>
    <row r="37" spans="1:7" x14ac:dyDescent="0.25">
      <c r="A37" t="s">
        <v>54</v>
      </c>
      <c r="B37" t="s">
        <v>42</v>
      </c>
      <c r="C37">
        <v>56762</v>
      </c>
      <c r="D37" s="1">
        <v>11.8</v>
      </c>
      <c r="E37">
        <v>8.4</v>
      </c>
      <c r="F37" s="2">
        <v>-3.6</v>
      </c>
      <c r="G37">
        <f>ROUNDDOWN((D37*C37)/1000, 0)</f>
        <v>669</v>
      </c>
    </row>
    <row r="38" spans="1:7" x14ac:dyDescent="0.25">
      <c r="A38" t="s">
        <v>55</v>
      </c>
      <c r="B38" t="s">
        <v>29</v>
      </c>
      <c r="C38">
        <v>58664</v>
      </c>
      <c r="D38" s="1">
        <v>10.199999999999999</v>
      </c>
      <c r="E38">
        <v>9.1999999999999993</v>
      </c>
      <c r="F38" s="2">
        <v>-1</v>
      </c>
      <c r="G38">
        <f>ROUNDDOWN((D38*C38)/1000, 0)</f>
        <v>598</v>
      </c>
    </row>
    <row r="39" spans="1:7" x14ac:dyDescent="0.25">
      <c r="A39" t="s">
        <v>56</v>
      </c>
      <c r="B39" t="s">
        <v>26</v>
      </c>
      <c r="C39">
        <v>133244</v>
      </c>
      <c r="D39" s="1">
        <v>11.6</v>
      </c>
      <c r="E39">
        <v>7.9</v>
      </c>
      <c r="F39" s="2">
        <v>-1.1000000000000001</v>
      </c>
      <c r="G39">
        <f>ROUNDDOWN((D39*C39)/1000, 0)</f>
        <v>1545</v>
      </c>
    </row>
    <row r="40" spans="1:7" x14ac:dyDescent="0.25">
      <c r="A40" t="s">
        <v>57</v>
      </c>
      <c r="B40" t="s">
        <v>19</v>
      </c>
      <c r="C40">
        <v>57485</v>
      </c>
      <c r="D40" s="1">
        <v>11.2</v>
      </c>
      <c r="E40">
        <v>9.4</v>
      </c>
      <c r="F40" s="2">
        <v>-3.6</v>
      </c>
      <c r="G40">
        <f>ROUNDDOWN((D40*C40)/1000, 0)</f>
        <v>643</v>
      </c>
    </row>
    <row r="41" spans="1:7" x14ac:dyDescent="0.25">
      <c r="A41" t="s">
        <v>58</v>
      </c>
      <c r="B41" t="s">
        <v>11</v>
      </c>
      <c r="C41">
        <v>65188</v>
      </c>
      <c r="D41" s="1">
        <v>13.1</v>
      </c>
      <c r="E41">
        <v>9</v>
      </c>
      <c r="F41" s="2">
        <v>-3.6</v>
      </c>
      <c r="G41">
        <f>ROUNDDOWN((D41*C41)/1000, 0)</f>
        <v>853</v>
      </c>
    </row>
    <row r="42" spans="1:7" x14ac:dyDescent="0.25">
      <c r="A42" t="s">
        <v>59</v>
      </c>
      <c r="B42" t="s">
        <v>31</v>
      </c>
      <c r="C42">
        <v>103636</v>
      </c>
      <c r="D42" s="1">
        <v>9.1999999999999993</v>
      </c>
      <c r="E42">
        <v>12.8</v>
      </c>
      <c r="F42" s="2">
        <v>-0.6</v>
      </c>
      <c r="G42">
        <f>ROUNDDOWN((D42*C42)/1000, 0)</f>
        <v>953</v>
      </c>
    </row>
    <row r="43" spans="1:7" x14ac:dyDescent="0.25">
      <c r="A43" t="s">
        <v>60</v>
      </c>
      <c r="B43" t="s">
        <v>11</v>
      </c>
      <c r="C43">
        <v>56389</v>
      </c>
      <c r="D43" s="1">
        <v>11.6</v>
      </c>
      <c r="E43">
        <v>9.9</v>
      </c>
      <c r="F43" s="2">
        <v>-2</v>
      </c>
      <c r="G43">
        <f>ROUNDDOWN((D43*C43)/1000, 0)</f>
        <v>654</v>
      </c>
    </row>
    <row r="44" spans="1:7" x14ac:dyDescent="0.25">
      <c r="A44" t="s">
        <v>61</v>
      </c>
      <c r="B44" t="s">
        <v>11</v>
      </c>
      <c r="C44">
        <v>86238</v>
      </c>
      <c r="D44" s="1">
        <v>12.1</v>
      </c>
      <c r="E44">
        <v>8.3000000000000007</v>
      </c>
      <c r="F44" s="2">
        <v>1.3</v>
      </c>
      <c r="G44">
        <f>ROUNDDOWN((D44*C44)/1000, 0)</f>
        <v>1043</v>
      </c>
    </row>
    <row r="45" spans="1:7" x14ac:dyDescent="0.25">
      <c r="A45" t="s">
        <v>62</v>
      </c>
      <c r="B45" t="s">
        <v>17</v>
      </c>
      <c r="C45">
        <v>106927</v>
      </c>
      <c r="D45" s="1">
        <v>13</v>
      </c>
      <c r="E45">
        <v>10.7</v>
      </c>
      <c r="F45" s="2">
        <v>-0.9</v>
      </c>
      <c r="G45">
        <f>ROUNDDOWN((D45*C45)/1000, 0)</f>
        <v>1390</v>
      </c>
    </row>
    <row r="46" spans="1:7" x14ac:dyDescent="0.25">
      <c r="A46" t="s">
        <v>63</v>
      </c>
      <c r="B46" t="s">
        <v>42</v>
      </c>
      <c r="C46">
        <v>93191</v>
      </c>
      <c r="D46" s="1">
        <v>12.7</v>
      </c>
      <c r="E46">
        <v>6.7</v>
      </c>
      <c r="F46" s="2">
        <v>19.3</v>
      </c>
      <c r="G46">
        <f>ROUNDDOWN((D46*C46)/1000, 0)</f>
        <v>1183</v>
      </c>
    </row>
    <row r="47" spans="1:7" x14ac:dyDescent="0.25">
      <c r="A47" t="s">
        <v>64</v>
      </c>
      <c r="B47" t="s">
        <v>11</v>
      </c>
      <c r="C47">
        <v>56522</v>
      </c>
      <c r="D47" s="1">
        <v>11.3</v>
      </c>
      <c r="E47">
        <v>9.8000000000000007</v>
      </c>
      <c r="F47" s="2">
        <v>-2.7</v>
      </c>
      <c r="G47">
        <f>ROUNDDOWN((D47*C47)/1000, 0)</f>
        <v>638</v>
      </c>
    </row>
    <row r="48" spans="1:7" x14ac:dyDescent="0.25">
      <c r="A48" t="s">
        <v>65</v>
      </c>
      <c r="B48" t="s">
        <v>13</v>
      </c>
      <c r="C48">
        <v>114093</v>
      </c>
      <c r="D48" s="1">
        <v>10.8</v>
      </c>
      <c r="E48">
        <v>10.6</v>
      </c>
      <c r="F48" s="2">
        <v>-0.1</v>
      </c>
      <c r="G48">
        <f>ROUNDDOWN((D48*C48)/1000, 0)</f>
        <v>1232</v>
      </c>
    </row>
    <row r="49" spans="1:7" x14ac:dyDescent="0.25">
      <c r="A49" t="s">
        <v>66</v>
      </c>
      <c r="B49" t="s">
        <v>31</v>
      </c>
      <c r="C49">
        <v>87712</v>
      </c>
      <c r="D49" s="1">
        <v>12.1</v>
      </c>
      <c r="E49">
        <v>7.6</v>
      </c>
      <c r="F49" s="2">
        <v>-3.3</v>
      </c>
      <c r="G49">
        <f>ROUNDDOWN((D49*C49)/1000, 0)</f>
        <v>1061</v>
      </c>
    </row>
    <row r="50" spans="1:7" x14ac:dyDescent="0.25">
      <c r="A50" t="s">
        <v>67</v>
      </c>
      <c r="B50" t="s">
        <v>35</v>
      </c>
      <c r="C50">
        <v>49422</v>
      </c>
      <c r="D50" s="1">
        <v>9.3000000000000007</v>
      </c>
      <c r="E50">
        <v>11.7</v>
      </c>
      <c r="F50" s="2">
        <v>-3.2</v>
      </c>
      <c r="G50">
        <f>ROUNDDOWN((D50*C50)/1000, 0)</f>
        <v>459</v>
      </c>
    </row>
    <row r="51" spans="1:7" x14ac:dyDescent="0.25">
      <c r="A51" t="s">
        <v>68</v>
      </c>
      <c r="B51" t="s">
        <v>46</v>
      </c>
      <c r="C51">
        <v>141719</v>
      </c>
      <c r="D51" s="1">
        <v>12</v>
      </c>
      <c r="E51">
        <v>8.6</v>
      </c>
      <c r="F51" s="2">
        <v>-0.4</v>
      </c>
      <c r="G51">
        <f>ROUNDDOWN((D51*C51)/1000, 0)</f>
        <v>1700</v>
      </c>
    </row>
    <row r="52" spans="1:7" x14ac:dyDescent="0.25">
      <c r="A52" t="s">
        <v>69</v>
      </c>
      <c r="B52" t="s">
        <v>11</v>
      </c>
      <c r="C52">
        <v>26642</v>
      </c>
      <c r="D52" s="1">
        <v>12.7</v>
      </c>
      <c r="E52">
        <v>8.1</v>
      </c>
      <c r="F52" s="2">
        <v>-3.7</v>
      </c>
      <c r="G52">
        <f>ROUNDDOWN((D52*C52)/1000, 0)</f>
        <v>338</v>
      </c>
    </row>
    <row r="53" spans="1:7" x14ac:dyDescent="0.25">
      <c r="A53" t="s">
        <v>70</v>
      </c>
      <c r="B53" t="s">
        <v>19</v>
      </c>
      <c r="C53">
        <v>79937</v>
      </c>
      <c r="D53" s="1">
        <v>11.1</v>
      </c>
      <c r="E53">
        <v>8.9</v>
      </c>
      <c r="F53" s="2">
        <v>2.2000000000000002</v>
      </c>
      <c r="G53">
        <f>ROUNDDOWN((D53*C53)/1000, 0)</f>
        <v>887</v>
      </c>
    </row>
    <row r="54" spans="1:7" x14ac:dyDescent="0.25">
      <c r="A54" t="s">
        <v>71</v>
      </c>
      <c r="B54" t="s">
        <v>7</v>
      </c>
      <c r="C54">
        <v>45281</v>
      </c>
      <c r="D54" s="1">
        <v>11.9</v>
      </c>
      <c r="E54">
        <v>9.8000000000000007</v>
      </c>
      <c r="F54" s="2">
        <v>-1.4</v>
      </c>
      <c r="G54">
        <f>ROUNDDOWN((D54*C54)/1000, 0)</f>
        <v>538</v>
      </c>
    </row>
    <row r="55" spans="1:7" x14ac:dyDescent="0.25">
      <c r="A55" t="s">
        <v>72</v>
      </c>
      <c r="B55" t="s">
        <v>29</v>
      </c>
      <c r="C55">
        <v>107017</v>
      </c>
      <c r="D55" s="1">
        <v>12.2</v>
      </c>
      <c r="E55">
        <v>8.8000000000000007</v>
      </c>
      <c r="F55" s="2">
        <v>-1.9</v>
      </c>
      <c r="G55">
        <f>ROUNDDOWN((D55*C55)/1000, 0)</f>
        <v>1305</v>
      </c>
    </row>
    <row r="56" spans="1:7" x14ac:dyDescent="0.25">
      <c r="A56" t="s">
        <v>73</v>
      </c>
      <c r="B56" t="s">
        <v>31</v>
      </c>
      <c r="C56">
        <v>36317</v>
      </c>
      <c r="D56" s="1">
        <v>10.9</v>
      </c>
      <c r="E56">
        <v>11.3</v>
      </c>
      <c r="F56" s="2">
        <v>-1.6</v>
      </c>
      <c r="G56">
        <f>ROUNDDOWN((D56*C56)/1000, 0)</f>
        <v>395</v>
      </c>
    </row>
    <row r="57" spans="1:7" x14ac:dyDescent="0.25">
      <c r="A57" t="s">
        <v>74</v>
      </c>
      <c r="B57" t="s">
        <v>75</v>
      </c>
      <c r="C57">
        <v>67443</v>
      </c>
      <c r="D57" s="1">
        <v>12</v>
      </c>
      <c r="E57">
        <v>9</v>
      </c>
      <c r="F57" s="2">
        <v>5.7</v>
      </c>
      <c r="G57">
        <f>ROUNDDOWN((D57*C57)/1000, 0)</f>
        <v>809</v>
      </c>
    </row>
    <row r="58" spans="1:7" x14ac:dyDescent="0.25">
      <c r="A58" t="s">
        <v>76</v>
      </c>
      <c r="B58" t="s">
        <v>17</v>
      </c>
      <c r="C58">
        <v>46766</v>
      </c>
      <c r="D58" s="1">
        <v>11.6</v>
      </c>
      <c r="E58">
        <v>10.9</v>
      </c>
      <c r="F58" s="2">
        <v>-2.7</v>
      </c>
      <c r="G58">
        <f>ROUNDDOWN((D58*C58)/1000, 0)</f>
        <v>542</v>
      </c>
    </row>
    <row r="59" spans="1:7" x14ac:dyDescent="0.25">
      <c r="A59" t="s">
        <v>77</v>
      </c>
      <c r="B59" t="s">
        <v>46</v>
      </c>
      <c r="C59">
        <v>76052</v>
      </c>
      <c r="D59" s="1">
        <v>12.6</v>
      </c>
      <c r="E59">
        <v>9.1</v>
      </c>
      <c r="F59" s="2">
        <v>-1.8</v>
      </c>
      <c r="G59">
        <f>ROUNDDOWN((D59*C59)/1000, 0)</f>
        <v>958</v>
      </c>
    </row>
    <row r="60" spans="1:7" x14ac:dyDescent="0.25">
      <c r="A60" t="s">
        <v>78</v>
      </c>
      <c r="B60" t="s">
        <v>9</v>
      </c>
      <c r="C60">
        <v>49393</v>
      </c>
      <c r="D60" s="1">
        <v>10.5</v>
      </c>
      <c r="E60">
        <v>9.5</v>
      </c>
      <c r="F60" s="2">
        <v>-4.4000000000000004</v>
      </c>
      <c r="G60">
        <f>ROUNDDOWN((D60*C60)/1000, 0)</f>
        <v>518</v>
      </c>
    </row>
    <row r="61" spans="1:7" x14ac:dyDescent="0.25">
      <c r="A61" t="s">
        <v>79</v>
      </c>
      <c r="B61" t="s">
        <v>46</v>
      </c>
      <c r="C61">
        <v>49903</v>
      </c>
      <c r="D61" s="1">
        <v>13.3</v>
      </c>
      <c r="E61">
        <v>9.3000000000000007</v>
      </c>
      <c r="F61" s="2">
        <v>-0.8</v>
      </c>
      <c r="G61">
        <f>ROUNDDOWN((D61*C61)/1000, 0)</f>
        <v>663</v>
      </c>
    </row>
    <row r="62" spans="1:7" x14ac:dyDescent="0.25">
      <c r="A62" t="s">
        <v>79</v>
      </c>
      <c r="B62" t="s">
        <v>17</v>
      </c>
      <c r="C62">
        <v>81923</v>
      </c>
      <c r="D62" s="1">
        <v>12.3</v>
      </c>
      <c r="E62">
        <v>10.6</v>
      </c>
      <c r="F62" s="2">
        <v>13.7</v>
      </c>
      <c r="G62">
        <f>ROUNDDOWN((D62*C62)/1000, 0)</f>
        <v>1007</v>
      </c>
    </row>
    <row r="63" spans="1:7" x14ac:dyDescent="0.25">
      <c r="A63" t="s">
        <v>80</v>
      </c>
      <c r="B63" t="s">
        <v>17</v>
      </c>
      <c r="C63">
        <v>96957</v>
      </c>
      <c r="D63" s="1">
        <v>12.4</v>
      </c>
      <c r="E63">
        <v>11.4</v>
      </c>
      <c r="F63" s="2">
        <v>1.2</v>
      </c>
      <c r="G63">
        <f>ROUNDDOWN((D63*C63)/1000, 0)</f>
        <v>1202</v>
      </c>
    </row>
    <row r="64" spans="1:7" x14ac:dyDescent="0.25">
      <c r="A64" t="s">
        <v>81</v>
      </c>
      <c r="B64" t="s">
        <v>7</v>
      </c>
      <c r="C64">
        <v>38708</v>
      </c>
      <c r="D64" s="1">
        <v>11.4</v>
      </c>
      <c r="E64">
        <v>8.9</v>
      </c>
      <c r="F64" s="2">
        <v>-0.9</v>
      </c>
      <c r="G64">
        <f>ROUNDDOWN((D64*C64)/1000, 0)</f>
        <v>441</v>
      </c>
    </row>
    <row r="65" spans="1:7" x14ac:dyDescent="0.25">
      <c r="A65" t="s">
        <v>82</v>
      </c>
      <c r="B65" t="s">
        <v>19</v>
      </c>
      <c r="C65">
        <v>60595</v>
      </c>
      <c r="D65" s="1">
        <v>11.6</v>
      </c>
      <c r="E65">
        <v>9.5</v>
      </c>
      <c r="F65" s="2">
        <v>-1.8</v>
      </c>
      <c r="G65">
        <f>ROUNDDOWN((D65*C65)/1000, 0)</f>
        <v>702</v>
      </c>
    </row>
    <row r="66" spans="1:7" x14ac:dyDescent="0.25">
      <c r="A66" t="s">
        <v>83</v>
      </c>
      <c r="B66" t="s">
        <v>19</v>
      </c>
      <c r="C66">
        <v>82830</v>
      </c>
      <c r="D66" s="1">
        <v>10.8</v>
      </c>
      <c r="E66">
        <v>9.1</v>
      </c>
      <c r="F66" s="2">
        <v>-2.8</v>
      </c>
      <c r="G66">
        <f>ROUNDDOWN((D66*C66)/1000, 0)</f>
        <v>894</v>
      </c>
    </row>
    <row r="67" spans="1:7" x14ac:dyDescent="0.25">
      <c r="A67" t="s">
        <v>84</v>
      </c>
      <c r="B67" t="s">
        <v>9</v>
      </c>
      <c r="C67">
        <v>46385</v>
      </c>
      <c r="D67" s="1">
        <v>8.3000000000000007</v>
      </c>
      <c r="E67">
        <v>15.1</v>
      </c>
      <c r="F67" s="2">
        <v>-3.6</v>
      </c>
      <c r="G67">
        <f>ROUNDDOWN((D67*C67)/1000, 0)</f>
        <v>384</v>
      </c>
    </row>
    <row r="68" spans="1:7" x14ac:dyDescent="0.25">
      <c r="A68" t="s">
        <v>85</v>
      </c>
      <c r="B68" t="s">
        <v>22</v>
      </c>
      <c r="C68">
        <v>67059</v>
      </c>
      <c r="D68" s="1">
        <v>10.1</v>
      </c>
      <c r="E68">
        <v>12.6</v>
      </c>
      <c r="F68" s="2">
        <v>-4.9000000000000004</v>
      </c>
      <c r="G68">
        <f>ROUNDDOWN((D68*C68)/1000, 0)</f>
        <v>677</v>
      </c>
    </row>
    <row r="69" spans="1:7" x14ac:dyDescent="0.25">
      <c r="A69" t="s">
        <v>86</v>
      </c>
      <c r="B69" t="s">
        <v>11</v>
      </c>
      <c r="C69">
        <v>90442</v>
      </c>
      <c r="D69" s="1">
        <v>12.5</v>
      </c>
      <c r="E69">
        <v>8.4</v>
      </c>
      <c r="F69" s="2">
        <v>-1.2</v>
      </c>
      <c r="G69">
        <f>ROUNDDOWN((D69*C69)/1000, 0)</f>
        <v>1130</v>
      </c>
    </row>
    <row r="70" spans="1:7" x14ac:dyDescent="0.25">
      <c r="A70" t="s">
        <v>87</v>
      </c>
      <c r="B70" t="s">
        <v>7</v>
      </c>
      <c r="C70">
        <v>164112</v>
      </c>
      <c r="D70" s="1">
        <v>10.6</v>
      </c>
      <c r="E70">
        <v>10</v>
      </c>
      <c r="F70" s="2">
        <v>-1.6</v>
      </c>
      <c r="G70">
        <f>ROUNDDOWN((D70*C70)/1000, 0)</f>
        <v>1739</v>
      </c>
    </row>
    <row r="71" spans="1:7" x14ac:dyDescent="0.25">
      <c r="A71" t="s">
        <v>88</v>
      </c>
      <c r="B71" t="s">
        <v>22</v>
      </c>
      <c r="C71">
        <v>47242</v>
      </c>
      <c r="D71" s="1">
        <v>10.1</v>
      </c>
      <c r="E71">
        <v>12.8</v>
      </c>
      <c r="F71" s="2">
        <v>-1.4</v>
      </c>
      <c r="G71">
        <f>ROUNDDOWN((D71*C71)/1000, 0)</f>
        <v>477</v>
      </c>
    </row>
    <row r="72" spans="1:7" x14ac:dyDescent="0.25">
      <c r="A72" t="s">
        <v>89</v>
      </c>
      <c r="B72" t="s">
        <v>46</v>
      </c>
      <c r="C72">
        <v>70821</v>
      </c>
      <c r="D72" s="1">
        <v>12.2</v>
      </c>
      <c r="E72">
        <v>9.5</v>
      </c>
      <c r="F72" s="2">
        <v>-1</v>
      </c>
      <c r="G72">
        <f>ROUNDDOWN((D72*C72)/1000, 0)</f>
        <v>864</v>
      </c>
    </row>
    <row r="73" spans="1:7" x14ac:dyDescent="0.25">
      <c r="A73" t="s">
        <v>90</v>
      </c>
      <c r="B73" t="s">
        <v>26</v>
      </c>
      <c r="C73">
        <v>121654</v>
      </c>
      <c r="D73" s="1">
        <v>10.7</v>
      </c>
      <c r="E73">
        <v>9.3000000000000007</v>
      </c>
      <c r="F73" s="2">
        <v>-1.3</v>
      </c>
      <c r="G73">
        <f>ROUNDDOWN((D73*C73)/1000, 0)</f>
        <v>1301</v>
      </c>
    </row>
    <row r="74" spans="1:7" x14ac:dyDescent="0.25">
      <c r="A74" t="s">
        <v>91</v>
      </c>
      <c r="B74" t="s">
        <v>26</v>
      </c>
      <c r="C74">
        <v>114689</v>
      </c>
      <c r="D74" s="1">
        <v>10.1</v>
      </c>
      <c r="E74">
        <v>9.4</v>
      </c>
      <c r="F74" s="2">
        <v>-1.3</v>
      </c>
      <c r="G74">
        <f>ROUNDDOWN((D74*C74)/1000, 0)</f>
        <v>1158</v>
      </c>
    </row>
    <row r="75" spans="1:7" x14ac:dyDescent="0.25">
      <c r="A75" t="s">
        <v>92</v>
      </c>
      <c r="B75" t="s">
        <v>31</v>
      </c>
      <c r="C75">
        <v>51581</v>
      </c>
      <c r="D75" s="1">
        <v>9.9</v>
      </c>
      <c r="E75">
        <v>11.8</v>
      </c>
      <c r="F75" s="2">
        <v>-1.7</v>
      </c>
      <c r="G75">
        <f>ROUNDDOWN((D75*C75)/1000, 0)</f>
        <v>510</v>
      </c>
    </row>
    <row r="76" spans="1:7" x14ac:dyDescent="0.25">
      <c r="A76" t="s">
        <v>93</v>
      </c>
      <c r="B76" t="s">
        <v>39</v>
      </c>
      <c r="C76">
        <v>88665</v>
      </c>
      <c r="D76" s="1">
        <v>10.4</v>
      </c>
      <c r="E76">
        <v>11.6</v>
      </c>
      <c r="F76" s="2">
        <v>-2</v>
      </c>
      <c r="G76">
        <f>ROUNDDOWN((D76*C76)/1000, 0)</f>
        <v>922</v>
      </c>
    </row>
    <row r="77" spans="1:7" x14ac:dyDescent="0.25">
      <c r="A77" t="s">
        <v>94</v>
      </c>
      <c r="B77" t="s">
        <v>31</v>
      </c>
      <c r="C77">
        <v>63865</v>
      </c>
      <c r="D77" s="1">
        <v>9.3000000000000007</v>
      </c>
      <c r="E77">
        <v>12.3</v>
      </c>
      <c r="F77" s="2">
        <v>3.8</v>
      </c>
      <c r="G77">
        <f>ROUNDDOWN((D77*C77)/1000, 0)</f>
        <v>593</v>
      </c>
    </row>
    <row r="78" spans="1:7" x14ac:dyDescent="0.25">
      <c r="A78" t="s">
        <v>95</v>
      </c>
      <c r="B78" t="s">
        <v>46</v>
      </c>
      <c r="C78">
        <v>81166</v>
      </c>
      <c r="D78" s="1">
        <v>11.7</v>
      </c>
      <c r="E78">
        <v>10.4</v>
      </c>
      <c r="F78" s="2">
        <v>2.8</v>
      </c>
      <c r="G78">
        <f>ROUNDDOWN((D78*C78)/1000, 0)</f>
        <v>949</v>
      </c>
    </row>
    <row r="79" spans="1:7" x14ac:dyDescent="0.25">
      <c r="A79" t="s">
        <v>96</v>
      </c>
      <c r="B79" t="s">
        <v>31</v>
      </c>
      <c r="C79">
        <v>45562</v>
      </c>
      <c r="D79" s="1">
        <v>10.3</v>
      </c>
      <c r="E79">
        <v>11.2</v>
      </c>
      <c r="F79" s="2">
        <v>-3.9</v>
      </c>
      <c r="G79">
        <f>ROUNDDOWN((D79*C79)/1000, 0)</f>
        <v>469</v>
      </c>
    </row>
    <row r="80" spans="1:7" x14ac:dyDescent="0.25">
      <c r="A80" t="s">
        <v>97</v>
      </c>
      <c r="B80" t="s">
        <v>19</v>
      </c>
      <c r="C80">
        <v>47769</v>
      </c>
      <c r="D80" s="1">
        <v>10.9</v>
      </c>
      <c r="E80">
        <v>10.8</v>
      </c>
      <c r="F80" s="2">
        <v>-1.3</v>
      </c>
      <c r="G80">
        <f>ROUNDDOWN((D80*C80)/1000, 0)</f>
        <v>520</v>
      </c>
    </row>
    <row r="81" spans="1:7" x14ac:dyDescent="0.25">
      <c r="A81" t="s">
        <v>98</v>
      </c>
      <c r="B81" t="s">
        <v>42</v>
      </c>
      <c r="C81">
        <v>116000</v>
      </c>
      <c r="D81" s="1">
        <v>15.2</v>
      </c>
      <c r="E81">
        <v>6.5</v>
      </c>
      <c r="F81" s="2">
        <v>7.7</v>
      </c>
      <c r="G81">
        <f>ROUNDDOWN((D81*C81)/1000, 0)</f>
        <v>1763</v>
      </c>
    </row>
    <row r="82" spans="1:7" x14ac:dyDescent="0.25">
      <c r="A82" t="s">
        <v>99</v>
      </c>
      <c r="B82" t="s">
        <v>39</v>
      </c>
      <c r="C82">
        <v>35088</v>
      </c>
      <c r="D82" s="1">
        <v>8.3000000000000007</v>
      </c>
      <c r="E82">
        <v>12.5</v>
      </c>
      <c r="F82" s="2">
        <v>-1.8</v>
      </c>
      <c r="G82">
        <f>ROUNDDOWN((D82*C82)/1000, 0)</f>
        <v>291</v>
      </c>
    </row>
    <row r="83" spans="1:7" x14ac:dyDescent="0.25">
      <c r="A83" t="s">
        <v>100</v>
      </c>
      <c r="B83" t="s">
        <v>35</v>
      </c>
      <c r="C83">
        <v>100320</v>
      </c>
      <c r="D83" s="1">
        <v>8.1</v>
      </c>
      <c r="E83">
        <v>10.199999999999999</v>
      </c>
      <c r="F83" s="2">
        <v>-3.3</v>
      </c>
      <c r="G83">
        <f>ROUNDDOWN((D83*C83)/1000, 0)</f>
        <v>812</v>
      </c>
    </row>
    <row r="84" spans="1:7" x14ac:dyDescent="0.25">
      <c r="A84" t="s">
        <v>101</v>
      </c>
      <c r="B84" t="s">
        <v>46</v>
      </c>
      <c r="C84">
        <v>55903</v>
      </c>
      <c r="D84" s="1">
        <v>11.3</v>
      </c>
      <c r="E84">
        <v>9.3000000000000007</v>
      </c>
      <c r="F84" s="2">
        <v>-0.9</v>
      </c>
      <c r="G84">
        <f>ROUNDDOWN((D84*C84)/1000, 0)</f>
        <v>631</v>
      </c>
    </row>
    <row r="85" spans="1:7" x14ac:dyDescent="0.25">
      <c r="A85" t="s">
        <v>102</v>
      </c>
      <c r="B85" t="s">
        <v>11</v>
      </c>
      <c r="C85">
        <v>64814</v>
      </c>
      <c r="D85" s="1">
        <v>10.8</v>
      </c>
      <c r="E85">
        <v>11.3</v>
      </c>
      <c r="F85" s="2">
        <v>-4.5999999999999996</v>
      </c>
      <c r="G85">
        <f>ROUNDDOWN((D85*C85)/1000, 0)</f>
        <v>699</v>
      </c>
    </row>
    <row r="86" spans="1:7" x14ac:dyDescent="0.25">
      <c r="A86" t="s">
        <v>103</v>
      </c>
      <c r="B86" t="s">
        <v>39</v>
      </c>
      <c r="C86">
        <v>201643</v>
      </c>
      <c r="D86" s="1">
        <v>11.2</v>
      </c>
      <c r="E86">
        <v>9.1999999999999993</v>
      </c>
      <c r="F86" s="2">
        <v>2.9</v>
      </c>
      <c r="G86">
        <f>ROUNDDOWN((D86*C86)/1000, 0)</f>
        <v>2258</v>
      </c>
    </row>
    <row r="87" spans="1:7" x14ac:dyDescent="0.25">
      <c r="A87" t="s">
        <v>104</v>
      </c>
      <c r="B87" t="s">
        <v>13</v>
      </c>
      <c r="C87">
        <v>85001</v>
      </c>
      <c r="D87" s="1">
        <v>9.4</v>
      </c>
      <c r="E87">
        <v>10.4</v>
      </c>
      <c r="F87" s="2">
        <v>1.4</v>
      </c>
      <c r="G87">
        <f>ROUNDDOWN((D87*C87)/1000, 0)</f>
        <v>799</v>
      </c>
    </row>
    <row r="88" spans="1:7" x14ac:dyDescent="0.25">
      <c r="A88" t="s">
        <v>105</v>
      </c>
      <c r="B88" t="s">
        <v>31</v>
      </c>
      <c r="C88">
        <v>163648</v>
      </c>
      <c r="D88" s="1">
        <v>9.8000000000000007</v>
      </c>
      <c r="E88">
        <v>12</v>
      </c>
      <c r="F88" s="2">
        <v>-2.6</v>
      </c>
      <c r="G88">
        <f>ROUNDDOWN((D88*C88)/1000, 0)</f>
        <v>1603</v>
      </c>
    </row>
    <row r="89" spans="1:7" x14ac:dyDescent="0.25">
      <c r="A89" t="s">
        <v>106</v>
      </c>
      <c r="B89" t="s">
        <v>35</v>
      </c>
      <c r="C89">
        <v>68801</v>
      </c>
      <c r="D89" s="1">
        <v>8.6</v>
      </c>
      <c r="E89">
        <v>9.5</v>
      </c>
      <c r="F89" s="2">
        <v>-2.4</v>
      </c>
      <c r="G89">
        <f>ROUNDDOWN((D89*C89)/1000, 0)</f>
        <v>591</v>
      </c>
    </row>
    <row r="90" spans="1:7" x14ac:dyDescent="0.25">
      <c r="A90" t="s">
        <v>107</v>
      </c>
      <c r="B90" t="s">
        <v>26</v>
      </c>
      <c r="C90">
        <v>61546</v>
      </c>
      <c r="D90" s="1">
        <v>10</v>
      </c>
      <c r="E90">
        <v>8.5</v>
      </c>
      <c r="F90" s="2">
        <v>-0.4</v>
      </c>
      <c r="G90">
        <f>ROUNDDOWN((D90*C90)/1000, 0)</f>
        <v>615</v>
      </c>
    </row>
    <row r="91" spans="1:7" x14ac:dyDescent="0.25">
      <c r="A91" t="s">
        <v>108</v>
      </c>
      <c r="B91" t="s">
        <v>9</v>
      </c>
      <c r="C91">
        <v>39053</v>
      </c>
      <c r="D91" s="1">
        <v>10.7</v>
      </c>
      <c r="E91">
        <v>9.6</v>
      </c>
      <c r="F91" s="2">
        <v>-5.9</v>
      </c>
      <c r="G91">
        <f>ROUNDDOWN((D91*C91)/1000, 0)</f>
        <v>417</v>
      </c>
    </row>
    <row r="92" spans="1:7" x14ac:dyDescent="0.25">
      <c r="A92" t="s">
        <v>109</v>
      </c>
      <c r="B92" t="s">
        <v>19</v>
      </c>
      <c r="C92">
        <v>77095</v>
      </c>
      <c r="D92" s="1">
        <v>10.6</v>
      </c>
      <c r="E92">
        <v>8.6999999999999993</v>
      </c>
      <c r="F92" s="2">
        <v>0.8</v>
      </c>
      <c r="G92">
        <f>ROUNDDOWN((D92*C92)/1000, 0)</f>
        <v>817</v>
      </c>
    </row>
    <row r="93" spans="1:7" x14ac:dyDescent="0.25">
      <c r="A93" t="s">
        <v>110</v>
      </c>
      <c r="B93" t="s">
        <v>46</v>
      </c>
      <c r="C93">
        <v>88274</v>
      </c>
      <c r="D93" s="1">
        <v>11.7</v>
      </c>
      <c r="E93">
        <v>10.8</v>
      </c>
      <c r="F93" s="2">
        <v>-1.2</v>
      </c>
      <c r="G93">
        <f>ROUNDDOWN((D93*C93)/1000, 0)</f>
        <v>1032</v>
      </c>
    </row>
    <row r="94" spans="1:7" x14ac:dyDescent="0.25">
      <c r="A94" t="s">
        <v>111</v>
      </c>
      <c r="B94" t="s">
        <v>39</v>
      </c>
      <c r="C94">
        <v>83005</v>
      </c>
      <c r="D94" s="1">
        <v>9.6999999999999993</v>
      </c>
      <c r="E94">
        <v>11.8</v>
      </c>
      <c r="F94" s="2">
        <v>-2</v>
      </c>
      <c r="G94">
        <f>ROUNDDOWN((D94*C94)/1000, 0)</f>
        <v>805</v>
      </c>
    </row>
    <row r="95" spans="1:7" x14ac:dyDescent="0.25">
      <c r="A95" t="s">
        <v>112</v>
      </c>
      <c r="B95" t="s">
        <v>46</v>
      </c>
      <c r="C95">
        <v>125965</v>
      </c>
      <c r="D95" s="1">
        <v>11.7</v>
      </c>
      <c r="E95">
        <v>9.3000000000000007</v>
      </c>
      <c r="F95" s="2">
        <v>2.5</v>
      </c>
      <c r="G95">
        <f>ROUNDDOWN((D95*C95)/1000, 0)</f>
        <v>1473</v>
      </c>
    </row>
    <row r="96" spans="1:7" x14ac:dyDescent="0.25">
      <c r="A96" t="s">
        <v>113</v>
      </c>
      <c r="B96" t="s">
        <v>46</v>
      </c>
      <c r="C96">
        <v>78205</v>
      </c>
      <c r="D96" s="1">
        <v>11.4</v>
      </c>
      <c r="E96">
        <v>9.6</v>
      </c>
      <c r="F96" s="2">
        <v>-0.7</v>
      </c>
      <c r="G96">
        <f>ROUNDDOWN((D96*C96)/1000, 0)</f>
        <v>891</v>
      </c>
    </row>
    <row r="97" spans="1:7" x14ac:dyDescent="0.25">
      <c r="A97" t="s">
        <v>114</v>
      </c>
      <c r="B97" t="s">
        <v>42</v>
      </c>
      <c r="C97">
        <v>68311</v>
      </c>
      <c r="D97" s="1">
        <v>15.2</v>
      </c>
      <c r="E97">
        <v>8</v>
      </c>
      <c r="F97" s="2">
        <v>0.4</v>
      </c>
      <c r="G97">
        <f>ROUNDDOWN((D97*C97)/1000, 0)</f>
        <v>1038</v>
      </c>
    </row>
    <row r="98" spans="1:7" x14ac:dyDescent="0.25">
      <c r="A98" t="s">
        <v>115</v>
      </c>
      <c r="B98" t="s">
        <v>19</v>
      </c>
      <c r="C98">
        <v>65049</v>
      </c>
      <c r="D98" s="1">
        <v>11.5</v>
      </c>
      <c r="E98">
        <v>9.3000000000000007</v>
      </c>
      <c r="F98" s="2">
        <v>3.8</v>
      </c>
      <c r="G98">
        <f>ROUNDDOWN((D98*C98)/1000, 0)</f>
        <v>748</v>
      </c>
    </row>
    <row r="99" spans="1:7" x14ac:dyDescent="0.25">
      <c r="A99" t="s">
        <v>116</v>
      </c>
      <c r="B99" t="s">
        <v>17</v>
      </c>
      <c r="C99">
        <v>61199</v>
      </c>
      <c r="D99" s="1">
        <v>10.8</v>
      </c>
      <c r="E99">
        <v>11.2</v>
      </c>
      <c r="F99" s="2">
        <v>-2.9</v>
      </c>
      <c r="G99">
        <f>ROUNDDOWN((D99*C99)/1000, 0)</f>
        <v>660</v>
      </c>
    </row>
    <row r="100" spans="1:7" x14ac:dyDescent="0.25">
      <c r="A100" t="s">
        <v>117</v>
      </c>
      <c r="B100" t="s">
        <v>29</v>
      </c>
      <c r="C100">
        <v>253344</v>
      </c>
      <c r="D100" s="1">
        <v>11.2</v>
      </c>
      <c r="E100">
        <v>9.5</v>
      </c>
      <c r="F100" s="2">
        <v>9.9</v>
      </c>
      <c r="G100">
        <f>ROUNDDOWN((D100*C100)/1000, 0)</f>
        <v>2837</v>
      </c>
    </row>
    <row r="101" spans="1:7" x14ac:dyDescent="0.25">
      <c r="A101" t="s">
        <v>118</v>
      </c>
      <c r="B101" t="s">
        <v>35</v>
      </c>
      <c r="C101">
        <v>66795</v>
      </c>
      <c r="D101" s="1">
        <v>8.4</v>
      </c>
      <c r="E101">
        <v>8.1999999999999993</v>
      </c>
      <c r="F101" s="2">
        <v>-1.4</v>
      </c>
      <c r="G101">
        <f>ROUNDDOWN((D101*C101)/1000, 0)</f>
        <v>561</v>
      </c>
    </row>
    <row r="102" spans="1:7" x14ac:dyDescent="0.25">
      <c r="A102" t="s">
        <v>119</v>
      </c>
      <c r="B102" t="s">
        <v>22</v>
      </c>
      <c r="C102">
        <v>98574</v>
      </c>
      <c r="D102" s="1">
        <v>9.6999999999999993</v>
      </c>
      <c r="E102">
        <v>10.9</v>
      </c>
      <c r="F102" s="2">
        <v>-2.4</v>
      </c>
      <c r="G102">
        <f>ROUNDDOWN((D102*C102)/1000, 0)</f>
        <v>956</v>
      </c>
    </row>
    <row r="103" spans="1:7" x14ac:dyDescent="0.25">
      <c r="A103" t="s">
        <v>120</v>
      </c>
      <c r="B103" t="s">
        <v>22</v>
      </c>
      <c r="C103">
        <v>67824</v>
      </c>
      <c r="D103" s="1">
        <v>8.8000000000000007</v>
      </c>
      <c r="E103">
        <v>13.7</v>
      </c>
      <c r="F103" s="2">
        <v>-1</v>
      </c>
      <c r="G103">
        <f>ROUNDDOWN((D103*C103)/1000, 0)</f>
        <v>596</v>
      </c>
    </row>
    <row r="104" spans="1:7" x14ac:dyDescent="0.25">
      <c r="A104" t="s">
        <v>121</v>
      </c>
      <c r="B104" t="s">
        <v>26</v>
      </c>
      <c r="C104">
        <v>110849</v>
      </c>
      <c r="D104" s="1">
        <v>11.1</v>
      </c>
      <c r="E104">
        <v>9.1999999999999993</v>
      </c>
      <c r="F104" s="2">
        <v>-0.1</v>
      </c>
      <c r="G104">
        <f>ROUNDDOWN((D104*C104)/1000, 0)</f>
        <v>1230</v>
      </c>
    </row>
    <row r="105" spans="1:7" x14ac:dyDescent="0.25">
      <c r="A105" t="s">
        <v>121</v>
      </c>
      <c r="B105" t="s">
        <v>75</v>
      </c>
      <c r="C105">
        <v>56131</v>
      </c>
      <c r="D105" s="1">
        <v>11</v>
      </c>
      <c r="E105">
        <v>10.5</v>
      </c>
      <c r="F105" s="2">
        <v>-2.7</v>
      </c>
      <c r="G105">
        <f>ROUNDDOWN((D105*C105)/1000, 0)</f>
        <v>617</v>
      </c>
    </row>
    <row r="106" spans="1:7" x14ac:dyDescent="0.25">
      <c r="A106" t="s">
        <v>122</v>
      </c>
      <c r="B106" t="s">
        <v>46</v>
      </c>
      <c r="C106">
        <v>77440</v>
      </c>
      <c r="D106" s="1">
        <v>12.8</v>
      </c>
      <c r="E106">
        <v>9.8000000000000007</v>
      </c>
      <c r="F106" s="2">
        <v>-1.8</v>
      </c>
      <c r="G106">
        <f>ROUNDDOWN((D106*C106)/1000, 0)</f>
        <v>991</v>
      </c>
    </row>
    <row r="107" spans="1:7" x14ac:dyDescent="0.25">
      <c r="A107" t="s">
        <v>123</v>
      </c>
      <c r="B107" t="s">
        <v>15</v>
      </c>
      <c r="C107">
        <v>102015</v>
      </c>
      <c r="D107" s="1">
        <v>9.5</v>
      </c>
      <c r="E107">
        <v>13.2</v>
      </c>
      <c r="F107" s="2">
        <v>-1.9</v>
      </c>
      <c r="G107">
        <f>ROUNDDOWN((D107*C107)/1000, 0)</f>
        <v>969</v>
      </c>
    </row>
    <row r="108" spans="1:7" x14ac:dyDescent="0.25">
      <c r="A108" t="s">
        <v>124</v>
      </c>
      <c r="B108" t="s">
        <v>42</v>
      </c>
      <c r="C108">
        <v>81848</v>
      </c>
      <c r="D108" s="1">
        <v>13.6</v>
      </c>
      <c r="E108">
        <v>8.5</v>
      </c>
      <c r="F108" s="2">
        <v>0.3</v>
      </c>
      <c r="G108">
        <f>ROUNDDOWN((D108*C108)/1000, 0)</f>
        <v>1113</v>
      </c>
    </row>
    <row r="109" spans="1:7" x14ac:dyDescent="0.25">
      <c r="A109" t="s">
        <v>125</v>
      </c>
      <c r="B109" t="s">
        <v>26</v>
      </c>
      <c r="C109">
        <v>78359</v>
      </c>
      <c r="D109" s="1">
        <v>12.2</v>
      </c>
      <c r="E109">
        <v>8.9</v>
      </c>
      <c r="F109" s="2">
        <v>0.5</v>
      </c>
      <c r="G109">
        <f>ROUNDDOWN((D109*C109)/1000, 0)</f>
        <v>955</v>
      </c>
    </row>
    <row r="110" spans="1:7" x14ac:dyDescent="0.25">
      <c r="A110" t="s">
        <v>126</v>
      </c>
      <c r="B110" t="s">
        <v>15</v>
      </c>
      <c r="C110">
        <v>50808</v>
      </c>
      <c r="D110" s="1">
        <v>9.9</v>
      </c>
      <c r="E110">
        <v>11.8</v>
      </c>
      <c r="F110" s="2">
        <v>0.6</v>
      </c>
      <c r="G110">
        <f>ROUNDDOWN((D110*C110)/1000, 0)</f>
        <v>502</v>
      </c>
    </row>
    <row r="111" spans="1:7" x14ac:dyDescent="0.25">
      <c r="A111" t="s">
        <v>127</v>
      </c>
      <c r="B111" t="s">
        <v>42</v>
      </c>
      <c r="C111">
        <v>63915</v>
      </c>
      <c r="D111" s="1">
        <v>12.5</v>
      </c>
      <c r="E111">
        <v>8.6</v>
      </c>
      <c r="F111" s="2">
        <v>-0.7</v>
      </c>
      <c r="G111">
        <f>ROUNDDOWN((D111*C111)/1000, 0)</f>
        <v>798</v>
      </c>
    </row>
    <row r="112" spans="1:7" x14ac:dyDescent="0.25">
      <c r="A112" t="s">
        <v>128</v>
      </c>
      <c r="B112" t="s">
        <v>15</v>
      </c>
      <c r="C112">
        <v>52420</v>
      </c>
      <c r="D112" s="1">
        <v>10.7</v>
      </c>
      <c r="E112">
        <v>13.3</v>
      </c>
      <c r="F112" s="2">
        <v>-1.9</v>
      </c>
      <c r="G112">
        <f>ROUNDDOWN((D112*C112)/1000, 0)</f>
        <v>560</v>
      </c>
    </row>
    <row r="113" spans="1:7" x14ac:dyDescent="0.25">
      <c r="A113" t="s">
        <v>129</v>
      </c>
      <c r="B113" t="s">
        <v>22</v>
      </c>
      <c r="C113">
        <v>57164</v>
      </c>
      <c r="D113" s="1">
        <v>11.4</v>
      </c>
      <c r="E113">
        <v>8.9</v>
      </c>
      <c r="F113" s="2">
        <v>-2.2000000000000002</v>
      </c>
      <c r="G113">
        <f>ROUNDDOWN((D113*C113)/1000, 0)</f>
        <v>651</v>
      </c>
    </row>
    <row r="114" spans="1:7" x14ac:dyDescent="0.25">
      <c r="A114" t="s">
        <v>130</v>
      </c>
      <c r="B114" t="s">
        <v>17</v>
      </c>
      <c r="C114">
        <v>103039</v>
      </c>
      <c r="D114" s="1">
        <v>12</v>
      </c>
      <c r="E114">
        <v>8.5</v>
      </c>
      <c r="F114" s="2">
        <v>13.4</v>
      </c>
      <c r="G114">
        <f>ROUNDDOWN((D114*C114)/1000, 0)</f>
        <v>1236</v>
      </c>
    </row>
    <row r="115" spans="1:7" x14ac:dyDescent="0.25">
      <c r="A115" t="s">
        <v>131</v>
      </c>
      <c r="B115" t="s">
        <v>31</v>
      </c>
      <c r="C115">
        <v>53618</v>
      </c>
      <c r="D115" s="1">
        <v>11.1</v>
      </c>
      <c r="E115">
        <v>10</v>
      </c>
      <c r="F115" s="2">
        <v>2.2999999999999998</v>
      </c>
      <c r="G115">
        <f>ROUNDDOWN((D115*C115)/1000, 0)</f>
        <v>595</v>
      </c>
    </row>
    <row r="116" spans="1:7" x14ac:dyDescent="0.25">
      <c r="A116" t="s">
        <v>132</v>
      </c>
      <c r="B116" t="s">
        <v>26</v>
      </c>
      <c r="C116">
        <v>26608</v>
      </c>
      <c r="D116" s="1">
        <v>9.1999999999999993</v>
      </c>
      <c r="E116">
        <v>7</v>
      </c>
      <c r="F116" s="2">
        <v>-0.9</v>
      </c>
      <c r="G116">
        <f>ROUNDDOWN((D116*C116)/1000, 0)</f>
        <v>244</v>
      </c>
    </row>
    <row r="117" spans="1:7" x14ac:dyDescent="0.25">
      <c r="A117" t="s">
        <v>133</v>
      </c>
      <c r="B117" t="s">
        <v>46</v>
      </c>
      <c r="C117">
        <v>51722</v>
      </c>
      <c r="D117" s="1">
        <v>13</v>
      </c>
      <c r="E117">
        <v>8.6999999999999993</v>
      </c>
      <c r="F117" s="2">
        <v>5.9</v>
      </c>
      <c r="G117">
        <f>ROUNDDOWN((D117*C117)/1000, 0)</f>
        <v>672</v>
      </c>
    </row>
    <row r="118" spans="1:7" x14ac:dyDescent="0.25">
      <c r="A118" t="s">
        <v>134</v>
      </c>
      <c r="B118" t="s">
        <v>26</v>
      </c>
      <c r="C118">
        <v>69105</v>
      </c>
      <c r="D118" s="1">
        <v>10.5</v>
      </c>
      <c r="E118">
        <v>8.5</v>
      </c>
      <c r="F118" s="2">
        <v>-1.8</v>
      </c>
      <c r="G118">
        <f>ROUNDDOWN((D118*C118)/1000, 0)</f>
        <v>725</v>
      </c>
    </row>
    <row r="119" spans="1:7" x14ac:dyDescent="0.25">
      <c r="A119" t="s">
        <v>135</v>
      </c>
      <c r="B119" t="s">
        <v>11</v>
      </c>
      <c r="C119">
        <v>42501</v>
      </c>
      <c r="D119" s="1">
        <v>10.6</v>
      </c>
      <c r="E119">
        <v>9.5</v>
      </c>
      <c r="F119" s="2">
        <v>-2.8</v>
      </c>
      <c r="G119">
        <f>ROUNDDOWN((D119*C119)/1000, 0)</f>
        <v>450</v>
      </c>
    </row>
    <row r="120" spans="1:7" x14ac:dyDescent="0.25">
      <c r="A120" t="s">
        <v>136</v>
      </c>
      <c r="B120" t="s">
        <v>29</v>
      </c>
      <c r="C120">
        <v>124278</v>
      </c>
      <c r="D120" s="1">
        <v>14.1</v>
      </c>
      <c r="E120">
        <v>7.7</v>
      </c>
      <c r="F120" s="2">
        <v>0.1</v>
      </c>
      <c r="G120">
        <f>ROUNDDOWN((D120*C120)/1000, 0)</f>
        <v>1752</v>
      </c>
    </row>
    <row r="121" spans="1:7" x14ac:dyDescent="0.25">
      <c r="A121" t="s">
        <v>137</v>
      </c>
      <c r="B121" t="s">
        <v>7</v>
      </c>
      <c r="C121">
        <v>66162</v>
      </c>
      <c r="D121" s="1">
        <v>12.8</v>
      </c>
      <c r="E121">
        <v>10.6</v>
      </c>
      <c r="F121" s="2">
        <v>-2</v>
      </c>
      <c r="G121">
        <f>ROUNDDOWN((D121*C121)/1000, 0)</f>
        <v>846</v>
      </c>
    </row>
    <row r="122" spans="1:7" x14ac:dyDescent="0.25">
      <c r="A122" t="s">
        <v>138</v>
      </c>
      <c r="B122" t="s">
        <v>17</v>
      </c>
      <c r="C122">
        <v>36033</v>
      </c>
      <c r="D122" s="1">
        <v>10.5</v>
      </c>
      <c r="E122">
        <v>15.5</v>
      </c>
      <c r="F122" s="2">
        <v>-2.2999999999999998</v>
      </c>
      <c r="G122">
        <f>ROUNDDOWN((D122*C122)/1000, 0)</f>
        <v>378</v>
      </c>
    </row>
    <row r="123" spans="1:7" x14ac:dyDescent="0.25">
      <c r="A123" t="s">
        <v>139</v>
      </c>
      <c r="B123" t="s">
        <v>19</v>
      </c>
      <c r="C123">
        <v>38063</v>
      </c>
      <c r="D123" s="1">
        <v>11.6</v>
      </c>
      <c r="E123">
        <v>10.6</v>
      </c>
      <c r="F123" s="2">
        <v>-2.8</v>
      </c>
      <c r="G123">
        <f>ROUNDDOWN((D123*C123)/1000, 0)</f>
        <v>441</v>
      </c>
    </row>
    <row r="124" spans="1:7" x14ac:dyDescent="0.25">
      <c r="A124" t="s">
        <v>140</v>
      </c>
      <c r="B124" t="s">
        <v>15</v>
      </c>
      <c r="C124">
        <v>66807</v>
      </c>
      <c r="D124" s="1">
        <v>10.6</v>
      </c>
      <c r="E124">
        <v>11</v>
      </c>
      <c r="F124" s="2">
        <v>10.8</v>
      </c>
      <c r="G124">
        <f>ROUNDDOWN((D124*C124)/1000, 0)</f>
        <v>708</v>
      </c>
    </row>
    <row r="125" spans="1:7" x14ac:dyDescent="0.25">
      <c r="A125" t="s">
        <v>141</v>
      </c>
      <c r="B125" t="s">
        <v>9</v>
      </c>
      <c r="C125">
        <v>50919</v>
      </c>
      <c r="D125" s="1">
        <v>11.7</v>
      </c>
      <c r="E125">
        <v>11.6</v>
      </c>
      <c r="F125" s="2">
        <v>0.3</v>
      </c>
      <c r="G125">
        <f>ROUNDDOWN((D125*C125)/1000, 0)</f>
        <v>595</v>
      </c>
    </row>
    <row r="126" spans="1:7" x14ac:dyDescent="0.25">
      <c r="A126" t="s">
        <v>142</v>
      </c>
      <c r="B126" t="s">
        <v>17</v>
      </c>
      <c r="C126">
        <v>32072</v>
      </c>
      <c r="D126" s="1">
        <v>10.1</v>
      </c>
      <c r="E126">
        <v>13.3</v>
      </c>
      <c r="F126" s="2">
        <v>-4.5</v>
      </c>
      <c r="G126">
        <f>ROUNDDOWN((D126*C126)/1000, 0)</f>
        <v>323</v>
      </c>
    </row>
    <row r="127" spans="1:7" x14ac:dyDescent="0.25">
      <c r="A127" t="s">
        <v>143</v>
      </c>
      <c r="B127" t="s">
        <v>15</v>
      </c>
      <c r="C127">
        <v>81151</v>
      </c>
      <c r="D127" s="1">
        <v>10.8</v>
      </c>
      <c r="E127">
        <v>12.3</v>
      </c>
      <c r="F127" s="2">
        <v>-1.9</v>
      </c>
      <c r="G127">
        <f>ROUNDDOWN((D127*C127)/1000, 0)</f>
        <v>876</v>
      </c>
    </row>
    <row r="128" spans="1:7" x14ac:dyDescent="0.25">
      <c r="A128" t="s">
        <v>144</v>
      </c>
      <c r="B128" t="s">
        <v>26</v>
      </c>
      <c r="C128">
        <v>56811</v>
      </c>
      <c r="D128" s="1">
        <v>10.4</v>
      </c>
      <c r="E128">
        <v>9.6999999999999993</v>
      </c>
      <c r="F128" s="2">
        <v>-1.8</v>
      </c>
      <c r="G128">
        <f>ROUNDDOWN((D128*C128)/1000, 0)</f>
        <v>590</v>
      </c>
    </row>
    <row r="129" spans="1:7" x14ac:dyDescent="0.25">
      <c r="A129" t="s">
        <v>145</v>
      </c>
      <c r="B129" t="s">
        <v>31</v>
      </c>
      <c r="C129">
        <v>56085</v>
      </c>
      <c r="D129" s="1">
        <v>10.1</v>
      </c>
      <c r="E129">
        <v>11.9</v>
      </c>
      <c r="F129" s="2">
        <v>-3.4</v>
      </c>
      <c r="G129">
        <f>ROUNDDOWN((D129*C129)/1000, 0)</f>
        <v>566</v>
      </c>
    </row>
    <row r="130" spans="1:7" x14ac:dyDescent="0.25">
      <c r="A130" t="s">
        <v>146</v>
      </c>
      <c r="B130" t="s">
        <v>22</v>
      </c>
      <c r="C130">
        <v>89876</v>
      </c>
      <c r="D130" s="1">
        <v>11</v>
      </c>
      <c r="E130">
        <v>11.9</v>
      </c>
      <c r="F130" s="2">
        <v>-2</v>
      </c>
      <c r="G130">
        <f>ROUNDDOWN((D130*C130)/1000, 0)</f>
        <v>988</v>
      </c>
    </row>
    <row r="131" spans="1:7" x14ac:dyDescent="0.25">
      <c r="A131" t="s">
        <v>147</v>
      </c>
      <c r="B131" t="s">
        <v>22</v>
      </c>
      <c r="C131">
        <v>144383</v>
      </c>
      <c r="D131" s="1">
        <v>10.6</v>
      </c>
      <c r="E131">
        <v>10.6</v>
      </c>
      <c r="F131" s="2">
        <v>6.1</v>
      </c>
      <c r="G131">
        <f>ROUNDDOWN((D131*C131)/1000, 0)</f>
        <v>1530</v>
      </c>
    </row>
    <row r="132" spans="1:7" x14ac:dyDescent="0.25">
      <c r="A132" t="s">
        <v>148</v>
      </c>
      <c r="B132" t="s">
        <v>31</v>
      </c>
      <c r="C132">
        <v>105170</v>
      </c>
      <c r="D132" s="1">
        <v>10.6</v>
      </c>
      <c r="E132">
        <v>7.9</v>
      </c>
      <c r="F132" s="2">
        <v>-2.8</v>
      </c>
      <c r="G132">
        <f>ROUNDDOWN((D132*C132)/1000, 0)</f>
        <v>1114</v>
      </c>
    </row>
    <row r="133" spans="1:7" x14ac:dyDescent="0.25">
      <c r="A133" t="s">
        <v>149</v>
      </c>
      <c r="B133" t="s">
        <v>13</v>
      </c>
      <c r="C133">
        <v>76618</v>
      </c>
      <c r="D133" s="1">
        <v>10.199999999999999</v>
      </c>
      <c r="E133">
        <v>10.4</v>
      </c>
      <c r="F133" s="2">
        <v>2.2999999999999998</v>
      </c>
      <c r="G133">
        <f>ROUNDDOWN((D133*C133)/1000, 0)</f>
        <v>781</v>
      </c>
    </row>
    <row r="134" spans="1:7" x14ac:dyDescent="0.25">
      <c r="A134" t="s">
        <v>150</v>
      </c>
      <c r="B134" t="s">
        <v>22</v>
      </c>
      <c r="C134">
        <v>107953</v>
      </c>
      <c r="D134" s="1">
        <v>12.2</v>
      </c>
      <c r="E134">
        <v>9.8000000000000007</v>
      </c>
      <c r="F134" s="2">
        <v>-4.0999999999999996</v>
      </c>
      <c r="G134">
        <f>ROUNDDOWN((D134*C134)/1000, 0)</f>
        <v>1317</v>
      </c>
    </row>
    <row r="135" spans="1:7" x14ac:dyDescent="0.25">
      <c r="A135" t="s">
        <v>151</v>
      </c>
      <c r="B135" t="s">
        <v>31</v>
      </c>
      <c r="C135">
        <v>47194</v>
      </c>
      <c r="D135" s="1">
        <v>8.6</v>
      </c>
      <c r="E135">
        <v>11.6</v>
      </c>
      <c r="F135" s="2">
        <v>-2.8</v>
      </c>
      <c r="G135">
        <f>ROUNDDOWN((D135*C135)/1000, 0)</f>
        <v>405</v>
      </c>
    </row>
    <row r="136" spans="1:7" x14ac:dyDescent="0.25">
      <c r="A136" t="s">
        <v>152</v>
      </c>
      <c r="B136" t="s">
        <v>22</v>
      </c>
      <c r="C136">
        <v>57876</v>
      </c>
      <c r="D136" s="1">
        <v>10.9</v>
      </c>
      <c r="E136">
        <v>7.2</v>
      </c>
      <c r="F136" s="2">
        <v>-2.5</v>
      </c>
      <c r="G136">
        <f>ROUNDDOWN((D136*C136)/1000, 0)</f>
        <v>630</v>
      </c>
    </row>
    <row r="137" spans="1:7" x14ac:dyDescent="0.25">
      <c r="A137" t="s">
        <v>153</v>
      </c>
      <c r="B137" t="s">
        <v>9</v>
      </c>
      <c r="C137">
        <v>294685</v>
      </c>
      <c r="D137" s="1">
        <v>10.5</v>
      </c>
      <c r="E137">
        <v>7.8</v>
      </c>
      <c r="F137" s="2">
        <v>-1.4</v>
      </c>
      <c r="G137">
        <f>ROUNDDOWN((D137*C137)/1000, 0)</f>
        <v>3094</v>
      </c>
    </row>
    <row r="138" spans="1:7" x14ac:dyDescent="0.25">
      <c r="A138" t="s">
        <v>154</v>
      </c>
      <c r="B138" t="s">
        <v>13</v>
      </c>
      <c r="C138">
        <v>175402</v>
      </c>
      <c r="D138" s="1">
        <v>10.5</v>
      </c>
      <c r="E138">
        <v>9.6999999999999993</v>
      </c>
      <c r="F138" s="2">
        <v>-2.2999999999999998</v>
      </c>
      <c r="G138">
        <f>ROUNDDOWN((D138*C138)/1000, 0)</f>
        <v>1841</v>
      </c>
    </row>
    <row r="139" spans="1:7" x14ac:dyDescent="0.25">
      <c r="A139" t="s">
        <v>155</v>
      </c>
      <c r="B139" t="s">
        <v>7</v>
      </c>
      <c r="C139">
        <v>357650</v>
      </c>
      <c r="D139" s="1">
        <v>10</v>
      </c>
      <c r="E139">
        <v>10.5</v>
      </c>
      <c r="F139" s="2">
        <v>-4.5</v>
      </c>
      <c r="G139">
        <f>ROUNDDOWN((D139*C139)/1000, 0)</f>
        <v>3576</v>
      </c>
    </row>
    <row r="140" spans="1:7" x14ac:dyDescent="0.25">
      <c r="A140" t="s">
        <v>156</v>
      </c>
      <c r="B140" t="s">
        <v>13</v>
      </c>
      <c r="C140">
        <v>182749</v>
      </c>
      <c r="D140" s="1">
        <v>9.9</v>
      </c>
      <c r="E140">
        <v>11</v>
      </c>
      <c r="F140" s="2">
        <v>-5</v>
      </c>
      <c r="G140">
        <f>ROUNDDOWN((D140*C140)/1000, 0)</f>
        <v>1809</v>
      </c>
    </row>
    <row r="141" spans="1:7" x14ac:dyDescent="0.25">
      <c r="A141" t="s">
        <v>157</v>
      </c>
      <c r="B141" t="s">
        <v>22</v>
      </c>
      <c r="C141">
        <v>67650</v>
      </c>
      <c r="D141" s="1">
        <v>9.9</v>
      </c>
      <c r="E141">
        <v>8.9</v>
      </c>
      <c r="F141" s="2">
        <v>-3.6</v>
      </c>
      <c r="G141">
        <f>ROUNDDOWN((D141*C141)/1000, 0)</f>
        <v>669</v>
      </c>
    </row>
    <row r="142" spans="1:7" x14ac:dyDescent="0.25">
      <c r="A142" t="s">
        <v>158</v>
      </c>
      <c r="B142" t="s">
        <v>13</v>
      </c>
      <c r="C142">
        <v>113007</v>
      </c>
      <c r="D142" s="1">
        <v>10.9</v>
      </c>
      <c r="E142">
        <v>13.2</v>
      </c>
      <c r="F142" s="2">
        <v>-0.2</v>
      </c>
      <c r="G142">
        <f>ROUNDDOWN((D142*C142)/1000, 0)</f>
        <v>1231</v>
      </c>
    </row>
    <row r="143" spans="1:7" x14ac:dyDescent="0.25">
      <c r="A143" t="s">
        <v>159</v>
      </c>
      <c r="B143" t="s">
        <v>13</v>
      </c>
      <c r="C143">
        <v>239319</v>
      </c>
      <c r="D143" s="1">
        <v>9.9</v>
      </c>
      <c r="E143">
        <v>11.1</v>
      </c>
      <c r="F143" s="2">
        <v>-3.5</v>
      </c>
      <c r="G143">
        <f>ROUNDDOWN((D143*C143)/1000, 0)</f>
        <v>2369</v>
      </c>
    </row>
    <row r="144" spans="1:7" x14ac:dyDescent="0.25">
      <c r="A144" t="s">
        <v>160</v>
      </c>
      <c r="B144" t="s">
        <v>13</v>
      </c>
      <c r="C144">
        <v>127686</v>
      </c>
      <c r="D144" s="1">
        <v>9.4</v>
      </c>
      <c r="E144">
        <v>11</v>
      </c>
      <c r="F144" s="2">
        <v>-3</v>
      </c>
      <c r="G144">
        <f>ROUNDDOWN((D144*C144)/1000, 0)</f>
        <v>1200</v>
      </c>
    </row>
    <row r="145" spans="1:7" x14ac:dyDescent="0.25">
      <c r="A145" t="s">
        <v>161</v>
      </c>
      <c r="B145" t="s">
        <v>11</v>
      </c>
      <c r="C145">
        <v>126419</v>
      </c>
      <c r="D145" s="1">
        <v>10.3</v>
      </c>
      <c r="E145">
        <v>9.5</v>
      </c>
      <c r="F145" s="2">
        <v>-1.9</v>
      </c>
      <c r="G145">
        <f>ROUNDDOWN((D145*C145)/1000, 0)</f>
        <v>1302</v>
      </c>
    </row>
    <row r="146" spans="1:7" x14ac:dyDescent="0.25">
      <c r="A146" t="s">
        <v>162</v>
      </c>
      <c r="B146" t="s">
        <v>42</v>
      </c>
      <c r="C146">
        <v>456591</v>
      </c>
      <c r="D146" s="1">
        <v>11.1</v>
      </c>
      <c r="E146">
        <v>9.8000000000000007</v>
      </c>
      <c r="F146" s="2">
        <v>-0.2</v>
      </c>
      <c r="G146">
        <f>ROUNDDOWN((D146*C146)/1000, 0)</f>
        <v>5068</v>
      </c>
    </row>
    <row r="147" spans="1:7" x14ac:dyDescent="0.25">
      <c r="A147" t="s">
        <v>163</v>
      </c>
      <c r="B147" t="s">
        <v>42</v>
      </c>
      <c r="C147">
        <v>247859</v>
      </c>
      <c r="D147" s="1">
        <v>10</v>
      </c>
      <c r="E147">
        <v>9.6</v>
      </c>
      <c r="F147" s="2">
        <v>-3.8</v>
      </c>
      <c r="G147">
        <f>ROUNDDOWN((D147*C147)/1000, 0)</f>
        <v>2478</v>
      </c>
    </row>
    <row r="148" spans="1:7" x14ac:dyDescent="0.25">
      <c r="A148" t="s">
        <v>164</v>
      </c>
      <c r="B148" t="s">
        <v>13</v>
      </c>
      <c r="C148">
        <v>196167</v>
      </c>
      <c r="D148" s="1">
        <v>9.5</v>
      </c>
      <c r="E148">
        <v>9.8000000000000007</v>
      </c>
      <c r="F148" s="2">
        <v>-2.6</v>
      </c>
      <c r="G148">
        <f>ROUNDDOWN((D148*C148)/1000, 0)</f>
        <v>1863</v>
      </c>
    </row>
    <row r="149" spans="1:7" x14ac:dyDescent="0.25">
      <c r="A149" t="s">
        <v>165</v>
      </c>
      <c r="B149" t="s">
        <v>75</v>
      </c>
      <c r="C149">
        <v>125383</v>
      </c>
      <c r="D149" s="1">
        <v>11</v>
      </c>
      <c r="E149">
        <v>9.1999999999999993</v>
      </c>
      <c r="F149" s="2">
        <v>-1.6</v>
      </c>
      <c r="G149">
        <f>ROUNDDOWN((D149*C149)/1000, 0)</f>
        <v>1379</v>
      </c>
    </row>
    <row r="150" spans="1:7" x14ac:dyDescent="0.25">
      <c r="A150" t="s">
        <v>166</v>
      </c>
      <c r="B150" t="s">
        <v>7</v>
      </c>
      <c r="C150">
        <v>99074</v>
      </c>
      <c r="D150" s="1">
        <v>10.7</v>
      </c>
      <c r="E150">
        <v>10.199999999999999</v>
      </c>
      <c r="F150" s="2">
        <v>-2.2000000000000002</v>
      </c>
      <c r="G150">
        <f>ROUNDDOWN((D150*C150)/1000, 0)</f>
        <v>1060</v>
      </c>
    </row>
    <row r="151" spans="1:7" x14ac:dyDescent="0.25">
      <c r="A151" t="s">
        <v>167</v>
      </c>
      <c r="B151" t="s">
        <v>13</v>
      </c>
      <c r="C151">
        <v>92988</v>
      </c>
      <c r="D151" s="1">
        <v>10.4</v>
      </c>
      <c r="E151">
        <v>7.7</v>
      </c>
      <c r="F151" s="2">
        <v>-7.7</v>
      </c>
      <c r="G151">
        <f>ROUNDDOWN((D151*C151)/1000, 0)</f>
        <v>967</v>
      </c>
    </row>
    <row r="152" spans="1:7" x14ac:dyDescent="0.25">
      <c r="A152" t="s">
        <v>168</v>
      </c>
      <c r="B152" t="s">
        <v>13</v>
      </c>
      <c r="C152">
        <v>95036</v>
      </c>
      <c r="D152" s="1">
        <v>9.6</v>
      </c>
      <c r="E152">
        <v>10.1</v>
      </c>
      <c r="F152" s="2">
        <v>-1.3</v>
      </c>
      <c r="G152">
        <f>ROUNDDOWN((D152*C152)/1000, 0)</f>
        <v>912</v>
      </c>
    </row>
    <row r="153" spans="1:7" x14ac:dyDescent="0.25">
      <c r="A153" t="s">
        <v>169</v>
      </c>
      <c r="B153" t="s">
        <v>31</v>
      </c>
      <c r="C153">
        <v>84564</v>
      </c>
      <c r="D153" s="1">
        <v>8.8000000000000007</v>
      </c>
      <c r="E153">
        <v>12.4</v>
      </c>
      <c r="F153" s="2">
        <v>-3.4</v>
      </c>
      <c r="G153">
        <f>ROUNDDOWN((D153*C153)/1000, 0)</f>
        <v>744</v>
      </c>
    </row>
    <row r="154" spans="1:7" x14ac:dyDescent="0.25">
      <c r="A154" t="s">
        <v>170</v>
      </c>
      <c r="B154" t="s">
        <v>46</v>
      </c>
      <c r="C154">
        <v>107019</v>
      </c>
      <c r="D154" s="1">
        <v>9.5</v>
      </c>
      <c r="E154">
        <v>11.3</v>
      </c>
      <c r="F154" s="2">
        <v>-4</v>
      </c>
      <c r="G154">
        <f>ROUNDDOWN((D154*C154)/1000, 0)</f>
        <v>1016</v>
      </c>
    </row>
    <row r="155" spans="1:7" x14ac:dyDescent="0.25">
      <c r="A155" t="s">
        <v>171</v>
      </c>
      <c r="B155" t="s">
        <v>13</v>
      </c>
      <c r="C155">
        <v>308548</v>
      </c>
      <c r="D155" s="1">
        <v>9.4</v>
      </c>
      <c r="E155">
        <v>11.7</v>
      </c>
      <c r="F155" s="2">
        <v>-3.2</v>
      </c>
      <c r="G155">
        <f>ROUNDDOWN((D155*C155)/1000, 0)</f>
        <v>2900</v>
      </c>
    </row>
    <row r="156" spans="1:7" x14ac:dyDescent="0.25">
      <c r="A156" t="s">
        <v>172</v>
      </c>
      <c r="B156" t="s">
        <v>39</v>
      </c>
      <c r="C156">
        <v>204835</v>
      </c>
      <c r="D156" s="1">
        <v>10</v>
      </c>
      <c r="E156">
        <v>8.8000000000000007</v>
      </c>
      <c r="F156" s="2">
        <v>-4.0999999999999996</v>
      </c>
      <c r="G156">
        <f>ROUNDDOWN((D156*C156)/1000, 0)</f>
        <v>2048</v>
      </c>
    </row>
    <row r="157" spans="1:7" x14ac:dyDescent="0.25">
      <c r="A157" t="s">
        <v>173</v>
      </c>
      <c r="B157" t="s">
        <v>46</v>
      </c>
      <c r="C157">
        <v>79516</v>
      </c>
      <c r="D157" s="1">
        <v>10.1</v>
      </c>
      <c r="E157">
        <v>8.1</v>
      </c>
      <c r="F157" s="2">
        <v>-6.3</v>
      </c>
      <c r="G157">
        <f>ROUNDDOWN((D157*C157)/1000, 0)</f>
        <v>803</v>
      </c>
    </row>
    <row r="158" spans="1:7" x14ac:dyDescent="0.25">
      <c r="A158" t="s">
        <v>174</v>
      </c>
      <c r="B158" t="s">
        <v>19</v>
      </c>
      <c r="C158">
        <v>106987</v>
      </c>
      <c r="D158" s="1">
        <v>9</v>
      </c>
      <c r="E158">
        <v>8.5</v>
      </c>
      <c r="F158" s="2">
        <v>-1.2</v>
      </c>
      <c r="G158">
        <f>ROUNDDOWN((D158*C158)/1000, 0)</f>
        <v>962</v>
      </c>
    </row>
    <row r="159" spans="1:7" x14ac:dyDescent="0.25">
      <c r="A159" t="s">
        <v>175</v>
      </c>
      <c r="B159" t="s">
        <v>29</v>
      </c>
      <c r="C159">
        <v>755000</v>
      </c>
      <c r="D159" s="1">
        <v>10.7</v>
      </c>
      <c r="E159">
        <v>9.8000000000000007</v>
      </c>
      <c r="F159" s="2">
        <v>0.6</v>
      </c>
      <c r="G159">
        <f>ROUNDDOWN((D159*C159)/1000, 0)</f>
        <v>8078</v>
      </c>
    </row>
    <row r="160" spans="1:7" x14ac:dyDescent="0.25">
      <c r="A160" t="s">
        <v>176</v>
      </c>
      <c r="B160" t="s">
        <v>26</v>
      </c>
      <c r="C160">
        <v>47534</v>
      </c>
      <c r="D160" s="1">
        <v>9.1</v>
      </c>
      <c r="E160">
        <v>8.3000000000000007</v>
      </c>
      <c r="F160" s="2">
        <v>-2.2999999999999998</v>
      </c>
      <c r="G160">
        <f>ROUNDDOWN((D160*C160)/1000, 0)</f>
        <v>432</v>
      </c>
    </row>
    <row r="161" spans="1:7" x14ac:dyDescent="0.25">
      <c r="A161" t="s">
        <v>177</v>
      </c>
      <c r="B161" t="s">
        <v>31</v>
      </c>
      <c r="C161">
        <v>104178</v>
      </c>
      <c r="D161" s="1">
        <v>9.6999999999999993</v>
      </c>
      <c r="E161">
        <v>10.3</v>
      </c>
      <c r="F161" s="2">
        <v>-2.4</v>
      </c>
      <c r="G161">
        <f>ROUNDDOWN((D161*C161)/1000, 0)</f>
        <v>1010</v>
      </c>
    </row>
    <row r="162" spans="1:7" x14ac:dyDescent="0.25">
      <c r="A162" t="s">
        <v>178</v>
      </c>
      <c r="B162" t="s">
        <v>46</v>
      </c>
      <c r="C162">
        <v>64338</v>
      </c>
      <c r="D162" s="1">
        <v>12.5</v>
      </c>
      <c r="E162">
        <v>8.9</v>
      </c>
      <c r="F162" s="2">
        <v>-1.9</v>
      </c>
      <c r="G162">
        <f>ROUNDDOWN((D162*C162)/1000, 0)</f>
        <v>804</v>
      </c>
    </row>
    <row r="163" spans="1:7" x14ac:dyDescent="0.25">
      <c r="A163" t="s">
        <v>179</v>
      </c>
      <c r="B163" t="s">
        <v>15</v>
      </c>
      <c r="C163">
        <v>742387</v>
      </c>
      <c r="D163" s="1">
        <v>9.3000000000000007</v>
      </c>
      <c r="E163">
        <v>14.3</v>
      </c>
      <c r="F163" s="2">
        <v>-1.8</v>
      </c>
      <c r="G163">
        <f>ROUNDDOWN((D163*C163)/1000, 0)</f>
        <v>6904</v>
      </c>
    </row>
    <row r="164" spans="1:7" x14ac:dyDescent="0.25">
      <c r="A164" t="s">
        <v>180</v>
      </c>
      <c r="B164" t="s">
        <v>9</v>
      </c>
      <c r="C164">
        <v>63357</v>
      </c>
      <c r="D164" s="1">
        <v>10.3</v>
      </c>
      <c r="E164">
        <v>7</v>
      </c>
      <c r="F164" s="2">
        <v>-2.1</v>
      </c>
      <c r="G164">
        <f>ROUNDDOWN((D164*C164)/1000, 0)</f>
        <v>652</v>
      </c>
    </row>
    <row r="165" spans="1:7" x14ac:dyDescent="0.25">
      <c r="A165" t="s">
        <v>181</v>
      </c>
      <c r="B165" t="s">
        <v>22</v>
      </c>
      <c r="C165">
        <v>349440</v>
      </c>
      <c r="D165" s="1">
        <v>10.9</v>
      </c>
      <c r="E165">
        <v>9.5</v>
      </c>
      <c r="F165" s="2">
        <v>-2.2999999999999998</v>
      </c>
      <c r="G165">
        <f>ROUNDDOWN((D165*C165)/1000, 0)</f>
        <v>3808</v>
      </c>
    </row>
    <row r="166" spans="1:7" x14ac:dyDescent="0.25">
      <c r="A166" t="s">
        <v>182</v>
      </c>
      <c r="B166" t="s">
        <v>13</v>
      </c>
      <c r="C166">
        <v>74893</v>
      </c>
      <c r="D166" s="1">
        <v>11</v>
      </c>
      <c r="E166">
        <v>10.6</v>
      </c>
      <c r="F166" s="2">
        <v>-1.5</v>
      </c>
      <c r="G166">
        <f>ROUNDDOWN((D166*C166)/1000, 0)</f>
        <v>823</v>
      </c>
    </row>
    <row r="167" spans="1:7" x14ac:dyDescent="0.25">
      <c r="A167" t="s">
        <v>183</v>
      </c>
      <c r="B167" t="s">
        <v>29</v>
      </c>
      <c r="C167">
        <v>84556</v>
      </c>
      <c r="D167" s="1">
        <v>11.1</v>
      </c>
      <c r="E167">
        <v>7.7</v>
      </c>
      <c r="F167" s="2">
        <v>-1.8</v>
      </c>
      <c r="G167">
        <f>ROUNDDOWN((D167*C167)/1000, 0)</f>
        <v>938</v>
      </c>
    </row>
    <row r="168" spans="1:7" x14ac:dyDescent="0.25">
      <c r="A168" t="s">
        <v>184</v>
      </c>
      <c r="B168" t="s">
        <v>11</v>
      </c>
      <c r="C168">
        <v>176457</v>
      </c>
      <c r="D168" s="1">
        <v>11.2</v>
      </c>
      <c r="E168">
        <v>8.1</v>
      </c>
      <c r="F168" s="2">
        <v>-1</v>
      </c>
      <c r="G168">
        <f>ROUNDDOWN((D168*C168)/1000, 0)</f>
        <v>1976</v>
      </c>
    </row>
    <row r="169" spans="1:7" x14ac:dyDescent="0.25">
      <c r="A169" t="s">
        <v>185</v>
      </c>
      <c r="B169" t="s">
        <v>35</v>
      </c>
      <c r="C169">
        <v>125792</v>
      </c>
      <c r="D169" s="1">
        <v>9.4</v>
      </c>
      <c r="E169">
        <v>8.6999999999999993</v>
      </c>
      <c r="F169" s="2">
        <v>-3.4</v>
      </c>
      <c r="G169">
        <f>ROUNDDOWN((D169*C169)/1000, 0)</f>
        <v>1182</v>
      </c>
    </row>
    <row r="170" spans="1:7" x14ac:dyDescent="0.25">
      <c r="A170" t="s">
        <v>186</v>
      </c>
      <c r="B170" t="s">
        <v>17</v>
      </c>
      <c r="C170">
        <v>53837</v>
      </c>
      <c r="D170" s="1">
        <v>11.3</v>
      </c>
      <c r="E170">
        <v>7.1</v>
      </c>
      <c r="F170" s="2">
        <v>-7.6</v>
      </c>
      <c r="G170">
        <f>ROUNDDOWN((D170*C170)/1000, 0)</f>
        <v>608</v>
      </c>
    </row>
    <row r="171" spans="1:7" x14ac:dyDescent="0.25">
      <c r="A171" t="s">
        <v>187</v>
      </c>
      <c r="B171" t="s">
        <v>13</v>
      </c>
      <c r="C171">
        <v>58519</v>
      </c>
      <c r="D171" s="1">
        <v>10.4</v>
      </c>
      <c r="E171">
        <v>11.4</v>
      </c>
      <c r="F171" s="2">
        <v>-3.8</v>
      </c>
      <c r="G171">
        <f>ROUNDDOWN((D171*C171)/1000, 0)</f>
        <v>608</v>
      </c>
    </row>
    <row r="172" spans="1:7" x14ac:dyDescent="0.25">
      <c r="A172" t="s">
        <v>188</v>
      </c>
      <c r="B172" t="s">
        <v>15</v>
      </c>
      <c r="C172">
        <v>77810</v>
      </c>
      <c r="D172" s="1">
        <v>10.6</v>
      </c>
      <c r="E172">
        <v>11.1</v>
      </c>
      <c r="F172" s="2">
        <v>-2.7</v>
      </c>
      <c r="G172">
        <f>ROUNDDOWN((D172*C172)/1000, 0)</f>
        <v>824</v>
      </c>
    </row>
    <row r="173" spans="1:7" x14ac:dyDescent="0.25">
      <c r="A173" t="s">
        <v>189</v>
      </c>
      <c r="B173" t="s">
        <v>17</v>
      </c>
      <c r="C173">
        <v>126542</v>
      </c>
      <c r="D173" s="1">
        <v>11</v>
      </c>
      <c r="E173">
        <v>9.5</v>
      </c>
      <c r="F173" s="2">
        <v>-3.2</v>
      </c>
      <c r="G173">
        <f>ROUNDDOWN((D173*C173)/1000, 0)</f>
        <v>1391</v>
      </c>
    </row>
    <row r="174" spans="1:7" x14ac:dyDescent="0.25">
      <c r="A174" t="s">
        <v>190</v>
      </c>
      <c r="B174" t="s">
        <v>46</v>
      </c>
      <c r="C174">
        <v>554221</v>
      </c>
      <c r="D174" s="1">
        <v>11.3</v>
      </c>
      <c r="E174">
        <v>10.1</v>
      </c>
      <c r="F174" s="2">
        <v>-5.3</v>
      </c>
      <c r="G174">
        <f>ROUNDDOWN((D174*C174)/1000, 0)</f>
        <v>6262</v>
      </c>
    </row>
    <row r="175" spans="1:7" x14ac:dyDescent="0.25">
      <c r="A175" t="s">
        <v>191</v>
      </c>
      <c r="B175" t="s">
        <v>26</v>
      </c>
      <c r="C175">
        <v>66389</v>
      </c>
      <c r="D175" s="1">
        <v>10</v>
      </c>
      <c r="E175">
        <v>9.6999999999999993</v>
      </c>
      <c r="F175" s="2">
        <v>-4.0999999999999996</v>
      </c>
      <c r="G175">
        <f>ROUNDDOWN((D175*C175)/1000, 0)</f>
        <v>663</v>
      </c>
    </row>
    <row r="176" spans="1:7" x14ac:dyDescent="0.25">
      <c r="A176" t="s">
        <v>192</v>
      </c>
      <c r="B176" t="s">
        <v>17</v>
      </c>
      <c r="C176">
        <v>223397</v>
      </c>
      <c r="D176" s="1">
        <v>10.8</v>
      </c>
      <c r="E176">
        <v>10</v>
      </c>
      <c r="F176" s="2">
        <v>-4.4000000000000004</v>
      </c>
      <c r="G176">
        <f>ROUNDDOWN((D176*C176)/1000, 0)</f>
        <v>2412</v>
      </c>
    </row>
    <row r="177" spans="1:7" x14ac:dyDescent="0.25">
      <c r="A177" t="s">
        <v>193</v>
      </c>
      <c r="B177" t="s">
        <v>13</v>
      </c>
      <c r="C177">
        <v>143394</v>
      </c>
      <c r="D177" s="1">
        <v>10.9</v>
      </c>
      <c r="E177">
        <v>11.4</v>
      </c>
      <c r="F177" s="2">
        <v>-4</v>
      </c>
      <c r="G177">
        <f>ROUNDDOWN((D177*C177)/1000, 0)</f>
        <v>1562</v>
      </c>
    </row>
    <row r="178" spans="1:7" x14ac:dyDescent="0.25">
      <c r="A178" t="s">
        <v>194</v>
      </c>
      <c r="B178" t="s">
        <v>13</v>
      </c>
      <c r="C178">
        <v>141372</v>
      </c>
      <c r="D178" s="1">
        <v>11.6</v>
      </c>
      <c r="E178">
        <v>8.6</v>
      </c>
      <c r="F178" s="2">
        <v>-1.3</v>
      </c>
      <c r="G178">
        <f>ROUNDDOWN((D178*C178)/1000, 0)</f>
        <v>1639</v>
      </c>
    </row>
    <row r="179" spans="1:7" x14ac:dyDescent="0.25">
      <c r="A179" t="s">
        <v>195</v>
      </c>
      <c r="B179" t="s">
        <v>26</v>
      </c>
      <c r="C179">
        <v>172770</v>
      </c>
      <c r="D179" s="1">
        <v>11.1</v>
      </c>
      <c r="E179">
        <v>8.6</v>
      </c>
      <c r="F179" s="2">
        <v>-0.4</v>
      </c>
      <c r="G179">
        <f>ROUNDDOWN((D179*C179)/1000, 0)</f>
        <v>1917</v>
      </c>
    </row>
    <row r="180" spans="1:7" x14ac:dyDescent="0.25">
      <c r="A180" t="s">
        <v>196</v>
      </c>
      <c r="B180" t="s">
        <v>17</v>
      </c>
      <c r="C180">
        <v>77319</v>
      </c>
      <c r="D180" s="1">
        <v>11.8</v>
      </c>
      <c r="E180">
        <v>7.9</v>
      </c>
      <c r="F180" s="2">
        <v>-2.1</v>
      </c>
      <c r="G180">
        <f>ROUNDDOWN((D180*C180)/1000, 0)</f>
        <v>912</v>
      </c>
    </row>
    <row r="181" spans="1:7" x14ac:dyDescent="0.25">
      <c r="A181" t="s">
        <v>197</v>
      </c>
      <c r="B181" t="s">
        <v>13</v>
      </c>
      <c r="C181">
        <v>70712</v>
      </c>
      <c r="D181" s="1">
        <v>10.199999999999999</v>
      </c>
      <c r="E181">
        <v>12.7</v>
      </c>
      <c r="F181" s="2">
        <v>-3.3</v>
      </c>
      <c r="G181">
        <f>ROUNDDOWN((D181*C181)/1000, 0)</f>
        <v>721</v>
      </c>
    </row>
    <row r="182" spans="1:7" x14ac:dyDescent="0.25">
      <c r="A182" t="s">
        <v>198</v>
      </c>
      <c r="B182" t="s">
        <v>15</v>
      </c>
      <c r="C182">
        <v>48958</v>
      </c>
      <c r="D182" s="1">
        <v>11</v>
      </c>
      <c r="E182">
        <v>8.6</v>
      </c>
      <c r="F182" s="2">
        <v>-1.6</v>
      </c>
      <c r="G182">
        <f>ROUNDDOWN((D182*C182)/1000, 0)</f>
        <v>538</v>
      </c>
    </row>
    <row r="183" spans="1:7" x14ac:dyDescent="0.25">
      <c r="A183" t="s">
        <v>199</v>
      </c>
      <c r="B183" t="s">
        <v>42</v>
      </c>
      <c r="C183">
        <v>97087</v>
      </c>
      <c r="D183" s="1">
        <v>9.1999999999999993</v>
      </c>
      <c r="E183">
        <v>9.8000000000000007</v>
      </c>
      <c r="F183" s="2">
        <v>-2.9</v>
      </c>
      <c r="G183">
        <f>ROUNDDOWN((D183*C183)/1000, 0)</f>
        <v>893</v>
      </c>
    </row>
    <row r="184" spans="1:7" x14ac:dyDescent="0.25">
      <c r="A184" t="s">
        <v>200</v>
      </c>
      <c r="B184" t="s">
        <v>42</v>
      </c>
      <c r="C184">
        <v>38460</v>
      </c>
      <c r="D184" s="1">
        <v>7.7</v>
      </c>
      <c r="E184">
        <v>13</v>
      </c>
      <c r="F184" s="2">
        <v>-3.5</v>
      </c>
      <c r="G184">
        <f>ROUNDDOWN((D184*C184)/1000, 0)</f>
        <v>296</v>
      </c>
    </row>
    <row r="185" spans="1:7" x14ac:dyDescent="0.25">
      <c r="A185" t="s">
        <v>201</v>
      </c>
      <c r="B185" t="s">
        <v>13</v>
      </c>
      <c r="C185">
        <v>219300</v>
      </c>
      <c r="D185" s="1">
        <v>9</v>
      </c>
      <c r="E185">
        <v>11.8</v>
      </c>
      <c r="F185" s="2">
        <v>-4.8</v>
      </c>
      <c r="G185">
        <f>ROUNDDOWN((D185*C185)/1000, 0)</f>
        <v>1973</v>
      </c>
    </row>
    <row r="186" spans="1:7" x14ac:dyDescent="0.25">
      <c r="A186" t="s">
        <v>202</v>
      </c>
      <c r="B186" t="s">
        <v>9</v>
      </c>
      <c r="C186">
        <v>69499</v>
      </c>
      <c r="D186" s="1">
        <v>10.4</v>
      </c>
      <c r="E186">
        <v>7</v>
      </c>
      <c r="F186" s="2">
        <v>-2.1</v>
      </c>
      <c r="G186">
        <f>ROUNDDOWN((D186*C186)/1000, 0)</f>
        <v>722</v>
      </c>
    </row>
    <row r="187" spans="1:7" x14ac:dyDescent="0.25">
      <c r="A187" t="s">
        <v>203</v>
      </c>
      <c r="B187" t="s">
        <v>13</v>
      </c>
      <c r="C187">
        <v>54091</v>
      </c>
      <c r="D187" s="1">
        <v>10.199999999999999</v>
      </c>
      <c r="E187">
        <v>11.8</v>
      </c>
      <c r="F187" s="2">
        <v>-3.5</v>
      </c>
      <c r="G187">
        <f>ROUNDDOWN((D187*C187)/1000, 0)</f>
        <v>551</v>
      </c>
    </row>
    <row r="188" spans="1:7" x14ac:dyDescent="0.25">
      <c r="A188" t="s">
        <v>204</v>
      </c>
      <c r="B188" t="s">
        <v>19</v>
      </c>
      <c r="C188">
        <v>40765</v>
      </c>
      <c r="D188" s="1">
        <v>8.4</v>
      </c>
      <c r="E188">
        <v>9</v>
      </c>
      <c r="F188" s="2">
        <v>0.5</v>
      </c>
      <c r="G188">
        <f>ROUNDDOWN((D188*C188)/1000, 0)</f>
        <v>342</v>
      </c>
    </row>
    <row r="189" spans="1:7" x14ac:dyDescent="0.25">
      <c r="A189" t="s">
        <v>205</v>
      </c>
      <c r="B189" t="s">
        <v>19</v>
      </c>
      <c r="C189">
        <v>406307</v>
      </c>
      <c r="D189" s="1">
        <v>9.6999999999999993</v>
      </c>
      <c r="E189">
        <v>10.9</v>
      </c>
      <c r="F189" s="2">
        <v>-0.9</v>
      </c>
      <c r="G189">
        <f>ROUNDDOWN((D189*C189)/1000, 0)</f>
        <v>3941</v>
      </c>
    </row>
    <row r="190" spans="1:7" x14ac:dyDescent="0.25">
      <c r="A190" t="s">
        <v>206</v>
      </c>
      <c r="B190" t="s">
        <v>26</v>
      </c>
      <c r="C190">
        <v>49419</v>
      </c>
      <c r="D190" s="1">
        <v>8.4</v>
      </c>
      <c r="E190">
        <v>7.2</v>
      </c>
      <c r="F190" s="2">
        <v>-5</v>
      </c>
      <c r="G190">
        <f>ROUNDDOWN((D190*C190)/1000, 0)</f>
        <v>415</v>
      </c>
    </row>
    <row r="191" spans="1:7" x14ac:dyDescent="0.25">
      <c r="A191" t="s">
        <v>207</v>
      </c>
      <c r="B191" t="s">
        <v>29</v>
      </c>
      <c r="C191">
        <v>115158</v>
      </c>
      <c r="D191" s="1">
        <v>9</v>
      </c>
      <c r="E191">
        <v>8.5</v>
      </c>
      <c r="F191" s="2">
        <v>-3.1</v>
      </c>
      <c r="G191">
        <f>ROUNDDOWN((D191*C191)/1000, 0)</f>
        <v>1036</v>
      </c>
    </row>
    <row r="192" spans="1:7" x14ac:dyDescent="0.25">
      <c r="A192" t="s">
        <v>208</v>
      </c>
      <c r="B192" t="s">
        <v>7</v>
      </c>
      <c r="C192">
        <v>205718</v>
      </c>
      <c r="D192" s="1">
        <v>10.8</v>
      </c>
      <c r="E192">
        <v>9.1999999999999993</v>
      </c>
      <c r="F192" s="2">
        <v>-3</v>
      </c>
      <c r="G192">
        <f>ROUNDDOWN((D192*C192)/1000, 0)</f>
        <v>2221</v>
      </c>
    </row>
    <row r="193" spans="1:7" x14ac:dyDescent="0.25">
      <c r="A193" t="s">
        <v>209</v>
      </c>
      <c r="B193" t="s">
        <v>13</v>
      </c>
      <c r="C193">
        <v>129449</v>
      </c>
      <c r="D193" s="1">
        <v>11</v>
      </c>
      <c r="E193">
        <v>8.3000000000000007</v>
      </c>
      <c r="F193" s="2">
        <v>-2.7</v>
      </c>
      <c r="G193">
        <f>ROUNDDOWN((D193*C193)/1000, 0)</f>
        <v>1423</v>
      </c>
    </row>
    <row r="194" spans="1:7" x14ac:dyDescent="0.25">
      <c r="A194" t="s">
        <v>210</v>
      </c>
      <c r="B194" t="s">
        <v>7</v>
      </c>
      <c r="C194">
        <v>117402</v>
      </c>
      <c r="D194" s="1">
        <v>9.6</v>
      </c>
      <c r="E194">
        <v>10.4</v>
      </c>
      <c r="F194" s="2">
        <v>-3.4</v>
      </c>
      <c r="G194">
        <f>ROUNDDOWN((D194*C194)/1000, 0)</f>
        <v>1127</v>
      </c>
    </row>
    <row r="195" spans="1:7" x14ac:dyDescent="0.25">
      <c r="A195" t="s">
        <v>211</v>
      </c>
      <c r="B195" t="s">
        <v>31</v>
      </c>
      <c r="C195">
        <v>632146</v>
      </c>
      <c r="D195" s="1">
        <v>10.199999999999999</v>
      </c>
      <c r="E195">
        <v>11</v>
      </c>
      <c r="F195" s="2">
        <v>1.3</v>
      </c>
      <c r="G195">
        <f>ROUNDDOWN((D195*C195)/1000, 0)</f>
        <v>6447</v>
      </c>
    </row>
    <row r="196" spans="1:7" x14ac:dyDescent="0.25">
      <c r="A196" t="s">
        <v>212</v>
      </c>
      <c r="B196" t="s">
        <v>13</v>
      </c>
      <c r="C196">
        <v>187674</v>
      </c>
      <c r="D196" s="1">
        <v>9.6</v>
      </c>
      <c r="E196">
        <v>9.3000000000000007</v>
      </c>
      <c r="F196" s="2">
        <v>-3.7</v>
      </c>
      <c r="G196">
        <f>ROUNDDOWN((D196*C196)/1000, 0)</f>
        <v>1801</v>
      </c>
    </row>
    <row r="197" spans="1:7" x14ac:dyDescent="0.25">
      <c r="A197" t="s">
        <v>213</v>
      </c>
      <c r="B197" t="s">
        <v>22</v>
      </c>
      <c r="C197">
        <v>66557</v>
      </c>
      <c r="D197" s="1">
        <v>10.8</v>
      </c>
      <c r="E197">
        <v>7.8</v>
      </c>
      <c r="F197" s="2">
        <v>-3.1</v>
      </c>
      <c r="G197">
        <f>ROUNDDOWN((D197*C197)/1000, 0)</f>
        <v>718</v>
      </c>
    </row>
    <row r="198" spans="1:7" x14ac:dyDescent="0.25">
      <c r="A198" t="s">
        <v>214</v>
      </c>
      <c r="B198" t="s">
        <v>75</v>
      </c>
      <c r="C198">
        <v>117503</v>
      </c>
      <c r="D198" s="1">
        <v>10.8</v>
      </c>
      <c r="E198">
        <v>9.9</v>
      </c>
      <c r="F198" s="2">
        <v>0.2</v>
      </c>
      <c r="G198">
        <f>ROUNDDOWN((D198*C198)/1000, 0)</f>
        <v>1269</v>
      </c>
    </row>
    <row r="199" spans="1:7" x14ac:dyDescent="0.25">
      <c r="A199" t="s">
        <v>215</v>
      </c>
      <c r="B199" t="s">
        <v>13</v>
      </c>
      <c r="C199">
        <v>62022</v>
      </c>
      <c r="D199" s="1">
        <v>12.3</v>
      </c>
      <c r="E199">
        <v>6.6</v>
      </c>
      <c r="F199" s="2">
        <v>-6.9</v>
      </c>
      <c r="G199">
        <f>ROUNDDOWN((D199*C199)/1000, 0)</f>
        <v>762</v>
      </c>
    </row>
    <row r="200" spans="1:7" x14ac:dyDescent="0.25">
      <c r="A200" t="s">
        <v>216</v>
      </c>
      <c r="B200" t="s">
        <v>17</v>
      </c>
      <c r="C200">
        <v>46068</v>
      </c>
      <c r="D200" s="1">
        <v>13</v>
      </c>
      <c r="E200">
        <v>12.5</v>
      </c>
      <c r="F200" s="2">
        <v>-2.8</v>
      </c>
      <c r="G200">
        <f>ROUNDDOWN((D200*C200)/1000, 0)</f>
        <v>598</v>
      </c>
    </row>
    <row r="201" spans="1:7" x14ac:dyDescent="0.25">
      <c r="A201" t="s">
        <v>217</v>
      </c>
      <c r="B201" t="s">
        <v>42</v>
      </c>
      <c r="C201">
        <v>62842</v>
      </c>
      <c r="D201" s="1">
        <v>11.3</v>
      </c>
      <c r="E201">
        <v>9.4</v>
      </c>
      <c r="F201" s="2">
        <v>1</v>
      </c>
      <c r="G201">
        <f>ROUNDDOWN((D201*C201)/1000, 0)</f>
        <v>710</v>
      </c>
    </row>
    <row r="202" spans="1:7" x14ac:dyDescent="0.25">
      <c r="A202" t="s">
        <v>218</v>
      </c>
      <c r="B202" t="s">
        <v>29</v>
      </c>
      <c r="C202">
        <v>50114</v>
      </c>
      <c r="D202" s="1">
        <v>10.3</v>
      </c>
      <c r="E202">
        <v>14.5</v>
      </c>
      <c r="F202" s="2">
        <v>0.3</v>
      </c>
      <c r="G202">
        <f>ROUNDDOWN((D202*C202)/1000, 0)</f>
        <v>516</v>
      </c>
    </row>
    <row r="203" spans="1:7" x14ac:dyDescent="0.25">
      <c r="A203" t="s">
        <v>219</v>
      </c>
      <c r="B203" t="s">
        <v>46</v>
      </c>
      <c r="C203">
        <v>36646</v>
      </c>
      <c r="D203" s="1">
        <v>12.8</v>
      </c>
      <c r="E203">
        <v>9.9</v>
      </c>
      <c r="F203" s="2">
        <v>-1</v>
      </c>
      <c r="G203">
        <f>ROUNDDOWN((D203*C203)/1000, 0)</f>
        <v>469</v>
      </c>
    </row>
    <row r="204" spans="1:7" x14ac:dyDescent="0.25">
      <c r="A204" t="s">
        <v>220</v>
      </c>
      <c r="B204" t="s">
        <v>75</v>
      </c>
      <c r="C204">
        <v>58250</v>
      </c>
      <c r="D204" s="1">
        <v>11.3</v>
      </c>
      <c r="E204">
        <v>9.4</v>
      </c>
      <c r="F204" s="2">
        <v>-2.4</v>
      </c>
      <c r="G204">
        <f>ROUNDDOWN((D204*C204)/1000, 0)</f>
        <v>658</v>
      </c>
    </row>
    <row r="205" spans="1:7" x14ac:dyDescent="0.25">
      <c r="A205" t="s">
        <v>221</v>
      </c>
      <c r="B205" t="s">
        <v>26</v>
      </c>
      <c r="C205">
        <v>133986</v>
      </c>
      <c r="D205" s="1">
        <v>11.1</v>
      </c>
      <c r="E205">
        <v>8.1999999999999993</v>
      </c>
      <c r="F205" s="2">
        <v>-0.8</v>
      </c>
      <c r="G205">
        <f>ROUNDDOWN((D205*C205)/1000, 0)</f>
        <v>1487</v>
      </c>
    </row>
    <row r="206" spans="1:7" x14ac:dyDescent="0.25">
      <c r="A206" t="s">
        <v>222</v>
      </c>
      <c r="B206" t="s">
        <v>13</v>
      </c>
      <c r="C206">
        <v>92655</v>
      </c>
      <c r="D206" s="1">
        <v>11.5</v>
      </c>
      <c r="E206">
        <v>9.1999999999999993</v>
      </c>
      <c r="F206" s="2">
        <v>4.8</v>
      </c>
      <c r="G206">
        <f>ROUNDDOWN((D206*C206)/1000, 0)</f>
        <v>1065</v>
      </c>
    </row>
    <row r="207" spans="1:7" x14ac:dyDescent="0.25">
      <c r="A207" t="s">
        <v>223</v>
      </c>
      <c r="B207" t="s">
        <v>31</v>
      </c>
      <c r="C207">
        <v>37036</v>
      </c>
      <c r="D207" s="1">
        <v>12.9</v>
      </c>
      <c r="E207">
        <v>10</v>
      </c>
      <c r="F207" s="2">
        <v>-0.7</v>
      </c>
      <c r="G207">
        <f>ROUNDDOWN((D207*C207)/1000, 0)</f>
        <v>477</v>
      </c>
    </row>
    <row r="208" spans="1:7" x14ac:dyDescent="0.25">
      <c r="A208" t="s">
        <v>224</v>
      </c>
      <c r="B208" t="s">
        <v>17</v>
      </c>
      <c r="C208">
        <v>144294</v>
      </c>
      <c r="D208" s="1">
        <v>12.7</v>
      </c>
      <c r="E208">
        <v>10.5</v>
      </c>
      <c r="F208" s="2">
        <v>5</v>
      </c>
      <c r="G208">
        <f>ROUNDDOWN((D208*C208)/1000, 0)</f>
        <v>1832</v>
      </c>
    </row>
    <row r="209" spans="1:7" x14ac:dyDescent="0.25">
      <c r="A209" t="s">
        <v>225</v>
      </c>
      <c r="B209" t="s">
        <v>17</v>
      </c>
      <c r="C209">
        <v>72713</v>
      </c>
      <c r="D209" s="1">
        <v>11.3</v>
      </c>
      <c r="E209">
        <v>11.4</v>
      </c>
      <c r="F209" s="2">
        <v>-1.4</v>
      </c>
      <c r="G209">
        <f>ROUNDDOWN((D209*C209)/1000, 0)</f>
        <v>821</v>
      </c>
    </row>
    <row r="210" spans="1:7" x14ac:dyDescent="0.25">
      <c r="A210" t="s">
        <v>226</v>
      </c>
      <c r="B210" t="s">
        <v>7</v>
      </c>
      <c r="C210">
        <v>46877</v>
      </c>
      <c r="D210" s="1">
        <v>10.199999999999999</v>
      </c>
      <c r="E210">
        <v>9.6999999999999993</v>
      </c>
      <c r="F210" s="2">
        <v>-2.2999999999999998</v>
      </c>
      <c r="G210">
        <f>ROUNDDOWN((D210*C210)/1000, 0)</f>
        <v>478</v>
      </c>
    </row>
    <row r="211" spans="1:7" x14ac:dyDescent="0.25">
      <c r="A211" t="s">
        <v>227</v>
      </c>
      <c r="B211" t="s">
        <v>9</v>
      </c>
      <c r="C211">
        <v>42212</v>
      </c>
      <c r="D211" s="1">
        <v>8.3000000000000007</v>
      </c>
      <c r="E211">
        <v>12.4</v>
      </c>
      <c r="F211" s="2">
        <v>-3.5</v>
      </c>
      <c r="G211">
        <f>ROUNDDOWN((D211*C211)/1000, 0)</f>
        <v>350</v>
      </c>
    </row>
    <row r="212" spans="1:7" x14ac:dyDescent="0.25">
      <c r="A212" t="s">
        <v>228</v>
      </c>
      <c r="B212" t="s">
        <v>11</v>
      </c>
      <c r="C212">
        <v>50169</v>
      </c>
      <c r="D212" s="1">
        <v>11.2</v>
      </c>
      <c r="E212">
        <v>8.8000000000000007</v>
      </c>
      <c r="F212" s="2">
        <v>-2.2000000000000002</v>
      </c>
      <c r="G212">
        <f>ROUNDDOWN((D212*C212)/1000, 0)</f>
        <v>561</v>
      </c>
    </row>
    <row r="213" spans="1:7" x14ac:dyDescent="0.25">
      <c r="A213" t="s">
        <v>229</v>
      </c>
      <c r="B213" t="s">
        <v>17</v>
      </c>
      <c r="C213">
        <v>1714446</v>
      </c>
      <c r="D213" s="1">
        <v>11.1</v>
      </c>
      <c r="E213">
        <v>10.7</v>
      </c>
      <c r="F213" s="2">
        <v>2.2999999999999998</v>
      </c>
      <c r="G213">
        <f>ROUNDDOWN((D213*C213)/1000, 0)</f>
        <v>19030</v>
      </c>
    </row>
    <row r="214" spans="1:7" x14ac:dyDescent="0.25">
      <c r="A214" t="s">
        <v>230</v>
      </c>
      <c r="B214" t="s">
        <v>29</v>
      </c>
      <c r="C214">
        <v>119975</v>
      </c>
      <c r="D214" s="1">
        <v>13.2</v>
      </c>
      <c r="E214">
        <v>8.1999999999999993</v>
      </c>
      <c r="F214" s="2">
        <v>2.4</v>
      </c>
      <c r="G214">
        <f>ROUNDDOWN((D214*C214)/1000, 0)</f>
        <v>1583</v>
      </c>
    </row>
    <row r="215" spans="1:7" x14ac:dyDescent="0.25">
      <c r="A215" t="s">
        <v>231</v>
      </c>
      <c r="B215" t="s">
        <v>19</v>
      </c>
      <c r="C215">
        <v>67074</v>
      </c>
      <c r="D215" s="1">
        <v>10.7</v>
      </c>
      <c r="E215">
        <v>9.6999999999999993</v>
      </c>
      <c r="F215" s="2">
        <v>-0.9</v>
      </c>
      <c r="G215">
        <f>ROUNDDOWN((D215*C215)/1000, 0)</f>
        <v>717</v>
      </c>
    </row>
    <row r="216" spans="1:7" x14ac:dyDescent="0.25">
      <c r="A216" t="s">
        <v>232</v>
      </c>
      <c r="B216" t="s">
        <v>13</v>
      </c>
      <c r="C216">
        <v>71517</v>
      </c>
      <c r="D216" s="1">
        <v>9.8000000000000007</v>
      </c>
      <c r="E216">
        <v>12.1</v>
      </c>
      <c r="F216" s="2">
        <v>0.8</v>
      </c>
      <c r="G216">
        <f>ROUNDDOWN((D216*C216)/1000, 0)</f>
        <v>700</v>
      </c>
    </row>
    <row r="217" spans="1:7" x14ac:dyDescent="0.25">
      <c r="A217" t="s">
        <v>233</v>
      </c>
      <c r="B217" t="s">
        <v>7</v>
      </c>
      <c r="C217">
        <v>85397</v>
      </c>
      <c r="D217" s="1">
        <v>12.7</v>
      </c>
      <c r="E217">
        <v>8.5</v>
      </c>
      <c r="F217" s="2">
        <v>-1.6</v>
      </c>
      <c r="G217">
        <f>ROUNDDOWN((D217*C217)/1000, 0)</f>
        <v>1084</v>
      </c>
    </row>
    <row r="218" spans="1:7" x14ac:dyDescent="0.25">
      <c r="A218" t="s">
        <v>234</v>
      </c>
      <c r="B218" t="s">
        <v>35</v>
      </c>
      <c r="C218">
        <v>43814</v>
      </c>
      <c r="D218" s="1">
        <v>10.8</v>
      </c>
      <c r="E218">
        <v>9.1</v>
      </c>
      <c r="F218" s="2">
        <v>-2.7</v>
      </c>
      <c r="G218">
        <f>ROUNDDOWN((D218*C218)/1000, 0)</f>
        <v>473</v>
      </c>
    </row>
    <row r="219" spans="1:7" x14ac:dyDescent="0.25">
      <c r="A219" t="s">
        <v>235</v>
      </c>
      <c r="B219" t="s">
        <v>11</v>
      </c>
      <c r="C219">
        <v>33444</v>
      </c>
      <c r="D219" s="1">
        <v>11.8</v>
      </c>
      <c r="E219">
        <v>9.9</v>
      </c>
      <c r="F219" s="2">
        <v>-6</v>
      </c>
      <c r="G219">
        <f>ROUNDDOWN((D219*C219)/1000, 0)</f>
        <v>394</v>
      </c>
    </row>
    <row r="220" spans="1:7" x14ac:dyDescent="0.25">
      <c r="A220" t="s">
        <v>236</v>
      </c>
      <c r="B220" t="s">
        <v>26</v>
      </c>
      <c r="C220">
        <v>66947</v>
      </c>
      <c r="D220" s="1">
        <v>8.8000000000000007</v>
      </c>
      <c r="E220">
        <v>9.3000000000000007</v>
      </c>
      <c r="F220" s="2">
        <v>-1.8</v>
      </c>
      <c r="G220">
        <f>ROUNDDOWN((D220*C220)/1000, 0)</f>
        <v>589</v>
      </c>
    </row>
    <row r="221" spans="1:7" x14ac:dyDescent="0.25">
      <c r="A221" t="s">
        <v>237</v>
      </c>
      <c r="B221" t="s">
        <v>42</v>
      </c>
      <c r="C221">
        <v>35642</v>
      </c>
      <c r="D221" s="1">
        <v>11.8</v>
      </c>
      <c r="E221">
        <v>9.3000000000000007</v>
      </c>
      <c r="F221" s="2">
        <v>-1.6</v>
      </c>
      <c r="G221">
        <f>ROUNDDOWN((D221*C221)/1000, 0)</f>
        <v>420</v>
      </c>
    </row>
    <row r="222" spans="1:7" x14ac:dyDescent="0.25">
      <c r="A222" t="s">
        <v>237</v>
      </c>
      <c r="B222" t="s">
        <v>17</v>
      </c>
      <c r="C222">
        <v>76583</v>
      </c>
      <c r="D222" s="1">
        <v>11.2</v>
      </c>
      <c r="E222">
        <v>9.5</v>
      </c>
      <c r="F222" s="2">
        <v>2.7</v>
      </c>
      <c r="G222">
        <f>ROUNDDOWN((D222*C222)/1000, 0)</f>
        <v>857</v>
      </c>
    </row>
    <row r="223" spans="1:7" x14ac:dyDescent="0.25">
      <c r="A223" t="s">
        <v>238</v>
      </c>
      <c r="B223" t="s">
        <v>11</v>
      </c>
      <c r="C223">
        <v>43749</v>
      </c>
      <c r="D223" s="1">
        <v>13</v>
      </c>
      <c r="E223">
        <v>9.1999999999999993</v>
      </c>
      <c r="F223" s="2">
        <v>-2.2000000000000002</v>
      </c>
      <c r="G223">
        <f>ROUNDDOWN((D223*C223)/1000, 0)</f>
        <v>568</v>
      </c>
    </row>
    <row r="224" spans="1:7" x14ac:dyDescent="0.25">
      <c r="A224" t="s">
        <v>239</v>
      </c>
      <c r="B224" t="s">
        <v>29</v>
      </c>
      <c r="C224">
        <v>202701</v>
      </c>
      <c r="D224" s="1">
        <v>13.6</v>
      </c>
      <c r="E224">
        <v>7.5</v>
      </c>
      <c r="F224" s="2">
        <v>0.1</v>
      </c>
      <c r="G224">
        <f>ROUNDDOWN((D224*C224)/1000, 0)</f>
        <v>2756</v>
      </c>
    </row>
    <row r="225" spans="1:7" x14ac:dyDescent="0.25">
      <c r="A225" t="s">
        <v>240</v>
      </c>
      <c r="B225" t="s">
        <v>75</v>
      </c>
      <c r="C225">
        <v>86890</v>
      </c>
      <c r="D225" s="1">
        <v>11.9</v>
      </c>
      <c r="E225">
        <v>10.3</v>
      </c>
      <c r="F225" s="2">
        <v>-2</v>
      </c>
      <c r="G225">
        <f>ROUNDDOWN((D225*C225)/1000, 0)</f>
        <v>1033</v>
      </c>
    </row>
    <row r="226" spans="1:7" x14ac:dyDescent="0.25">
      <c r="A226" t="s">
        <v>241</v>
      </c>
      <c r="B226" t="s">
        <v>29</v>
      </c>
      <c r="C226">
        <v>185161</v>
      </c>
      <c r="D226" s="1">
        <v>12</v>
      </c>
      <c r="E226">
        <v>7.3</v>
      </c>
      <c r="F226" s="2">
        <v>0.7</v>
      </c>
      <c r="G226">
        <f>ROUNDDOWN((D226*C226)/1000, 0)</f>
        <v>2221</v>
      </c>
    </row>
    <row r="227" spans="1:7" x14ac:dyDescent="0.25">
      <c r="A227" t="s">
        <v>242</v>
      </c>
      <c r="B227" t="s">
        <v>46</v>
      </c>
      <c r="C227">
        <v>72725</v>
      </c>
      <c r="D227" s="1">
        <v>13.5</v>
      </c>
      <c r="E227">
        <v>8.9</v>
      </c>
      <c r="F227" s="2">
        <v>-0.9</v>
      </c>
      <c r="G227">
        <f>ROUNDDOWN((D227*C227)/1000, 0)</f>
        <v>981</v>
      </c>
    </row>
    <row r="228" spans="1:7" x14ac:dyDescent="0.25">
      <c r="A228" t="s">
        <v>243</v>
      </c>
      <c r="B228" t="s">
        <v>35</v>
      </c>
      <c r="C228">
        <v>143852</v>
      </c>
      <c r="D228" s="1">
        <v>9.3000000000000007</v>
      </c>
      <c r="E228">
        <v>9.8000000000000007</v>
      </c>
      <c r="F228" s="2">
        <v>-2.1</v>
      </c>
      <c r="G228">
        <f>ROUNDDOWN((D228*C228)/1000, 0)</f>
        <v>1337</v>
      </c>
    </row>
    <row r="229" spans="1:7" x14ac:dyDescent="0.25">
      <c r="A229" t="s">
        <v>244</v>
      </c>
      <c r="B229" t="s">
        <v>46</v>
      </c>
      <c r="C229">
        <v>57042</v>
      </c>
      <c r="D229" s="1">
        <v>13.2</v>
      </c>
      <c r="E229">
        <v>8.9</v>
      </c>
      <c r="F229" s="2">
        <v>0.3</v>
      </c>
      <c r="G229">
        <f>ROUNDDOWN((D229*C229)/1000, 0)</f>
        <v>752</v>
      </c>
    </row>
    <row r="230" spans="1:7" x14ac:dyDescent="0.25">
      <c r="A230" t="s">
        <v>245</v>
      </c>
      <c r="B230" t="s">
        <v>31</v>
      </c>
      <c r="C230">
        <v>72357</v>
      </c>
      <c r="D230" s="1">
        <v>11.4</v>
      </c>
      <c r="E230">
        <v>9.1</v>
      </c>
      <c r="F230" s="2">
        <v>4.3</v>
      </c>
      <c r="G230">
        <f>ROUNDDOWN((D230*C230)/1000, 0)</f>
        <v>824</v>
      </c>
    </row>
    <row r="231" spans="1:7" x14ac:dyDescent="0.25">
      <c r="A231" t="s">
        <v>246</v>
      </c>
      <c r="B231" t="s">
        <v>11</v>
      </c>
      <c r="C231">
        <v>34111</v>
      </c>
      <c r="D231" s="1">
        <v>11.4</v>
      </c>
      <c r="E231">
        <v>8.6999999999999993</v>
      </c>
      <c r="F231" s="2">
        <v>-3.4</v>
      </c>
      <c r="G231">
        <f>ROUNDDOWN((D231*C231)/1000, 0)</f>
        <v>388</v>
      </c>
    </row>
    <row r="232" spans="1:7" x14ac:dyDescent="0.25">
      <c r="A232" t="s">
        <v>247</v>
      </c>
      <c r="B232" t="s">
        <v>35</v>
      </c>
      <c r="C232">
        <v>67194</v>
      </c>
      <c r="D232" s="1">
        <v>8.6999999999999993</v>
      </c>
      <c r="E232">
        <v>9.6</v>
      </c>
      <c r="F232" s="2">
        <v>-2.6</v>
      </c>
      <c r="G232">
        <f>ROUNDDOWN((D232*C232)/1000, 0)</f>
        <v>584</v>
      </c>
    </row>
    <row r="233" spans="1:7" x14ac:dyDescent="0.25">
      <c r="A233" t="s">
        <v>248</v>
      </c>
      <c r="B233" t="s">
        <v>31</v>
      </c>
      <c r="C233">
        <v>104047</v>
      </c>
      <c r="D233" s="1">
        <v>11.2</v>
      </c>
      <c r="E233">
        <v>9.6999999999999993</v>
      </c>
      <c r="F233" s="2">
        <v>1.8</v>
      </c>
      <c r="G233">
        <f>ROUNDDOWN((D233*C233)/1000, 0)</f>
        <v>1165</v>
      </c>
    </row>
    <row r="234" spans="1:7" x14ac:dyDescent="0.25">
      <c r="A234" t="s">
        <v>249</v>
      </c>
      <c r="B234" t="s">
        <v>29</v>
      </c>
      <c r="C234">
        <v>113893</v>
      </c>
      <c r="D234" s="1">
        <v>9.9</v>
      </c>
      <c r="E234">
        <v>9.4</v>
      </c>
      <c r="F234" s="2">
        <v>-1.7</v>
      </c>
      <c r="G234">
        <f>ROUNDDOWN((D234*C234)/1000, 0)</f>
        <v>1127</v>
      </c>
    </row>
    <row r="235" spans="1:7" x14ac:dyDescent="0.25">
      <c r="A235" t="s">
        <v>250</v>
      </c>
      <c r="B235" t="s">
        <v>11</v>
      </c>
      <c r="C235">
        <v>116766</v>
      </c>
      <c r="D235" s="1">
        <v>11.6</v>
      </c>
      <c r="E235">
        <v>9</v>
      </c>
      <c r="F235" s="2">
        <v>6.5</v>
      </c>
      <c r="G235">
        <f>ROUNDDOWN((D235*C235)/1000, 0)</f>
        <v>1354</v>
      </c>
    </row>
    <row r="236" spans="1:7" x14ac:dyDescent="0.25">
      <c r="A236" t="s">
        <v>251</v>
      </c>
      <c r="B236" t="s">
        <v>39</v>
      </c>
      <c r="C236">
        <v>55471</v>
      </c>
      <c r="D236" s="1">
        <v>9.5</v>
      </c>
      <c r="E236">
        <v>13.3</v>
      </c>
      <c r="F236" s="2">
        <v>-1.1000000000000001</v>
      </c>
      <c r="G236">
        <f>ROUNDDOWN((D236*C236)/1000, 0)</f>
        <v>526</v>
      </c>
    </row>
    <row r="237" spans="1:7" x14ac:dyDescent="0.25">
      <c r="A237" t="s">
        <v>252</v>
      </c>
      <c r="B237" t="s">
        <v>15</v>
      </c>
      <c r="C237">
        <v>78362</v>
      </c>
      <c r="D237" s="1">
        <v>11.7</v>
      </c>
      <c r="E237">
        <v>10.8</v>
      </c>
      <c r="F237" s="2">
        <v>-2.8</v>
      </c>
      <c r="G237">
        <f>ROUNDDOWN((D237*C237)/1000, 0)</f>
        <v>916</v>
      </c>
    </row>
    <row r="238" spans="1:7" x14ac:dyDescent="0.25">
      <c r="A238" t="s">
        <v>253</v>
      </c>
      <c r="B238" t="s">
        <v>35</v>
      </c>
      <c r="C238">
        <v>135010</v>
      </c>
      <c r="D238" s="1">
        <v>8.1</v>
      </c>
      <c r="E238">
        <v>8.4</v>
      </c>
      <c r="F238" s="2">
        <v>2.9</v>
      </c>
      <c r="G238">
        <f>ROUNDDOWN((D238*C238)/1000, 0)</f>
        <v>1093</v>
      </c>
    </row>
    <row r="239" spans="1:7" x14ac:dyDescent="0.25">
      <c r="A239" t="s">
        <v>253</v>
      </c>
      <c r="B239" t="s">
        <v>22</v>
      </c>
      <c r="C239">
        <v>62048</v>
      </c>
      <c r="D239" s="1">
        <v>10.4</v>
      </c>
      <c r="E239">
        <v>12.5</v>
      </c>
      <c r="F239" s="2">
        <v>-2.7</v>
      </c>
      <c r="G239">
        <f>ROUNDDOWN((D239*C239)/1000, 0)</f>
        <v>645</v>
      </c>
    </row>
    <row r="240" spans="1:7" x14ac:dyDescent="0.25">
      <c r="A240" t="s">
        <v>254</v>
      </c>
      <c r="B240" t="s">
        <v>11</v>
      </c>
      <c r="C240">
        <v>104506</v>
      </c>
      <c r="D240" s="1">
        <v>11.6</v>
      </c>
      <c r="E240">
        <v>9.6</v>
      </c>
      <c r="F240" s="2">
        <v>-3.7</v>
      </c>
      <c r="G240">
        <f>ROUNDDOWN((D240*C240)/1000, 0)</f>
        <v>1212</v>
      </c>
    </row>
    <row r="241" spans="1:7" x14ac:dyDescent="0.25">
      <c r="A241" t="s">
        <v>255</v>
      </c>
      <c r="B241" t="s">
        <v>17</v>
      </c>
      <c r="C241">
        <v>84578</v>
      </c>
      <c r="D241" s="1">
        <v>12.5</v>
      </c>
      <c r="E241">
        <v>10.3</v>
      </c>
      <c r="F241" s="2">
        <v>1.4</v>
      </c>
      <c r="G241">
        <f>ROUNDDOWN((D241*C241)/1000, 0)</f>
        <v>1057</v>
      </c>
    </row>
    <row r="242" spans="1:7" x14ac:dyDescent="0.25">
      <c r="A242" t="s">
        <v>256</v>
      </c>
      <c r="B242" t="s">
        <v>39</v>
      </c>
      <c r="C242">
        <v>114670</v>
      </c>
      <c r="D242" s="1">
        <v>9.3000000000000007</v>
      </c>
      <c r="E242">
        <v>10.8</v>
      </c>
      <c r="F242" s="2">
        <v>-2.1</v>
      </c>
      <c r="G242">
        <f>ROUNDDOWN((D242*C242)/1000, 0)</f>
        <v>1066</v>
      </c>
    </row>
    <row r="243" spans="1:7" x14ac:dyDescent="0.25">
      <c r="A243" t="s">
        <v>257</v>
      </c>
      <c r="B243" t="s">
        <v>46</v>
      </c>
      <c r="C243">
        <v>159332</v>
      </c>
      <c r="D243" s="1">
        <v>11.5</v>
      </c>
      <c r="E243">
        <v>8.9</v>
      </c>
      <c r="F243" s="2">
        <v>0.2</v>
      </c>
      <c r="G243">
        <f>ROUNDDOWN((D243*C243)/1000, 0)</f>
        <v>1832</v>
      </c>
    </row>
    <row r="244" spans="1:7" x14ac:dyDescent="0.25">
      <c r="A244" t="s">
        <v>257</v>
      </c>
      <c r="B244" t="s">
        <v>17</v>
      </c>
      <c r="C244">
        <v>74511</v>
      </c>
      <c r="D244" s="1">
        <v>10.4</v>
      </c>
      <c r="E244">
        <v>11</v>
      </c>
      <c r="F244" s="2">
        <v>-2.9</v>
      </c>
      <c r="G244">
        <f>ROUNDDOWN((D244*C244)/1000, 0)</f>
        <v>774</v>
      </c>
    </row>
    <row r="245" spans="1:7" x14ac:dyDescent="0.25">
      <c r="A245" t="s">
        <v>258</v>
      </c>
      <c r="B245" t="s">
        <v>46</v>
      </c>
      <c r="C245">
        <v>54973</v>
      </c>
      <c r="D245" s="1">
        <v>11.9</v>
      </c>
      <c r="E245">
        <v>10</v>
      </c>
      <c r="F245" s="2">
        <v>1.1000000000000001</v>
      </c>
      <c r="G245">
        <f>ROUNDDOWN((D245*C245)/1000, 0)</f>
        <v>654</v>
      </c>
    </row>
    <row r="246" spans="1:7" x14ac:dyDescent="0.25">
      <c r="A246" t="s">
        <v>259</v>
      </c>
      <c r="B246" t="s">
        <v>29</v>
      </c>
      <c r="C246">
        <v>153602</v>
      </c>
      <c r="D246" s="1">
        <v>10.4</v>
      </c>
      <c r="E246">
        <v>9.1999999999999993</v>
      </c>
      <c r="F246" s="2">
        <v>0</v>
      </c>
      <c r="G246">
        <f>ROUNDDOWN((D246*C246)/1000, 0)</f>
        <v>1597</v>
      </c>
    </row>
    <row r="247" spans="1:7" x14ac:dyDescent="0.25">
      <c r="A247" t="s">
        <v>260</v>
      </c>
      <c r="B247" t="s">
        <v>17</v>
      </c>
      <c r="C247">
        <v>119607</v>
      </c>
      <c r="D247" s="1">
        <v>11.5</v>
      </c>
      <c r="E247">
        <v>10</v>
      </c>
      <c r="F247" s="2">
        <v>6.8</v>
      </c>
      <c r="G247">
        <f>ROUNDDOWN((D247*C247)/1000, 0)</f>
        <v>1375</v>
      </c>
    </row>
    <row r="248" spans="1:7" x14ac:dyDescent="0.25">
      <c r="A248" t="s">
        <v>261</v>
      </c>
      <c r="B248" t="s">
        <v>15</v>
      </c>
      <c r="C248">
        <v>119060</v>
      </c>
      <c r="D248" s="1">
        <v>9.1</v>
      </c>
      <c r="E248">
        <v>12.4</v>
      </c>
      <c r="F248" s="2">
        <v>2.6</v>
      </c>
      <c r="G248">
        <f>ROUNDDOWN((D248*C248)/1000, 0)</f>
        <v>1083</v>
      </c>
    </row>
    <row r="249" spans="1:7" x14ac:dyDescent="0.25">
      <c r="A249" t="s">
        <v>262</v>
      </c>
      <c r="B249" t="s">
        <v>15</v>
      </c>
      <c r="C249">
        <v>52750</v>
      </c>
      <c r="D249" s="1">
        <v>8.6999999999999993</v>
      </c>
      <c r="E249">
        <v>12</v>
      </c>
      <c r="F249" s="2">
        <v>-1.3</v>
      </c>
      <c r="G249">
        <f>ROUNDDOWN((D249*C249)/1000, 0)</f>
        <v>458</v>
      </c>
    </row>
    <row r="250" spans="1:7" x14ac:dyDescent="0.25">
      <c r="A250" t="s">
        <v>263</v>
      </c>
      <c r="B250" t="s">
        <v>22</v>
      </c>
      <c r="C250">
        <v>35921</v>
      </c>
      <c r="D250" s="1">
        <v>11.2</v>
      </c>
      <c r="E250">
        <v>12</v>
      </c>
      <c r="F250" s="2">
        <v>-3.2</v>
      </c>
      <c r="G250">
        <f>ROUNDDOWN((D250*C250)/1000, 0)</f>
        <v>402</v>
      </c>
    </row>
    <row r="251" spans="1:7" x14ac:dyDescent="0.25">
      <c r="A251" t="s">
        <v>264</v>
      </c>
      <c r="B251" t="s">
        <v>17</v>
      </c>
      <c r="C251">
        <v>157392</v>
      </c>
      <c r="D251" s="1">
        <v>12.5</v>
      </c>
      <c r="E251">
        <v>8</v>
      </c>
      <c r="F251" s="2">
        <v>16.899999999999999</v>
      </c>
      <c r="G251">
        <f>ROUNDDOWN((D251*C251)/1000, 0)</f>
        <v>1967</v>
      </c>
    </row>
    <row r="252" spans="1:7" x14ac:dyDescent="0.25">
      <c r="A252" t="s">
        <v>265</v>
      </c>
      <c r="B252" t="s">
        <v>46</v>
      </c>
      <c r="C252">
        <v>137562</v>
      </c>
      <c r="D252" s="1">
        <v>11.7</v>
      </c>
      <c r="E252">
        <v>9.1</v>
      </c>
      <c r="F252" s="2">
        <v>-1.9</v>
      </c>
      <c r="G252">
        <f>ROUNDDOWN((D252*C252)/1000, 0)</f>
        <v>1609</v>
      </c>
    </row>
    <row r="253" spans="1:7" x14ac:dyDescent="0.25">
      <c r="A253" t="s">
        <v>266</v>
      </c>
      <c r="B253" t="s">
        <v>39</v>
      </c>
      <c r="C253">
        <v>41282</v>
      </c>
      <c r="D253" s="1">
        <v>8.5</v>
      </c>
      <c r="E253">
        <v>12.8</v>
      </c>
      <c r="F253" s="2">
        <v>-3.4</v>
      </c>
      <c r="G253">
        <f>ROUNDDOWN((D253*C253)/1000, 0)</f>
        <v>350</v>
      </c>
    </row>
    <row r="254" spans="1:7" x14ac:dyDescent="0.25">
      <c r="A254" t="s">
        <v>267</v>
      </c>
      <c r="B254" t="s">
        <v>15</v>
      </c>
      <c r="C254">
        <v>90462</v>
      </c>
      <c r="D254" s="1">
        <v>11.6</v>
      </c>
      <c r="E254">
        <v>12.7</v>
      </c>
      <c r="F254" s="2">
        <v>1.6</v>
      </c>
      <c r="G254">
        <f>ROUNDDOWN((D254*C254)/1000, 0)</f>
        <v>1049</v>
      </c>
    </row>
    <row r="255" spans="1:7" x14ac:dyDescent="0.25">
      <c r="A255" t="s">
        <v>268</v>
      </c>
      <c r="B255" t="s">
        <v>11</v>
      </c>
      <c r="C255">
        <v>57093</v>
      </c>
      <c r="D255" s="1">
        <v>12.1</v>
      </c>
      <c r="E255">
        <v>8.9</v>
      </c>
      <c r="F255" s="2">
        <v>-5.7</v>
      </c>
      <c r="G255">
        <f>ROUNDDOWN((D255*C255)/1000, 0)</f>
        <v>690</v>
      </c>
    </row>
    <row r="256" spans="1:7" x14ac:dyDescent="0.25">
      <c r="A256" t="s">
        <v>269</v>
      </c>
      <c r="B256" t="s">
        <v>46</v>
      </c>
      <c r="C256">
        <v>62407</v>
      </c>
      <c r="D256" s="1">
        <v>11.2</v>
      </c>
      <c r="E256">
        <v>9.5</v>
      </c>
      <c r="F256" s="2">
        <v>-0.6</v>
      </c>
      <c r="G256">
        <f>ROUNDDOWN((D256*C256)/1000, 0)</f>
        <v>698</v>
      </c>
    </row>
    <row r="257" spans="1:7" x14ac:dyDescent="0.25">
      <c r="A257" t="s">
        <v>270</v>
      </c>
      <c r="B257" t="s">
        <v>17</v>
      </c>
      <c r="C257">
        <v>107471</v>
      </c>
      <c r="D257" s="1">
        <v>11.2</v>
      </c>
      <c r="E257">
        <v>11</v>
      </c>
      <c r="F257" s="2">
        <v>4.2</v>
      </c>
      <c r="G257">
        <f>ROUNDDOWN((D257*C257)/1000, 0)</f>
        <v>1203</v>
      </c>
    </row>
    <row r="258" spans="1:7" x14ac:dyDescent="0.25">
      <c r="A258" t="s">
        <v>271</v>
      </c>
      <c r="B258" t="s">
        <v>17</v>
      </c>
      <c r="C258">
        <v>87244</v>
      </c>
      <c r="D258" s="1">
        <v>12.1</v>
      </c>
      <c r="E258">
        <v>12.1</v>
      </c>
      <c r="F258" s="2">
        <v>-0.1</v>
      </c>
      <c r="G258">
        <f>ROUNDDOWN((D258*C258)/1000, 0)</f>
        <v>1055</v>
      </c>
    </row>
    <row r="259" spans="1:7" x14ac:dyDescent="0.25">
      <c r="A259" t="s">
        <v>272</v>
      </c>
      <c r="B259" t="s">
        <v>15</v>
      </c>
      <c r="C259">
        <v>41618</v>
      </c>
      <c r="D259" s="1">
        <v>10.1</v>
      </c>
      <c r="E259">
        <v>14.1</v>
      </c>
      <c r="F259" s="2">
        <v>-0.7</v>
      </c>
      <c r="G259">
        <f>ROUNDDOWN((D259*C259)/1000, 0)</f>
        <v>420</v>
      </c>
    </row>
    <row r="260" spans="1:7" x14ac:dyDescent="0.25">
      <c r="A260" t="s">
        <v>273</v>
      </c>
      <c r="B260" t="s">
        <v>19</v>
      </c>
      <c r="C260">
        <v>69087</v>
      </c>
      <c r="D260" s="1">
        <v>10.9</v>
      </c>
      <c r="E260">
        <v>6.8</v>
      </c>
      <c r="F260" s="2">
        <v>12.7</v>
      </c>
      <c r="G260">
        <f>ROUNDDOWN((D260*C260)/1000, 0)</f>
        <v>753</v>
      </c>
    </row>
    <row r="261" spans="1:7" x14ac:dyDescent="0.25">
      <c r="A261" t="s">
        <v>274</v>
      </c>
      <c r="B261" t="s">
        <v>31</v>
      </c>
      <c r="C261">
        <v>61622</v>
      </c>
      <c r="D261" s="1">
        <v>12.4</v>
      </c>
      <c r="E261">
        <v>8.6999999999999993</v>
      </c>
      <c r="F261" s="2">
        <v>-1.6</v>
      </c>
      <c r="G261">
        <f>ROUNDDOWN((D261*C261)/1000, 0)</f>
        <v>764</v>
      </c>
    </row>
    <row r="262" spans="1:7" x14ac:dyDescent="0.25">
      <c r="A262" t="s">
        <v>275</v>
      </c>
      <c r="B262" t="s">
        <v>46</v>
      </c>
      <c r="C262">
        <v>319258</v>
      </c>
      <c r="D262" s="1">
        <v>13.1</v>
      </c>
      <c r="E262">
        <v>7.1</v>
      </c>
      <c r="F262" s="2">
        <v>18.899999999999999</v>
      </c>
      <c r="G262">
        <f>ROUNDDOWN((D262*C262)/1000, 0)</f>
        <v>4182</v>
      </c>
    </row>
    <row r="263" spans="1:7" x14ac:dyDescent="0.25">
      <c r="A263" t="s">
        <v>276</v>
      </c>
      <c r="B263" t="s">
        <v>29</v>
      </c>
      <c r="C263">
        <v>43419</v>
      </c>
      <c r="D263" s="1">
        <v>10.7</v>
      </c>
      <c r="E263">
        <v>11.5</v>
      </c>
      <c r="F263" s="2">
        <v>1.4</v>
      </c>
      <c r="G263">
        <f>ROUNDDOWN((D263*C263)/1000, 0)</f>
        <v>464</v>
      </c>
    </row>
    <row r="264" spans="1:7" x14ac:dyDescent="0.25">
      <c r="A264" t="s">
        <v>277</v>
      </c>
      <c r="B264" t="s">
        <v>35</v>
      </c>
      <c r="C264">
        <v>58732</v>
      </c>
      <c r="D264" s="1">
        <v>9</v>
      </c>
      <c r="E264">
        <v>11</v>
      </c>
      <c r="F264" s="2">
        <v>-2.9</v>
      </c>
      <c r="G264">
        <f>ROUNDDOWN((D264*C264)/1000, 0)</f>
        <v>528</v>
      </c>
    </row>
    <row r="265" spans="1:7" x14ac:dyDescent="0.25">
      <c r="A265" t="s">
        <v>278</v>
      </c>
      <c r="B265" t="s">
        <v>17</v>
      </c>
      <c r="C265">
        <v>150270</v>
      </c>
      <c r="D265" s="1">
        <v>11.2</v>
      </c>
      <c r="E265">
        <v>9.5</v>
      </c>
      <c r="F265" s="2">
        <v>9.5</v>
      </c>
      <c r="G265">
        <f>ROUNDDOWN((D265*C265)/1000, 0)</f>
        <v>1683</v>
      </c>
    </row>
    <row r="266" spans="1:7" x14ac:dyDescent="0.25">
      <c r="A266" t="s">
        <v>279</v>
      </c>
      <c r="B266" t="s">
        <v>17</v>
      </c>
      <c r="C266">
        <v>52389</v>
      </c>
      <c r="D266" s="1">
        <v>11.7</v>
      </c>
      <c r="E266">
        <v>12.1</v>
      </c>
      <c r="F266" s="2">
        <v>-4.2</v>
      </c>
      <c r="G266">
        <f>ROUNDDOWN((D266*C266)/1000, 0)</f>
        <v>612</v>
      </c>
    </row>
    <row r="267" spans="1:7" x14ac:dyDescent="0.25">
      <c r="A267" t="s">
        <v>280</v>
      </c>
      <c r="B267" t="s">
        <v>26</v>
      </c>
      <c r="C267">
        <v>71231</v>
      </c>
      <c r="D267" s="1">
        <v>10.7</v>
      </c>
      <c r="E267">
        <v>9.6</v>
      </c>
      <c r="F267" s="2">
        <v>-1</v>
      </c>
      <c r="G267">
        <f>ROUNDDOWN((D267*C267)/1000, 0)</f>
        <v>762</v>
      </c>
    </row>
    <row r="268" spans="1:7" x14ac:dyDescent="0.25">
      <c r="A268" t="s">
        <v>281</v>
      </c>
      <c r="B268" t="s">
        <v>26</v>
      </c>
      <c r="C268">
        <v>78630</v>
      </c>
      <c r="D268" s="1">
        <v>11.4</v>
      </c>
      <c r="E268">
        <v>10.5</v>
      </c>
      <c r="F268" s="2">
        <v>-0.6</v>
      </c>
      <c r="G268">
        <f>ROUNDDOWN((D268*C268)/1000, 0)</f>
        <v>896</v>
      </c>
    </row>
    <row r="269" spans="1:7" x14ac:dyDescent="0.25">
      <c r="A269" t="s">
        <v>282</v>
      </c>
      <c r="B269" t="s">
        <v>17</v>
      </c>
      <c r="C269">
        <v>43064</v>
      </c>
      <c r="D269" s="1">
        <v>11.3</v>
      </c>
      <c r="E269">
        <v>12.9</v>
      </c>
      <c r="F269" s="2">
        <v>-3.7</v>
      </c>
      <c r="G269">
        <f>ROUNDDOWN((D269*C269)/1000, 0)</f>
        <v>486</v>
      </c>
    </row>
    <row r="270" spans="1:7" x14ac:dyDescent="0.25">
      <c r="A270" t="s">
        <v>283</v>
      </c>
      <c r="B270" t="s">
        <v>13</v>
      </c>
      <c r="C270">
        <v>106361</v>
      </c>
      <c r="D270" s="1">
        <v>13.3</v>
      </c>
      <c r="E270">
        <v>7.8</v>
      </c>
      <c r="F270" s="2">
        <v>1.1000000000000001</v>
      </c>
      <c r="G270">
        <f>ROUNDDOWN((D270*C270)/1000, 0)</f>
        <v>1414</v>
      </c>
    </row>
    <row r="271" spans="1:7" x14ac:dyDescent="0.25">
      <c r="A271" t="s">
        <v>284</v>
      </c>
      <c r="B271" t="s">
        <v>42</v>
      </c>
      <c r="C271">
        <v>77238</v>
      </c>
      <c r="D271" s="1">
        <v>13.3</v>
      </c>
      <c r="E271">
        <v>8.1</v>
      </c>
      <c r="F271" s="2">
        <v>5.2</v>
      </c>
      <c r="G271">
        <f>ROUNDDOWN((D271*C271)/1000, 0)</f>
        <v>1027</v>
      </c>
    </row>
    <row r="272" spans="1:7" x14ac:dyDescent="0.25">
      <c r="A272" t="s">
        <v>285</v>
      </c>
      <c r="B272" t="s">
        <v>22</v>
      </c>
      <c r="C272">
        <v>115860</v>
      </c>
      <c r="D272" s="1">
        <v>9.9</v>
      </c>
      <c r="E272">
        <v>11.2</v>
      </c>
      <c r="F272" s="2">
        <v>-1.5</v>
      </c>
      <c r="G272">
        <f>ROUNDDOWN((D272*C272)/1000, 0)</f>
        <v>1147</v>
      </c>
    </row>
    <row r="273" spans="1:7" x14ac:dyDescent="0.25">
      <c r="A273" t="s">
        <v>286</v>
      </c>
      <c r="B273" t="s">
        <v>17</v>
      </c>
      <c r="C273">
        <v>50994</v>
      </c>
      <c r="D273" s="1">
        <v>11.8</v>
      </c>
      <c r="E273">
        <v>11.8</v>
      </c>
      <c r="F273" s="2">
        <v>0.6</v>
      </c>
      <c r="G273">
        <f>ROUNDDOWN((D273*C273)/1000, 0)</f>
        <v>601</v>
      </c>
    </row>
    <row r="274" spans="1:7" x14ac:dyDescent="0.25">
      <c r="A274" t="s">
        <v>287</v>
      </c>
      <c r="B274" t="s">
        <v>19</v>
      </c>
      <c r="C274">
        <v>39930</v>
      </c>
      <c r="D274" s="1">
        <v>11.5</v>
      </c>
      <c r="E274">
        <v>9.6999999999999993</v>
      </c>
      <c r="F274" s="2">
        <v>-2.2999999999999998</v>
      </c>
      <c r="G274">
        <f>ROUNDDOWN((D274*C274)/1000, 0)</f>
        <v>459</v>
      </c>
    </row>
    <row r="275" spans="1:7" x14ac:dyDescent="0.25">
      <c r="A275" t="s">
        <v>288</v>
      </c>
      <c r="B275" t="s">
        <v>13</v>
      </c>
      <c r="C275">
        <v>110448</v>
      </c>
      <c r="D275" s="1">
        <v>8.6</v>
      </c>
      <c r="E275">
        <v>9.1999999999999993</v>
      </c>
      <c r="F275" s="2">
        <v>0.7</v>
      </c>
      <c r="G275">
        <f>ROUNDDOWN((D275*C275)/1000, 0)</f>
        <v>949</v>
      </c>
    </row>
    <row r="276" spans="1:7" x14ac:dyDescent="0.25">
      <c r="A276" t="s">
        <v>289</v>
      </c>
      <c r="B276" t="s">
        <v>17</v>
      </c>
      <c r="C276">
        <v>147212</v>
      </c>
      <c r="D276" s="1">
        <v>11.7</v>
      </c>
      <c r="E276">
        <v>9.5</v>
      </c>
      <c r="F276" s="2">
        <v>2.2000000000000002</v>
      </c>
      <c r="G276">
        <f>ROUNDDOWN((D276*C276)/1000, 0)</f>
        <v>1722</v>
      </c>
    </row>
    <row r="277" spans="1:7" x14ac:dyDescent="0.25">
      <c r="A277" t="s">
        <v>290</v>
      </c>
      <c r="B277" t="s">
        <v>15</v>
      </c>
      <c r="C277">
        <v>117431</v>
      </c>
      <c r="D277" s="1">
        <v>9.8000000000000007</v>
      </c>
      <c r="E277">
        <v>12.4</v>
      </c>
      <c r="F277" s="2">
        <v>-0.5</v>
      </c>
      <c r="G277">
        <f>ROUNDDOWN((D277*C277)/1000, 0)</f>
        <v>1150</v>
      </c>
    </row>
    <row r="278" spans="1:7" x14ac:dyDescent="0.25">
      <c r="A278" t="s">
        <v>291</v>
      </c>
      <c r="B278" t="s">
        <v>7</v>
      </c>
      <c r="C278">
        <v>41793</v>
      </c>
      <c r="D278" s="1">
        <v>10.5</v>
      </c>
      <c r="E278">
        <v>11.1</v>
      </c>
      <c r="F278" s="2">
        <v>-2.4</v>
      </c>
      <c r="G278">
        <f>ROUNDDOWN((D278*C278)/1000, 0)</f>
        <v>438</v>
      </c>
    </row>
    <row r="279" spans="1:7" x14ac:dyDescent="0.25">
      <c r="A279" t="s">
        <v>292</v>
      </c>
      <c r="B279" t="s">
        <v>22</v>
      </c>
      <c r="C279">
        <v>60866</v>
      </c>
      <c r="D279" s="1">
        <v>11.7</v>
      </c>
      <c r="E279">
        <v>10.9</v>
      </c>
      <c r="F279" s="2">
        <v>-4</v>
      </c>
      <c r="G279">
        <f>ROUNDDOWN((D279*C279)/1000, 0)</f>
        <v>712</v>
      </c>
    </row>
    <row r="280" spans="1:7" x14ac:dyDescent="0.25">
      <c r="A280" t="s">
        <v>293</v>
      </c>
      <c r="B280" t="s">
        <v>46</v>
      </c>
      <c r="C280">
        <v>59826</v>
      </c>
      <c r="D280" s="1">
        <v>11.8</v>
      </c>
      <c r="E280">
        <v>10.199999999999999</v>
      </c>
      <c r="F280" s="2">
        <v>0.6</v>
      </c>
      <c r="G280">
        <f>ROUNDDOWN((D280*C280)/1000, 0)</f>
        <v>705</v>
      </c>
    </row>
    <row r="281" spans="1:7" x14ac:dyDescent="0.25">
      <c r="A281" t="s">
        <v>294</v>
      </c>
      <c r="B281" t="s">
        <v>15</v>
      </c>
      <c r="C281">
        <v>49053</v>
      </c>
      <c r="D281" s="1">
        <v>11.4</v>
      </c>
      <c r="E281">
        <v>11.6</v>
      </c>
      <c r="F281" s="2">
        <v>-1.4</v>
      </c>
      <c r="G281">
        <f>ROUNDDOWN((D281*C281)/1000, 0)</f>
        <v>559</v>
      </c>
    </row>
    <row r="282" spans="1:7" x14ac:dyDescent="0.25">
      <c r="A282" t="s">
        <v>295</v>
      </c>
      <c r="B282" t="s">
        <v>26</v>
      </c>
      <c r="C282">
        <v>71751</v>
      </c>
      <c r="D282" s="1">
        <v>11.7</v>
      </c>
      <c r="E282">
        <v>8.1999999999999993</v>
      </c>
      <c r="F282" s="2">
        <v>-0.8</v>
      </c>
      <c r="G282">
        <f>ROUNDDOWN((D282*C282)/1000, 0)</f>
        <v>839</v>
      </c>
    </row>
    <row r="283" spans="1:7" x14ac:dyDescent="0.25">
      <c r="A283" t="s">
        <v>296</v>
      </c>
      <c r="B283" t="s">
        <v>13</v>
      </c>
      <c r="C283">
        <v>74509</v>
      </c>
      <c r="D283" s="1">
        <v>11</v>
      </c>
      <c r="E283">
        <v>9.4</v>
      </c>
      <c r="F283" s="2">
        <v>3.1</v>
      </c>
      <c r="G283">
        <f>ROUNDDOWN((D283*C283)/1000, 0)</f>
        <v>819</v>
      </c>
    </row>
    <row r="284" spans="1:7" x14ac:dyDescent="0.25">
      <c r="A284" t="s">
        <v>297</v>
      </c>
      <c r="B284" t="s">
        <v>22</v>
      </c>
      <c r="C284">
        <v>58342</v>
      </c>
      <c r="D284" s="1">
        <v>11</v>
      </c>
      <c r="E284">
        <v>11.4</v>
      </c>
      <c r="F284" s="2">
        <v>-4.0999999999999996</v>
      </c>
      <c r="G284">
        <f>ROUNDDOWN((D284*C284)/1000, 0)</f>
        <v>641</v>
      </c>
    </row>
    <row r="285" spans="1:7" x14ac:dyDescent="0.25">
      <c r="A285" t="s">
        <v>298</v>
      </c>
      <c r="B285" t="s">
        <v>7</v>
      </c>
      <c r="C285">
        <v>43902</v>
      </c>
      <c r="D285" s="1">
        <v>11.6</v>
      </c>
      <c r="E285">
        <v>11.2</v>
      </c>
      <c r="F285" s="2">
        <v>-3.4</v>
      </c>
      <c r="G285">
        <f>ROUNDDOWN((D285*C285)/1000, 0)</f>
        <v>509</v>
      </c>
    </row>
    <row r="286" spans="1:7" x14ac:dyDescent="0.25">
      <c r="A286" t="s">
        <v>299</v>
      </c>
      <c r="B286" t="s">
        <v>26</v>
      </c>
      <c r="C286">
        <v>164900</v>
      </c>
      <c r="D286" s="1">
        <v>11.2</v>
      </c>
      <c r="E286">
        <v>9.5</v>
      </c>
      <c r="F286" s="2">
        <v>5.4</v>
      </c>
      <c r="G286">
        <f>ROUNDDOWN((D286*C286)/1000, 0)</f>
        <v>1846</v>
      </c>
    </row>
    <row r="287" spans="1:7" x14ac:dyDescent="0.25">
      <c r="A287" t="s">
        <v>300</v>
      </c>
      <c r="B287" t="s">
        <v>39</v>
      </c>
      <c r="C287">
        <v>80709</v>
      </c>
      <c r="D287" s="1">
        <v>9.6999999999999993</v>
      </c>
      <c r="E287">
        <v>11.8</v>
      </c>
      <c r="F287" s="2">
        <v>-2.2000000000000002</v>
      </c>
      <c r="G287">
        <f>ROUNDDOWN((D287*C287)/1000, 0)</f>
        <v>782</v>
      </c>
    </row>
    <row r="288" spans="1:7" x14ac:dyDescent="0.25">
      <c r="A288" t="s">
        <v>301</v>
      </c>
      <c r="B288" t="s">
        <v>26</v>
      </c>
      <c r="C288">
        <v>94857</v>
      </c>
      <c r="D288" s="1">
        <v>9.8000000000000007</v>
      </c>
      <c r="E288">
        <v>8.3000000000000007</v>
      </c>
      <c r="F288" s="2">
        <v>-1.5</v>
      </c>
      <c r="G288">
        <f>ROUNDDOWN((D288*C288)/1000, 0)</f>
        <v>929</v>
      </c>
    </row>
    <row r="289" spans="1:7" x14ac:dyDescent="0.25">
      <c r="A289" t="s">
        <v>302</v>
      </c>
      <c r="B289" t="s">
        <v>9</v>
      </c>
      <c r="C289">
        <v>21013</v>
      </c>
      <c r="D289" s="1">
        <v>10.1</v>
      </c>
      <c r="E289">
        <v>11.3</v>
      </c>
      <c r="F289" s="2">
        <v>-2.4</v>
      </c>
      <c r="G289">
        <f>ROUNDDOWN((D289*C289)/1000, 0)</f>
        <v>212</v>
      </c>
    </row>
    <row r="290" spans="1:7" x14ac:dyDescent="0.25">
      <c r="A290" t="s">
        <v>303</v>
      </c>
      <c r="B290" t="s">
        <v>7</v>
      </c>
      <c r="C290">
        <v>41045</v>
      </c>
      <c r="D290" s="1">
        <v>13.4</v>
      </c>
      <c r="E290">
        <v>9.4</v>
      </c>
      <c r="F290" s="2">
        <v>-2.5</v>
      </c>
      <c r="G290">
        <f>ROUNDDOWN((D290*C290)/1000, 0)</f>
        <v>550</v>
      </c>
    </row>
    <row r="291" spans="1:7" x14ac:dyDescent="0.25">
      <c r="A291" t="s">
        <v>304</v>
      </c>
      <c r="B291" t="s">
        <v>17</v>
      </c>
      <c r="C291">
        <v>80509</v>
      </c>
      <c r="D291" s="1">
        <v>10.7</v>
      </c>
      <c r="E291">
        <v>11.6</v>
      </c>
      <c r="F291" s="2">
        <v>0.4</v>
      </c>
      <c r="G291">
        <f>ROUNDDOWN((D291*C291)/1000, 0)</f>
        <v>861</v>
      </c>
    </row>
    <row r="292" spans="1:7" x14ac:dyDescent="0.25">
      <c r="A292" t="s">
        <v>305</v>
      </c>
      <c r="B292" t="s">
        <v>9</v>
      </c>
      <c r="C292">
        <v>47286</v>
      </c>
      <c r="D292" s="1">
        <v>9.3000000000000007</v>
      </c>
      <c r="E292">
        <v>13.2</v>
      </c>
      <c r="F292" s="2">
        <v>-4.2</v>
      </c>
      <c r="G292">
        <f>ROUNDDOWN((D292*C292)/1000, 0)</f>
        <v>439</v>
      </c>
    </row>
    <row r="293" spans="1:7" x14ac:dyDescent="0.25">
      <c r="A293" t="s">
        <v>306</v>
      </c>
      <c r="B293" t="s">
        <v>15</v>
      </c>
      <c r="C293">
        <v>119916</v>
      </c>
      <c r="D293" s="1">
        <v>10.7</v>
      </c>
      <c r="E293">
        <v>11.7</v>
      </c>
      <c r="F293" s="2">
        <v>-1.7</v>
      </c>
      <c r="G293">
        <f>ROUNDDOWN((D293*C293)/1000, 0)</f>
        <v>1283</v>
      </c>
    </row>
    <row r="294" spans="1:7" x14ac:dyDescent="0.25">
      <c r="A294" t="s">
        <v>307</v>
      </c>
      <c r="B294" t="s">
        <v>17</v>
      </c>
      <c r="C294">
        <v>53028</v>
      </c>
      <c r="D294" s="1">
        <v>10.3</v>
      </c>
      <c r="E294">
        <v>12.2</v>
      </c>
      <c r="F294" s="2">
        <v>-4.4000000000000004</v>
      </c>
      <c r="G294">
        <f>ROUNDDOWN((D294*C294)/1000, 0)</f>
        <v>546</v>
      </c>
    </row>
    <row r="295" spans="1:7" x14ac:dyDescent="0.25">
      <c r="A295" t="s">
        <v>308</v>
      </c>
      <c r="B295" t="s">
        <v>39</v>
      </c>
      <c r="C295">
        <v>78400</v>
      </c>
      <c r="D295" s="1">
        <v>8.9</v>
      </c>
      <c r="E295">
        <v>11</v>
      </c>
      <c r="F295" s="2">
        <v>-3</v>
      </c>
      <c r="G295">
        <f>ROUNDDOWN((D295*C295)/1000, 0)</f>
        <v>697</v>
      </c>
    </row>
    <row r="296" spans="1:7" x14ac:dyDescent="0.25">
      <c r="A296" t="s">
        <v>309</v>
      </c>
      <c r="B296" t="s">
        <v>15</v>
      </c>
      <c r="C296">
        <v>37604</v>
      </c>
      <c r="D296" s="1">
        <v>11.2</v>
      </c>
      <c r="E296">
        <v>13.6</v>
      </c>
      <c r="F296" s="2">
        <v>2.4</v>
      </c>
      <c r="G296">
        <f>ROUNDDOWN((D296*C296)/1000, 0)</f>
        <v>421</v>
      </c>
    </row>
    <row r="297" spans="1:7" x14ac:dyDescent="0.25">
      <c r="A297" t="s">
        <v>310</v>
      </c>
      <c r="B297" t="s">
        <v>19</v>
      </c>
      <c r="C297">
        <v>57298</v>
      </c>
      <c r="D297" s="1">
        <v>10.199999999999999</v>
      </c>
      <c r="E297">
        <v>9.6</v>
      </c>
      <c r="F297" s="2">
        <v>-2.9</v>
      </c>
      <c r="G297">
        <f>ROUNDDOWN((D297*C297)/1000, 0)</f>
        <v>584</v>
      </c>
    </row>
    <row r="298" spans="1:7" x14ac:dyDescent="0.25">
      <c r="A298" t="s">
        <v>311</v>
      </c>
      <c r="B298" t="s">
        <v>75</v>
      </c>
      <c r="C298">
        <v>46413</v>
      </c>
      <c r="D298" s="1">
        <v>12.5</v>
      </c>
      <c r="E298">
        <v>9.6999999999999993</v>
      </c>
      <c r="F298" s="2">
        <v>0.4</v>
      </c>
      <c r="G298">
        <f>ROUNDDOWN((D298*C298)/1000, 0)</f>
        <v>580</v>
      </c>
    </row>
    <row r="299" spans="1:7" x14ac:dyDescent="0.25">
      <c r="A299" t="s">
        <v>312</v>
      </c>
      <c r="B299" t="s">
        <v>46</v>
      </c>
      <c r="C299">
        <v>58516</v>
      </c>
      <c r="D299" s="1">
        <v>11.5</v>
      </c>
      <c r="E299">
        <v>9.6999999999999993</v>
      </c>
      <c r="F299" s="2">
        <v>-2.5</v>
      </c>
      <c r="G299">
        <f>ROUNDDOWN((D299*C299)/1000, 0)</f>
        <v>672</v>
      </c>
    </row>
    <row r="300" spans="1:7" x14ac:dyDescent="0.25">
      <c r="A300" t="s">
        <v>313</v>
      </c>
      <c r="B300" t="s">
        <v>42</v>
      </c>
      <c r="C300">
        <v>93230</v>
      </c>
      <c r="D300" s="1">
        <v>12.1</v>
      </c>
      <c r="E300">
        <v>9</v>
      </c>
      <c r="F300" s="2">
        <v>-0.2</v>
      </c>
      <c r="G300">
        <f>ROUNDDOWN((D300*C300)/1000, 0)</f>
        <v>1128</v>
      </c>
    </row>
    <row r="301" spans="1:7" x14ac:dyDescent="0.25">
      <c r="A301" t="s">
        <v>314</v>
      </c>
      <c r="B301" t="s">
        <v>17</v>
      </c>
      <c r="C301">
        <v>83928</v>
      </c>
      <c r="D301" s="1">
        <v>11.5</v>
      </c>
      <c r="E301">
        <v>10.4</v>
      </c>
      <c r="F301" s="2">
        <v>0.8</v>
      </c>
      <c r="G301">
        <f>ROUNDDOWN((D301*C301)/1000, 0)</f>
        <v>965</v>
      </c>
    </row>
    <row r="302" spans="1:7" x14ac:dyDescent="0.25">
      <c r="A302" t="s">
        <v>315</v>
      </c>
      <c r="B302" t="s">
        <v>17</v>
      </c>
      <c r="C302">
        <v>55832</v>
      </c>
      <c r="D302" s="1">
        <v>10.3</v>
      </c>
      <c r="E302">
        <v>13.4</v>
      </c>
      <c r="F302" s="2">
        <v>-3.5</v>
      </c>
      <c r="G302">
        <f>ROUNDDOWN((D302*C302)/1000, 0)</f>
        <v>575</v>
      </c>
    </row>
    <row r="303" spans="1:7" x14ac:dyDescent="0.25">
      <c r="A303" t="s">
        <v>316</v>
      </c>
      <c r="B303" t="s">
        <v>9</v>
      </c>
      <c r="C303">
        <v>70517</v>
      </c>
      <c r="D303" s="1">
        <v>9.3000000000000007</v>
      </c>
      <c r="E303">
        <v>12.5</v>
      </c>
      <c r="F303" s="2">
        <v>-4.3</v>
      </c>
      <c r="G303">
        <f>ROUNDDOWN((D303*C303)/1000, 0)</f>
        <v>655</v>
      </c>
    </row>
    <row r="304" spans="1:7" x14ac:dyDescent="0.25">
      <c r="A304" t="s">
        <v>317</v>
      </c>
      <c r="B304" t="s">
        <v>46</v>
      </c>
      <c r="C304">
        <v>55408</v>
      </c>
      <c r="D304" s="1">
        <v>12.4</v>
      </c>
      <c r="E304">
        <v>9.6</v>
      </c>
      <c r="F304" s="2">
        <v>1.5</v>
      </c>
      <c r="G304">
        <f>ROUNDDOWN((D304*C304)/1000, 0)</f>
        <v>687</v>
      </c>
    </row>
    <row r="305" spans="1:7" x14ac:dyDescent="0.25">
      <c r="A305" t="s">
        <v>317</v>
      </c>
      <c r="B305" t="s">
        <v>31</v>
      </c>
      <c r="C305">
        <v>50119</v>
      </c>
      <c r="D305" s="1">
        <v>11.4</v>
      </c>
      <c r="E305">
        <v>10.5</v>
      </c>
      <c r="F305" s="2">
        <v>4.8</v>
      </c>
      <c r="G305">
        <f>ROUNDDOWN((D305*C305)/1000, 0)</f>
        <v>571</v>
      </c>
    </row>
    <row r="306" spans="1:7" x14ac:dyDescent="0.25">
      <c r="A306" t="s">
        <v>318</v>
      </c>
      <c r="B306" t="s">
        <v>46</v>
      </c>
      <c r="C306">
        <v>59307</v>
      </c>
      <c r="D306" s="1">
        <v>12.8</v>
      </c>
      <c r="E306">
        <v>9</v>
      </c>
      <c r="F306" s="2">
        <v>-0.1</v>
      </c>
      <c r="G306">
        <f>ROUNDDOWN((D306*C306)/1000, 0)</f>
        <v>759</v>
      </c>
    </row>
    <row r="307" spans="1:7" x14ac:dyDescent="0.25">
      <c r="A307" t="s">
        <v>319</v>
      </c>
      <c r="B307" t="s">
        <v>26</v>
      </c>
      <c r="C307">
        <v>107815</v>
      </c>
      <c r="D307" s="1">
        <v>9.3000000000000007</v>
      </c>
      <c r="E307">
        <v>8.6</v>
      </c>
      <c r="F307" s="2">
        <v>-3.9</v>
      </c>
      <c r="G307">
        <f>ROUNDDOWN((D307*C307)/1000, 0)</f>
        <v>1002</v>
      </c>
    </row>
    <row r="308" spans="1:7" x14ac:dyDescent="0.25">
      <c r="A308" t="s">
        <v>320</v>
      </c>
      <c r="B308" t="s">
        <v>39</v>
      </c>
      <c r="C308">
        <v>93280</v>
      </c>
      <c r="D308" s="1">
        <v>10.3</v>
      </c>
      <c r="E308">
        <v>11.2</v>
      </c>
      <c r="F308" s="2">
        <v>-3.1</v>
      </c>
      <c r="G308">
        <f>ROUNDDOWN((D308*C308)/1000, 0)</f>
        <v>960</v>
      </c>
    </row>
    <row r="309" spans="1:7" x14ac:dyDescent="0.25">
      <c r="A309" t="s">
        <v>321</v>
      </c>
      <c r="B309" t="s">
        <v>19</v>
      </c>
      <c r="C309">
        <v>119340</v>
      </c>
      <c r="D309" s="1">
        <v>11</v>
      </c>
      <c r="E309">
        <v>9.1999999999999993</v>
      </c>
      <c r="F309" s="2">
        <v>-0.6</v>
      </c>
      <c r="G309">
        <f>ROUNDDOWN((D309*C309)/1000, 0)</f>
        <v>1312</v>
      </c>
    </row>
    <row r="310" spans="1:7" x14ac:dyDescent="0.25">
      <c r="A310" t="s">
        <v>322</v>
      </c>
      <c r="B310" t="s">
        <v>42</v>
      </c>
      <c r="C310">
        <v>124056</v>
      </c>
      <c r="D310" s="1">
        <v>12.9</v>
      </c>
      <c r="E310">
        <v>8.9</v>
      </c>
      <c r="F310" s="2">
        <v>-0.3</v>
      </c>
      <c r="G310">
        <f>ROUNDDOWN((D310*C310)/1000, 0)</f>
        <v>1600</v>
      </c>
    </row>
    <row r="311" spans="1:7" x14ac:dyDescent="0.25">
      <c r="A311" t="s">
        <v>323</v>
      </c>
      <c r="B311" t="s">
        <v>39</v>
      </c>
      <c r="C311">
        <v>73277</v>
      </c>
      <c r="D311" s="1">
        <v>10.6</v>
      </c>
      <c r="E311">
        <v>10.4</v>
      </c>
      <c r="F311" s="2">
        <v>-2.5</v>
      </c>
      <c r="G311">
        <f>ROUNDDOWN((D311*C311)/1000, 0)</f>
        <v>776</v>
      </c>
    </row>
    <row r="312" spans="1:7" x14ac:dyDescent="0.25">
      <c r="A312" t="s">
        <v>324</v>
      </c>
      <c r="B312" t="s">
        <v>35</v>
      </c>
      <c r="C312">
        <v>79177</v>
      </c>
      <c r="D312" s="1">
        <v>8.3000000000000007</v>
      </c>
      <c r="E312">
        <v>8.6999999999999993</v>
      </c>
      <c r="F312" s="2">
        <v>-1.6</v>
      </c>
      <c r="G312">
        <f>ROUNDDOWN((D312*C312)/1000, 0)</f>
        <v>657</v>
      </c>
    </row>
    <row r="313" spans="1:7" x14ac:dyDescent="0.25">
      <c r="A313" t="s">
        <v>325</v>
      </c>
      <c r="B313" t="s">
        <v>75</v>
      </c>
      <c r="C313">
        <v>49789</v>
      </c>
      <c r="D313" s="1">
        <v>11.7</v>
      </c>
      <c r="E313">
        <v>9.6</v>
      </c>
      <c r="F313" s="2">
        <v>-3.3</v>
      </c>
      <c r="G313">
        <f>ROUNDDOWN((D313*C313)/1000, 0)</f>
        <v>582</v>
      </c>
    </row>
    <row r="314" spans="1:7" x14ac:dyDescent="0.25">
      <c r="A314" t="s">
        <v>326</v>
      </c>
      <c r="B314" t="s">
        <v>31</v>
      </c>
      <c r="C314">
        <v>43873</v>
      </c>
      <c r="D314" s="1">
        <v>10</v>
      </c>
      <c r="E314">
        <v>11.4</v>
      </c>
      <c r="F314" s="2">
        <v>-1.2</v>
      </c>
      <c r="G314">
        <f>ROUNDDOWN((D314*C314)/1000, 0)</f>
        <v>438</v>
      </c>
    </row>
    <row r="315" spans="1:7" x14ac:dyDescent="0.25">
      <c r="A315" t="s">
        <v>327</v>
      </c>
      <c r="B315" t="s">
        <v>26</v>
      </c>
      <c r="C315">
        <v>61897</v>
      </c>
      <c r="D315" s="1">
        <v>10.5</v>
      </c>
      <c r="E315">
        <v>9.9</v>
      </c>
      <c r="F315" s="2">
        <v>-0.9</v>
      </c>
      <c r="G315">
        <f>ROUNDDOWN((D315*C315)/1000, 0)</f>
        <v>649</v>
      </c>
    </row>
    <row r="316" spans="1:7" x14ac:dyDescent="0.25">
      <c r="A316" t="s">
        <v>328</v>
      </c>
      <c r="B316" t="s">
        <v>75</v>
      </c>
      <c r="C316">
        <v>35492</v>
      </c>
      <c r="D316" s="1">
        <v>11.6</v>
      </c>
      <c r="E316">
        <v>10.7</v>
      </c>
      <c r="F316" s="2">
        <v>-2.2000000000000002</v>
      </c>
      <c r="G316">
        <f>ROUNDDOWN((D316*C316)/1000, 0)</f>
        <v>411</v>
      </c>
    </row>
    <row r="317" spans="1:7" x14ac:dyDescent="0.25">
      <c r="A317" t="s">
        <v>329</v>
      </c>
      <c r="B317" t="s">
        <v>29</v>
      </c>
      <c r="C317">
        <v>82736</v>
      </c>
      <c r="D317" s="1">
        <v>12.2</v>
      </c>
      <c r="E317">
        <v>9.5</v>
      </c>
      <c r="F317" s="2">
        <v>0.4</v>
      </c>
      <c r="G317">
        <f>ROUNDDOWN((D317*C317)/1000, 0)</f>
        <v>1009</v>
      </c>
    </row>
    <row r="318" spans="1:7" x14ac:dyDescent="0.25">
      <c r="A318" t="s">
        <v>330</v>
      </c>
      <c r="B318" t="s">
        <v>9</v>
      </c>
      <c r="C318">
        <v>35148</v>
      </c>
      <c r="D318" s="1">
        <v>10.7</v>
      </c>
      <c r="E318">
        <v>10.8</v>
      </c>
      <c r="F318" s="2">
        <v>-1.1000000000000001</v>
      </c>
      <c r="G318">
        <f>ROUNDDOWN((D318*C318)/1000, 0)</f>
        <v>376</v>
      </c>
    </row>
    <row r="319" spans="1:7" x14ac:dyDescent="0.25">
      <c r="A319" t="s">
        <v>331</v>
      </c>
      <c r="B319" t="s">
        <v>31</v>
      </c>
      <c r="C319">
        <v>159323</v>
      </c>
      <c r="D319" s="1">
        <v>10.5</v>
      </c>
      <c r="E319">
        <v>10.4</v>
      </c>
      <c r="F319" s="2">
        <v>0</v>
      </c>
      <c r="G319">
        <f>ROUNDDOWN((D319*C319)/1000, 0)</f>
        <v>1672</v>
      </c>
    </row>
    <row r="320" spans="1:7" x14ac:dyDescent="0.25">
      <c r="A320" t="s">
        <v>331</v>
      </c>
      <c r="B320" t="s">
        <v>22</v>
      </c>
      <c r="C320">
        <v>72366</v>
      </c>
      <c r="D320" s="1">
        <v>9.5</v>
      </c>
      <c r="E320">
        <v>9.9</v>
      </c>
      <c r="F320" s="2">
        <v>-0.2</v>
      </c>
      <c r="G320">
        <f>ROUNDDOWN((D320*C320)/1000, 0)</f>
        <v>687</v>
      </c>
    </row>
    <row r="321" spans="1:7" x14ac:dyDescent="0.25">
      <c r="A321" t="s">
        <v>332</v>
      </c>
      <c r="B321" t="s">
        <v>19</v>
      </c>
      <c r="C321">
        <v>48470</v>
      </c>
      <c r="D321" s="1">
        <v>11.4</v>
      </c>
      <c r="E321">
        <v>9.3000000000000007</v>
      </c>
      <c r="F321" s="2">
        <v>-3.2</v>
      </c>
      <c r="G321">
        <f>ROUNDDOWN((D321*C321)/1000, 0)</f>
        <v>552</v>
      </c>
    </row>
    <row r="322" spans="1:7" x14ac:dyDescent="0.25">
      <c r="A322" t="s">
        <v>333</v>
      </c>
      <c r="B322" t="s">
        <v>75</v>
      </c>
      <c r="C322">
        <v>56038</v>
      </c>
      <c r="D322" s="1">
        <v>11.8</v>
      </c>
      <c r="E322">
        <v>10.1</v>
      </c>
      <c r="F322" s="2">
        <v>0</v>
      </c>
      <c r="G322">
        <f>ROUNDDOWN((D322*C322)/1000, 0)</f>
        <v>661</v>
      </c>
    </row>
    <row r="323" spans="1:7" x14ac:dyDescent="0.25">
      <c r="A323" t="s">
        <v>334</v>
      </c>
      <c r="B323" t="s">
        <v>7</v>
      </c>
      <c r="C323">
        <v>97642</v>
      </c>
      <c r="D323" s="1">
        <v>11.8</v>
      </c>
      <c r="E323">
        <v>9.5</v>
      </c>
      <c r="F323" s="2">
        <v>0.1</v>
      </c>
      <c r="G323">
        <f>ROUNDDOWN((D323*C323)/1000, 0)</f>
        <v>1152</v>
      </c>
    </row>
    <row r="324" spans="1:7" x14ac:dyDescent="0.25">
      <c r="A324" t="s">
        <v>335</v>
      </c>
      <c r="B324" t="s">
        <v>46</v>
      </c>
      <c r="C324">
        <v>87260</v>
      </c>
      <c r="D324" s="1">
        <v>12</v>
      </c>
      <c r="E324">
        <v>9.6</v>
      </c>
      <c r="F324" s="2">
        <v>1.2</v>
      </c>
      <c r="G324">
        <f>ROUNDDOWN((D324*C324)/1000, 0)</f>
        <v>1047</v>
      </c>
    </row>
    <row r="325" spans="1:7" x14ac:dyDescent="0.25">
      <c r="A325" t="s">
        <v>336</v>
      </c>
      <c r="B325" t="s">
        <v>19</v>
      </c>
      <c r="C325">
        <v>77053</v>
      </c>
      <c r="D325" s="1">
        <v>10.9</v>
      </c>
      <c r="E325">
        <v>10.3</v>
      </c>
      <c r="F325" s="2">
        <v>-1.4</v>
      </c>
      <c r="G325">
        <f>ROUNDDOWN((D325*C325)/1000, 0)</f>
        <v>839</v>
      </c>
    </row>
    <row r="326" spans="1:7" x14ac:dyDescent="0.25">
      <c r="A326" t="s">
        <v>337</v>
      </c>
      <c r="B326" t="s">
        <v>11</v>
      </c>
      <c r="C326">
        <v>69286</v>
      </c>
      <c r="D326" s="1">
        <v>12.1</v>
      </c>
      <c r="E326">
        <v>9.6999999999999993</v>
      </c>
      <c r="F326" s="2">
        <v>-2.2000000000000002</v>
      </c>
      <c r="G326">
        <f>ROUNDDOWN((D326*C326)/1000, 0)</f>
        <v>838</v>
      </c>
    </row>
    <row r="327" spans="1:7" x14ac:dyDescent="0.25">
      <c r="A327" t="s">
        <v>338</v>
      </c>
      <c r="B327" t="s">
        <v>42</v>
      </c>
      <c r="C327">
        <v>41694</v>
      </c>
      <c r="D327" s="1">
        <v>13.6</v>
      </c>
      <c r="E327">
        <v>8.5</v>
      </c>
      <c r="F327" s="2">
        <v>-4.4000000000000004</v>
      </c>
      <c r="G327">
        <f>ROUNDDOWN((D327*C327)/1000, 0)</f>
        <v>567</v>
      </c>
    </row>
    <row r="328" spans="1:7" x14ac:dyDescent="0.25">
      <c r="A328" t="s">
        <v>339</v>
      </c>
      <c r="B328" t="s">
        <v>17</v>
      </c>
      <c r="C328">
        <v>39912</v>
      </c>
      <c r="D328" s="1">
        <v>11.5</v>
      </c>
      <c r="E328">
        <v>10.7</v>
      </c>
      <c r="F328" s="2">
        <v>-2</v>
      </c>
      <c r="G328">
        <f>ROUNDDOWN((D328*C328)/1000, 0)</f>
        <v>458</v>
      </c>
    </row>
    <row r="329" spans="1:7" x14ac:dyDescent="0.25">
      <c r="A329" t="s">
        <v>340</v>
      </c>
      <c r="B329" t="s">
        <v>26</v>
      </c>
      <c r="C329">
        <v>53487</v>
      </c>
      <c r="D329" s="1">
        <v>8.5</v>
      </c>
      <c r="E329">
        <v>8.5</v>
      </c>
      <c r="F329" s="2">
        <v>-1.4</v>
      </c>
      <c r="G329">
        <f>ROUNDDOWN((D329*C329)/1000, 0)</f>
        <v>454</v>
      </c>
    </row>
    <row r="330" spans="1:7" x14ac:dyDescent="0.25">
      <c r="A330" t="s">
        <v>341</v>
      </c>
      <c r="B330" t="s">
        <v>13</v>
      </c>
      <c r="C330">
        <v>137496</v>
      </c>
      <c r="D330" s="1">
        <v>9.6999999999999993</v>
      </c>
      <c r="E330">
        <v>10</v>
      </c>
      <c r="F330" s="2">
        <v>0.3</v>
      </c>
      <c r="G330">
        <f>ROUNDDOWN((D330*C330)/1000, 0)</f>
        <v>1333</v>
      </c>
    </row>
    <row r="331" spans="1:7" x14ac:dyDescent="0.25">
      <c r="A331" t="s">
        <v>342</v>
      </c>
      <c r="B331" t="s">
        <v>29</v>
      </c>
      <c r="C331">
        <v>195908</v>
      </c>
      <c r="D331" s="1">
        <v>11.2</v>
      </c>
      <c r="E331">
        <v>8.5</v>
      </c>
      <c r="F331" s="2">
        <v>1.3</v>
      </c>
      <c r="G331">
        <f>ROUNDDOWN((D331*C331)/1000, 0)</f>
        <v>2194</v>
      </c>
    </row>
    <row r="332" spans="1:7" x14ac:dyDescent="0.25">
      <c r="A332" t="s">
        <v>343</v>
      </c>
      <c r="B332" t="s">
        <v>29</v>
      </c>
      <c r="C332">
        <v>65298</v>
      </c>
      <c r="D332" s="1">
        <v>11</v>
      </c>
      <c r="E332">
        <v>9.6999999999999993</v>
      </c>
      <c r="F332" s="2">
        <v>1.7</v>
      </c>
      <c r="G332">
        <f>ROUNDDOWN((D332*C332)/1000, 0)</f>
        <v>718</v>
      </c>
    </row>
    <row r="333" spans="1:7" x14ac:dyDescent="0.25">
      <c r="A333" t="s">
        <v>344</v>
      </c>
      <c r="B333" t="s">
        <v>42</v>
      </c>
      <c r="C333">
        <v>113570</v>
      </c>
      <c r="D333" s="1">
        <v>13.8</v>
      </c>
      <c r="E333">
        <v>9.1999999999999993</v>
      </c>
      <c r="F333" s="2">
        <v>-1.6</v>
      </c>
      <c r="G333">
        <f>ROUNDDOWN((D333*C333)/1000, 0)</f>
        <v>1567</v>
      </c>
    </row>
    <row r="334" spans="1:7" x14ac:dyDescent="0.25">
      <c r="A334" t="s">
        <v>345</v>
      </c>
      <c r="B334" t="s">
        <v>15</v>
      </c>
      <c r="C334">
        <v>120132</v>
      </c>
      <c r="D334" s="1">
        <v>11</v>
      </c>
      <c r="E334">
        <v>12.2</v>
      </c>
      <c r="F334" s="2">
        <v>-1.6</v>
      </c>
      <c r="G334">
        <f>ROUNDDOWN((D334*C334)/1000, 0)</f>
        <v>1321</v>
      </c>
    </row>
    <row r="335" spans="1:7" x14ac:dyDescent="0.25">
      <c r="A335" t="s">
        <v>345</v>
      </c>
      <c r="B335" t="s">
        <v>22</v>
      </c>
      <c r="C335">
        <v>86657</v>
      </c>
      <c r="D335" s="1">
        <v>9.6999999999999993</v>
      </c>
      <c r="E335">
        <v>11.6</v>
      </c>
      <c r="F335" s="2">
        <v>-4.0999999999999996</v>
      </c>
      <c r="G335">
        <f>ROUNDDOWN((D335*C335)/1000, 0)</f>
        <v>840</v>
      </c>
    </row>
    <row r="336" spans="1:7" x14ac:dyDescent="0.25">
      <c r="A336" t="s">
        <v>346</v>
      </c>
      <c r="B336" t="s">
        <v>7</v>
      </c>
      <c r="C336">
        <v>95187</v>
      </c>
      <c r="D336" s="1">
        <v>11.7</v>
      </c>
      <c r="E336">
        <v>8.3000000000000007</v>
      </c>
      <c r="F336" s="2">
        <v>13.3</v>
      </c>
      <c r="G336">
        <f>ROUNDDOWN((D336*C336)/1000, 0)</f>
        <v>1113</v>
      </c>
    </row>
    <row r="337" spans="1:7" x14ac:dyDescent="0.25">
      <c r="A337" t="s">
        <v>347</v>
      </c>
      <c r="B337" t="s">
        <v>31</v>
      </c>
      <c r="C337">
        <v>79166</v>
      </c>
      <c r="D337" s="1">
        <v>11.6</v>
      </c>
      <c r="E337">
        <v>10.1</v>
      </c>
      <c r="F337" s="2">
        <v>5</v>
      </c>
      <c r="G337">
        <f>ROUNDDOWN((D337*C337)/1000, 0)</f>
        <v>918</v>
      </c>
    </row>
    <row r="338" spans="1:7" x14ac:dyDescent="0.25">
      <c r="A338" t="s">
        <v>348</v>
      </c>
      <c r="B338" t="s">
        <v>7</v>
      </c>
      <c r="C338">
        <v>47622</v>
      </c>
      <c r="D338" s="1">
        <v>12.6</v>
      </c>
      <c r="E338">
        <v>8.6999999999999993</v>
      </c>
      <c r="F338" s="2">
        <v>-1.1000000000000001</v>
      </c>
      <c r="G338">
        <f>ROUNDDOWN((D338*C338)/1000, 0)</f>
        <v>600</v>
      </c>
    </row>
    <row r="339" spans="1:7" x14ac:dyDescent="0.25">
      <c r="A339" t="s">
        <v>349</v>
      </c>
      <c r="B339" t="s">
        <v>46</v>
      </c>
      <c r="C339">
        <v>83691</v>
      </c>
      <c r="D339" s="1">
        <v>12.4</v>
      </c>
      <c r="E339">
        <v>10.1</v>
      </c>
      <c r="F339" s="2">
        <v>-1.7</v>
      </c>
      <c r="G339">
        <f>ROUNDDOWN((D339*C339)/1000, 0)</f>
        <v>1037</v>
      </c>
    </row>
    <row r="340" spans="1:7" x14ac:dyDescent="0.25">
      <c r="A340" t="s">
        <v>350</v>
      </c>
      <c r="B340" t="s">
        <v>7</v>
      </c>
      <c r="C340">
        <v>34777</v>
      </c>
      <c r="D340" s="1">
        <v>12.1</v>
      </c>
      <c r="E340">
        <v>9.6999999999999993</v>
      </c>
      <c r="F340" s="2">
        <v>-1.4</v>
      </c>
      <c r="G340">
        <f>ROUNDDOWN((D340*C340)/1000, 0)</f>
        <v>420</v>
      </c>
    </row>
    <row r="341" spans="1:7" x14ac:dyDescent="0.25">
      <c r="A341" t="s">
        <v>351</v>
      </c>
      <c r="B341" t="s">
        <v>29</v>
      </c>
      <c r="C341">
        <v>155923</v>
      </c>
      <c r="D341" s="1">
        <v>11.7</v>
      </c>
      <c r="E341">
        <v>9.1</v>
      </c>
      <c r="F341" s="2">
        <v>-0.1</v>
      </c>
      <c r="G341">
        <f>ROUNDDOWN((D341*C341)/1000, 0)</f>
        <v>1824</v>
      </c>
    </row>
    <row r="342" spans="1:7" x14ac:dyDescent="0.25">
      <c r="A342" t="s">
        <v>352</v>
      </c>
      <c r="B342" t="s">
        <v>46</v>
      </c>
      <c r="C342">
        <v>68552</v>
      </c>
      <c r="D342" s="1">
        <v>14</v>
      </c>
      <c r="E342">
        <v>8.9</v>
      </c>
      <c r="F342" s="2">
        <v>-0.2</v>
      </c>
      <c r="G342">
        <f>ROUNDDOWN((D342*C342)/1000, 0)</f>
        <v>959</v>
      </c>
    </row>
    <row r="343" spans="1:7" x14ac:dyDescent="0.25">
      <c r="A343" t="s">
        <v>353</v>
      </c>
      <c r="B343" t="s">
        <v>31</v>
      </c>
      <c r="C343">
        <v>179526</v>
      </c>
      <c r="D343" s="1">
        <v>9</v>
      </c>
      <c r="E343">
        <v>12.6</v>
      </c>
      <c r="F343" s="2">
        <v>-3.7</v>
      </c>
      <c r="G343">
        <f>ROUNDDOWN((D343*C343)/1000, 0)</f>
        <v>1615</v>
      </c>
    </row>
    <row r="344" spans="1:7" x14ac:dyDescent="0.25">
      <c r="A344" t="s">
        <v>354</v>
      </c>
      <c r="B344" t="s">
        <v>19</v>
      </c>
      <c r="C344">
        <v>54098</v>
      </c>
      <c r="D344" s="1">
        <v>10.8</v>
      </c>
      <c r="E344">
        <v>9.1999999999999993</v>
      </c>
      <c r="F344" s="2">
        <v>-3.3</v>
      </c>
      <c r="G344">
        <f>ROUNDDOWN((D344*C344)/1000, 0)</f>
        <v>584</v>
      </c>
    </row>
    <row r="345" spans="1:7" x14ac:dyDescent="0.25">
      <c r="A345" t="s">
        <v>355</v>
      </c>
      <c r="B345" t="s">
        <v>17</v>
      </c>
      <c r="C345">
        <v>105185</v>
      </c>
      <c r="D345" s="1">
        <v>10.5</v>
      </c>
      <c r="E345">
        <v>9.1999999999999993</v>
      </c>
      <c r="F345" s="2">
        <v>11.2</v>
      </c>
      <c r="G345">
        <f>ROUNDDOWN((D345*C345)/1000, 0)</f>
        <v>1104</v>
      </c>
    </row>
    <row r="346" spans="1:7" x14ac:dyDescent="0.25">
      <c r="A346" t="s">
        <v>356</v>
      </c>
      <c r="B346" t="s">
        <v>11</v>
      </c>
      <c r="C346">
        <v>23327</v>
      </c>
      <c r="D346" s="1">
        <v>11.2</v>
      </c>
      <c r="E346">
        <v>10.8</v>
      </c>
      <c r="F346" s="2">
        <v>-4.5999999999999996</v>
      </c>
      <c r="G346">
        <f>ROUNDDOWN((D346*C346)/1000, 0)</f>
        <v>261</v>
      </c>
    </row>
    <row r="347" spans="1:7" x14ac:dyDescent="0.25">
      <c r="A347" t="s">
        <v>357</v>
      </c>
      <c r="B347" t="s">
        <v>17</v>
      </c>
      <c r="C347">
        <v>67080</v>
      </c>
      <c r="D347" s="1">
        <v>10.9</v>
      </c>
      <c r="E347">
        <v>12.5</v>
      </c>
      <c r="F347" s="2">
        <v>-2.8</v>
      </c>
      <c r="G347">
        <f>ROUNDDOWN((D347*C347)/1000, 0)</f>
        <v>731</v>
      </c>
    </row>
    <row r="348" spans="1:7" x14ac:dyDescent="0.25">
      <c r="A348" t="s">
        <v>358</v>
      </c>
      <c r="B348" t="s">
        <v>42</v>
      </c>
      <c r="C348">
        <v>192349</v>
      </c>
      <c r="D348" s="1">
        <v>14.6</v>
      </c>
      <c r="E348">
        <v>7.4</v>
      </c>
      <c r="F348" s="2">
        <v>10.7</v>
      </c>
      <c r="G348">
        <f>ROUNDDOWN((D348*C348)/1000, 0)</f>
        <v>2808</v>
      </c>
    </row>
    <row r="349" spans="1:7" x14ac:dyDescent="0.25">
      <c r="A349" t="s">
        <v>359</v>
      </c>
      <c r="B349" t="s">
        <v>29</v>
      </c>
      <c r="C349">
        <v>110400</v>
      </c>
      <c r="D349" s="1">
        <v>11.3</v>
      </c>
      <c r="E349">
        <v>9.1</v>
      </c>
      <c r="F349" s="2">
        <v>12.5</v>
      </c>
      <c r="G349">
        <f>ROUNDDOWN((D349*C349)/1000, 0)</f>
        <v>1247</v>
      </c>
    </row>
    <row r="350" spans="1:7" x14ac:dyDescent="0.25">
      <c r="A350" t="s">
        <v>360</v>
      </c>
      <c r="B350" t="s">
        <v>15</v>
      </c>
      <c r="C350">
        <v>77843</v>
      </c>
      <c r="D350" s="1">
        <v>11.4</v>
      </c>
      <c r="E350">
        <v>11.6</v>
      </c>
      <c r="F350" s="2">
        <v>-0.7</v>
      </c>
      <c r="G350">
        <f>ROUNDDOWN((D350*C350)/1000, 0)</f>
        <v>887</v>
      </c>
    </row>
    <row r="351" spans="1:7" x14ac:dyDescent="0.25">
      <c r="A351" t="s">
        <v>361</v>
      </c>
      <c r="B351" t="s">
        <v>15</v>
      </c>
      <c r="C351">
        <v>42168</v>
      </c>
      <c r="D351" s="1">
        <v>12</v>
      </c>
      <c r="E351">
        <v>10.9</v>
      </c>
      <c r="F351" s="2">
        <v>-1.8</v>
      </c>
      <c r="G351">
        <f>ROUNDDOWN((D351*C351)/1000, 0)</f>
        <v>506</v>
      </c>
    </row>
    <row r="352" spans="1:7" x14ac:dyDescent="0.25">
      <c r="A352" t="s">
        <v>362</v>
      </c>
      <c r="B352" t="s">
        <v>7</v>
      </c>
      <c r="C352">
        <v>85368</v>
      </c>
      <c r="D352" s="1">
        <v>10.199999999999999</v>
      </c>
      <c r="E352">
        <v>11.3</v>
      </c>
      <c r="F352" s="2">
        <v>0</v>
      </c>
      <c r="G352">
        <f>ROUNDDOWN((D352*C352)/1000, 0)</f>
        <v>870</v>
      </c>
    </row>
    <row r="353" spans="1:7" x14ac:dyDescent="0.25">
      <c r="A353" t="s">
        <v>363</v>
      </c>
      <c r="B353" t="s">
        <v>22</v>
      </c>
      <c r="C353">
        <v>39526</v>
      </c>
      <c r="D353" s="1">
        <v>10.8</v>
      </c>
      <c r="E353">
        <v>12.7</v>
      </c>
      <c r="F353" s="2">
        <v>-3.8</v>
      </c>
      <c r="G353">
        <f>ROUNDDOWN((D353*C353)/1000, 0)</f>
        <v>426</v>
      </c>
    </row>
    <row r="354" spans="1:7" x14ac:dyDescent="0.25">
      <c r="A354" t="s">
        <v>364</v>
      </c>
      <c r="B354" t="s">
        <v>39</v>
      </c>
      <c r="C354">
        <v>46668</v>
      </c>
      <c r="D354" s="1">
        <v>9.6</v>
      </c>
      <c r="E354">
        <v>12.3</v>
      </c>
      <c r="F354" s="2">
        <v>-2.4</v>
      </c>
      <c r="G354">
        <f>ROUNDDOWN((D354*C354)/1000, 0)</f>
        <v>448</v>
      </c>
    </row>
    <row r="355" spans="1:7" x14ac:dyDescent="0.25">
      <c r="A355" t="s">
        <v>365</v>
      </c>
      <c r="B355" t="s">
        <v>13</v>
      </c>
      <c r="C355">
        <v>155982</v>
      </c>
      <c r="D355" s="1">
        <v>11.2</v>
      </c>
      <c r="E355">
        <v>9.6</v>
      </c>
      <c r="F355" s="2">
        <v>0.6</v>
      </c>
      <c r="G355">
        <f>ROUNDDOWN((D355*C355)/1000, 0)</f>
        <v>1746</v>
      </c>
    </row>
    <row r="356" spans="1:7" x14ac:dyDescent="0.25">
      <c r="A356" t="s">
        <v>366</v>
      </c>
      <c r="B356" t="s">
        <v>17</v>
      </c>
      <c r="C356">
        <v>213714</v>
      </c>
      <c r="D356" s="1">
        <v>13.1</v>
      </c>
      <c r="E356">
        <v>8.6</v>
      </c>
      <c r="F356" s="2">
        <v>11.5</v>
      </c>
      <c r="G356">
        <f>ROUNDDOWN((D356*C356)/1000, 0)</f>
        <v>2799</v>
      </c>
    </row>
    <row r="357" spans="1:7" x14ac:dyDescent="0.25">
      <c r="A357" t="s">
        <v>367</v>
      </c>
      <c r="B357" t="s">
        <v>31</v>
      </c>
      <c r="C357">
        <v>47344</v>
      </c>
      <c r="D357" s="1">
        <v>10.8</v>
      </c>
      <c r="E357">
        <v>10.4</v>
      </c>
      <c r="F357" s="2">
        <v>-0.9</v>
      </c>
      <c r="G357">
        <f>ROUNDDOWN((D357*C357)/1000, 0)</f>
        <v>511</v>
      </c>
    </row>
    <row r="358" spans="1:7" x14ac:dyDescent="0.25">
      <c r="A358" t="s">
        <v>368</v>
      </c>
      <c r="B358" t="s">
        <v>46</v>
      </c>
      <c r="C358">
        <v>55591</v>
      </c>
      <c r="D358" s="1">
        <v>12.3</v>
      </c>
      <c r="E358">
        <v>8.6</v>
      </c>
      <c r="F358" s="2">
        <v>0.2</v>
      </c>
      <c r="G358">
        <f>ROUNDDOWN((D358*C358)/1000, 0)</f>
        <v>683</v>
      </c>
    </row>
    <row r="359" spans="1:7" x14ac:dyDescent="0.25">
      <c r="A359" t="s">
        <v>369</v>
      </c>
      <c r="B359" t="s">
        <v>31</v>
      </c>
      <c r="C359">
        <v>111069</v>
      </c>
      <c r="D359" s="1">
        <v>12.2</v>
      </c>
      <c r="E359">
        <v>8.5</v>
      </c>
      <c r="F359" s="2">
        <v>19.899999999999999</v>
      </c>
      <c r="G359">
        <f>ROUNDDOWN((D359*C359)/1000, 0)</f>
        <v>1355</v>
      </c>
    </row>
    <row r="360" spans="1:7" x14ac:dyDescent="0.25">
      <c r="A360" t="s">
        <v>370</v>
      </c>
      <c r="B360" t="s">
        <v>46</v>
      </c>
      <c r="C360">
        <v>74856</v>
      </c>
      <c r="D360" s="1">
        <v>13.1</v>
      </c>
      <c r="E360">
        <v>9</v>
      </c>
      <c r="F360" s="2">
        <v>0.5</v>
      </c>
      <c r="G360">
        <f>ROUNDDOWN((D360*C360)/1000, 0)</f>
        <v>980</v>
      </c>
    </row>
    <row r="361" spans="1:7" x14ac:dyDescent="0.25">
      <c r="A361" t="s">
        <v>371</v>
      </c>
      <c r="B361" t="s">
        <v>75</v>
      </c>
      <c r="C361">
        <v>39055</v>
      </c>
      <c r="D361" s="1">
        <v>10.7</v>
      </c>
      <c r="E361">
        <v>9.8000000000000007</v>
      </c>
      <c r="F361" s="2">
        <v>-0.9</v>
      </c>
      <c r="G361">
        <f>ROUNDDOWN((D361*C361)/1000, 0)</f>
        <v>417</v>
      </c>
    </row>
    <row r="362" spans="1:7" x14ac:dyDescent="0.25">
      <c r="A362" t="s">
        <v>372</v>
      </c>
      <c r="B362" t="s">
        <v>9</v>
      </c>
      <c r="C362">
        <v>59010</v>
      </c>
      <c r="D362" s="1">
        <v>11</v>
      </c>
      <c r="E362">
        <v>12.5</v>
      </c>
      <c r="F362" s="2">
        <v>-3.7</v>
      </c>
      <c r="G362">
        <f>ROUNDDOWN((D362*C362)/1000, 0)</f>
        <v>649</v>
      </c>
    </row>
    <row r="363" spans="1:7" x14ac:dyDescent="0.25">
      <c r="A363" t="s">
        <v>373</v>
      </c>
      <c r="B363" t="s">
        <v>17</v>
      </c>
      <c r="C363">
        <v>72307</v>
      </c>
      <c r="D363" s="1">
        <v>13.6</v>
      </c>
      <c r="E363">
        <v>9.8000000000000007</v>
      </c>
      <c r="F363" s="2">
        <v>-0.9</v>
      </c>
      <c r="G363">
        <f>ROUNDDOWN((D363*C363)/1000, 0)</f>
        <v>983</v>
      </c>
    </row>
    <row r="364" spans="1:7" x14ac:dyDescent="0.25">
      <c r="A364" t="s">
        <v>374</v>
      </c>
      <c r="B364" t="s">
        <v>31</v>
      </c>
      <c r="C364">
        <v>68575</v>
      </c>
      <c r="D364" s="1">
        <v>10.199999999999999</v>
      </c>
      <c r="E364">
        <v>11.2</v>
      </c>
      <c r="F364" s="2">
        <v>-1.2</v>
      </c>
      <c r="G364">
        <f>ROUNDDOWN((D364*C364)/1000, 0)</f>
        <v>699</v>
      </c>
    </row>
    <row r="365" spans="1:7" x14ac:dyDescent="0.25">
      <c r="A365" t="s">
        <v>375</v>
      </c>
      <c r="B365" t="s">
        <v>75</v>
      </c>
      <c r="C365">
        <v>81658</v>
      </c>
      <c r="D365" s="1">
        <v>11.1</v>
      </c>
      <c r="E365">
        <v>10.1</v>
      </c>
      <c r="F365" s="2">
        <v>-2.7</v>
      </c>
      <c r="G365">
        <f>ROUNDDOWN((D365*C365)/1000, 0)</f>
        <v>906</v>
      </c>
    </row>
    <row r="366" spans="1:7" x14ac:dyDescent="0.25">
      <c r="A366" t="s">
        <v>376</v>
      </c>
      <c r="B366" t="s">
        <v>9</v>
      </c>
      <c r="C366">
        <v>44385</v>
      </c>
      <c r="D366" s="1">
        <v>11.1</v>
      </c>
      <c r="E366">
        <v>9.6999999999999993</v>
      </c>
      <c r="F366" s="2">
        <v>-4.7</v>
      </c>
      <c r="G366">
        <f>ROUNDDOWN((D366*C366)/1000, 0)</f>
        <v>492</v>
      </c>
    </row>
    <row r="367" spans="1:7" x14ac:dyDescent="0.25">
      <c r="A367" t="s">
        <v>377</v>
      </c>
      <c r="B367" t="s">
        <v>22</v>
      </c>
      <c r="C367">
        <v>109181</v>
      </c>
      <c r="D367" s="1">
        <v>9.5</v>
      </c>
      <c r="E367">
        <v>13</v>
      </c>
      <c r="F367" s="2">
        <v>-0.6</v>
      </c>
      <c r="G367">
        <f>ROUNDDOWN((D367*C367)/1000, 0)</f>
        <v>1037</v>
      </c>
    </row>
    <row r="368" spans="1:7" x14ac:dyDescent="0.25">
      <c r="A368" t="s">
        <v>378</v>
      </c>
      <c r="B368" t="s">
        <v>75</v>
      </c>
      <c r="C368">
        <v>98364</v>
      </c>
      <c r="D368" s="1">
        <v>11.3</v>
      </c>
      <c r="E368">
        <v>10.4</v>
      </c>
      <c r="F368" s="2">
        <v>-2.7</v>
      </c>
      <c r="G368">
        <f>ROUNDDOWN((D368*C368)/1000, 0)</f>
        <v>1111</v>
      </c>
    </row>
    <row r="369" spans="1:7" x14ac:dyDescent="0.25">
      <c r="A369" t="s">
        <v>379</v>
      </c>
      <c r="B369" t="s">
        <v>13</v>
      </c>
      <c r="C369">
        <v>122628</v>
      </c>
      <c r="D369" s="1">
        <v>9.3000000000000007</v>
      </c>
      <c r="E369">
        <v>12.7</v>
      </c>
      <c r="F369" s="2">
        <v>-0.2</v>
      </c>
      <c r="G369">
        <f>ROUNDDOWN((D369*C369)/1000, 0)</f>
        <v>1140</v>
      </c>
    </row>
    <row r="370" spans="1:7" x14ac:dyDescent="0.25">
      <c r="A370" t="s">
        <v>380</v>
      </c>
      <c r="B370" t="s">
        <v>15</v>
      </c>
      <c r="C370">
        <v>67588</v>
      </c>
      <c r="D370" s="1">
        <v>10.7</v>
      </c>
      <c r="E370">
        <v>11.1</v>
      </c>
      <c r="F370" s="2">
        <v>-1</v>
      </c>
      <c r="G370">
        <f>ROUNDDOWN((D370*C370)/1000, 0)</f>
        <v>723</v>
      </c>
    </row>
    <row r="371" spans="1:7" x14ac:dyDescent="0.25">
      <c r="A371" t="s">
        <v>381</v>
      </c>
      <c r="B371" t="s">
        <v>15</v>
      </c>
      <c r="C371">
        <v>161959</v>
      </c>
      <c r="D371" s="1">
        <v>10.3</v>
      </c>
      <c r="E371">
        <v>11.9</v>
      </c>
      <c r="F371" s="2">
        <v>4.8</v>
      </c>
      <c r="G371">
        <f>ROUNDDOWN((D371*C371)/1000, 0)</f>
        <v>1668</v>
      </c>
    </row>
    <row r="372" spans="1:7" x14ac:dyDescent="0.25">
      <c r="A372" t="s">
        <v>382</v>
      </c>
      <c r="B372" t="s">
        <v>31</v>
      </c>
      <c r="C372">
        <v>92867</v>
      </c>
      <c r="D372" s="1">
        <v>9.8000000000000007</v>
      </c>
      <c r="E372">
        <v>10.8</v>
      </c>
      <c r="F372" s="2">
        <v>-3.1</v>
      </c>
      <c r="G372">
        <f>ROUNDDOWN((D372*C372)/1000, 0)</f>
        <v>910</v>
      </c>
    </row>
    <row r="373" spans="1:7" x14ac:dyDescent="0.25">
      <c r="A373" t="s">
        <v>383</v>
      </c>
      <c r="B373" t="s">
        <v>75</v>
      </c>
      <c r="C373">
        <v>91638</v>
      </c>
      <c r="D373" s="1">
        <v>11.4</v>
      </c>
      <c r="E373">
        <v>7.8</v>
      </c>
      <c r="F373" s="2">
        <v>5.8</v>
      </c>
      <c r="G373">
        <f>ROUNDDOWN((D373*C373)/1000, 0)</f>
        <v>1044</v>
      </c>
    </row>
    <row r="374" spans="1:7" x14ac:dyDescent="0.25">
      <c r="A374" t="s">
        <v>384</v>
      </c>
      <c r="B374" t="s">
        <v>31</v>
      </c>
      <c r="C374">
        <v>45376</v>
      </c>
      <c r="D374" s="1">
        <v>10.4</v>
      </c>
      <c r="E374">
        <v>11.9</v>
      </c>
      <c r="F374" s="2">
        <v>-1.2</v>
      </c>
      <c r="G374">
        <f>ROUNDDOWN((D374*C374)/1000, 0)</f>
        <v>471</v>
      </c>
    </row>
    <row r="375" spans="1:7" x14ac:dyDescent="0.25">
      <c r="A375" t="s">
        <v>385</v>
      </c>
      <c r="B375" t="s">
        <v>46</v>
      </c>
      <c r="C375">
        <v>68737</v>
      </c>
      <c r="D375" s="1">
        <v>12.3</v>
      </c>
      <c r="E375">
        <v>9.1</v>
      </c>
      <c r="F375" s="2">
        <v>-2.1</v>
      </c>
      <c r="G375">
        <f>ROUNDDOWN((D375*C375)/1000, 0)</f>
        <v>845</v>
      </c>
    </row>
    <row r="376" spans="1:7" x14ac:dyDescent="0.25">
      <c r="A376" t="s">
        <v>386</v>
      </c>
      <c r="B376" t="s">
        <v>7</v>
      </c>
      <c r="C376">
        <v>69985</v>
      </c>
      <c r="D376" s="1">
        <v>11.6</v>
      </c>
      <c r="E376">
        <v>9.9</v>
      </c>
      <c r="F376" s="2">
        <v>-0.4</v>
      </c>
      <c r="G376">
        <f>ROUNDDOWN((D376*C376)/1000, 0)</f>
        <v>811</v>
      </c>
    </row>
    <row r="377" spans="1:7" x14ac:dyDescent="0.25">
      <c r="A377" t="s">
        <v>387</v>
      </c>
      <c r="B377" t="s">
        <v>17</v>
      </c>
      <c r="C377">
        <v>39671</v>
      </c>
      <c r="D377" s="1">
        <v>10.3</v>
      </c>
      <c r="E377">
        <v>10.7</v>
      </c>
      <c r="F377" s="2">
        <v>-2.6</v>
      </c>
      <c r="G377">
        <f>ROUNDDOWN((D377*C377)/1000, 0)</f>
        <v>408</v>
      </c>
    </row>
    <row r="378" spans="1:7" x14ac:dyDescent="0.25">
      <c r="A378" t="s">
        <v>388</v>
      </c>
      <c r="B378" t="s">
        <v>17</v>
      </c>
      <c r="C378">
        <v>36796</v>
      </c>
      <c r="D378" s="1">
        <v>11.3</v>
      </c>
      <c r="E378">
        <v>12.2</v>
      </c>
      <c r="F378" s="2">
        <v>-2</v>
      </c>
      <c r="G378">
        <f>ROUNDDOWN((D378*C378)/1000, 0)</f>
        <v>415</v>
      </c>
    </row>
    <row r="379" spans="1:7" x14ac:dyDescent="0.25">
      <c r="A379" t="s">
        <v>389</v>
      </c>
      <c r="B379" t="s">
        <v>17</v>
      </c>
      <c r="C379">
        <v>75408</v>
      </c>
      <c r="D379" s="1">
        <v>13</v>
      </c>
      <c r="E379">
        <v>12.2</v>
      </c>
      <c r="F379" s="2">
        <v>2.2999999999999998</v>
      </c>
      <c r="G379">
        <f>ROUNDDOWN((D379*C379)/1000, 0)</f>
        <v>980</v>
      </c>
    </row>
    <row r="380" spans="1:7" x14ac:dyDescent="0.25">
      <c r="A380" t="s">
        <v>390</v>
      </c>
      <c r="B380" t="s">
        <v>13</v>
      </c>
      <c r="C380">
        <v>150850</v>
      </c>
      <c r="D380" s="1">
        <v>10.9</v>
      </c>
      <c r="E380">
        <v>10.8</v>
      </c>
      <c r="F380" s="2">
        <v>1.5</v>
      </c>
      <c r="G380">
        <f>ROUNDDOWN((D380*C380)/1000, 0)</f>
        <v>1644</v>
      </c>
    </row>
  </sheetData>
  <sortState xmlns:xlrd2="http://schemas.microsoft.com/office/spreadsheetml/2017/richdata2" ref="A2:G750">
    <sortCondition ref="A1:A750"/>
  </sortState>
  <mergeCells count="1">
    <mergeCell ref="O3:P3"/>
  </mergeCell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13498C-B674-4BBD-93CA-79B17EA5A1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4</vt:i4>
      </vt:variant>
    </vt:vector>
  </HeadingPairs>
  <TitlesOfParts>
    <vt:vector size="8" baseType="lpstr">
      <vt:lpstr>4.1</vt:lpstr>
      <vt:lpstr>4.2</vt:lpstr>
      <vt:lpstr>4.3</vt:lpstr>
      <vt:lpstr>4.4</vt:lpstr>
      <vt:lpstr>'4.1'!demografia_1</vt:lpstr>
      <vt:lpstr>'4.2'!demografia_1</vt:lpstr>
      <vt:lpstr>'4.3'!demografia_1</vt:lpstr>
      <vt:lpstr>'4.4'!demografia_1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Bogumił Gąsowski</dc:creator>
  <cp:lastModifiedBy>Bogumił Gąsowski</cp:lastModifiedBy>
  <dcterms:created xsi:type="dcterms:W3CDTF">2026-05-07T08:35:41Z</dcterms:created>
  <dcterms:modified xsi:type="dcterms:W3CDTF">2026-05-07T09:10:25Z</dcterms:modified>
</cp:coreProperties>
</file>