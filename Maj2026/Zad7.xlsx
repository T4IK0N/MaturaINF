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/Users/bogumilgasowski/Downloads/"/>
    </mc:Choice>
  </mc:AlternateContent>
  <xr:revisionPtr revIDLastSave="0" documentId="13_ncr:1_{557AB19E-AE28-0347-B1A4-7AE6DB1B78FA}" xr6:coauthVersionLast="47" xr6:coauthVersionMax="47" xr10:uidLastSave="{00000000-0000-0000-0000-000000000000}"/>
  <bookViews>
    <workbookView xWindow="0" yWindow="500" windowWidth="44800" windowHeight="23460" firstSheet="3" activeTab="3" xr2:uid="{7CCE6FB5-2820-4CF6-BBC7-3655E8190D49}"/>
  </bookViews>
  <sheets>
    <sheet name="7_1" sheetId="4" r:id="rId1"/>
    <sheet name="7_2" sheetId="9" r:id="rId2"/>
    <sheet name="7_3" sheetId="2" r:id="rId3"/>
    <sheet name="7_4" sheetId="10" r:id="rId4"/>
    <sheet name="staw" sheetId="8" r:id="rId5"/>
  </sheets>
  <definedNames>
    <definedName name="ExternalData_1" localSheetId="2" hidden="1">'7_3'!$A$1:$C$366</definedName>
    <definedName name="ExternalData_1" localSheetId="3" hidden="1">'7_4'!$A$1:$C$366</definedName>
  </definedName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6" i="10" l="1"/>
  <c r="D366" i="10"/>
  <c r="E366" i="10" s="1"/>
  <c r="F365" i="10"/>
  <c r="D365" i="10"/>
  <c r="F364" i="10"/>
  <c r="D364" i="10"/>
  <c r="F363" i="10"/>
  <c r="D363" i="10"/>
  <c r="F362" i="10"/>
  <c r="D362" i="10"/>
  <c r="F361" i="10"/>
  <c r="D361" i="10"/>
  <c r="F360" i="10"/>
  <c r="D360" i="10"/>
  <c r="F359" i="10"/>
  <c r="D359" i="10"/>
  <c r="F358" i="10"/>
  <c r="D358" i="10"/>
  <c r="F357" i="10"/>
  <c r="D357" i="10"/>
  <c r="F356" i="10"/>
  <c r="D356" i="10"/>
  <c r="F355" i="10"/>
  <c r="E355" i="10"/>
  <c r="D355" i="10"/>
  <c r="F354" i="10"/>
  <c r="D354" i="10"/>
  <c r="F353" i="10"/>
  <c r="D353" i="10"/>
  <c r="F352" i="10"/>
  <c r="D352" i="10"/>
  <c r="F351" i="10"/>
  <c r="D351" i="10"/>
  <c r="F350" i="10"/>
  <c r="D350" i="10"/>
  <c r="F349" i="10"/>
  <c r="D349" i="10"/>
  <c r="F348" i="10"/>
  <c r="D348" i="10"/>
  <c r="F347" i="10"/>
  <c r="D347" i="10"/>
  <c r="F346" i="10"/>
  <c r="D346" i="10"/>
  <c r="F345" i="10"/>
  <c r="D345" i="10"/>
  <c r="F344" i="10"/>
  <c r="D344" i="10"/>
  <c r="F343" i="10"/>
  <c r="D343" i="10"/>
  <c r="F342" i="10"/>
  <c r="D342" i="10"/>
  <c r="F341" i="10"/>
  <c r="D341" i="10"/>
  <c r="F340" i="10"/>
  <c r="D340" i="10"/>
  <c r="F339" i="10"/>
  <c r="D339" i="10"/>
  <c r="F338" i="10"/>
  <c r="D338" i="10"/>
  <c r="F337" i="10"/>
  <c r="D337" i="10"/>
  <c r="F336" i="10"/>
  <c r="D336" i="10"/>
  <c r="F335" i="10"/>
  <c r="D335" i="10"/>
  <c r="F334" i="10"/>
  <c r="D334" i="10"/>
  <c r="F333" i="10"/>
  <c r="D333" i="10"/>
  <c r="F332" i="10"/>
  <c r="D332" i="10"/>
  <c r="F331" i="10"/>
  <c r="D331" i="10"/>
  <c r="F330" i="10"/>
  <c r="D330" i="10"/>
  <c r="F329" i="10"/>
  <c r="D329" i="10"/>
  <c r="F328" i="10"/>
  <c r="D328" i="10"/>
  <c r="F327" i="10"/>
  <c r="D327" i="10"/>
  <c r="F326" i="10"/>
  <c r="D326" i="10"/>
  <c r="F325" i="10"/>
  <c r="D325" i="10"/>
  <c r="F324" i="10"/>
  <c r="D324" i="10"/>
  <c r="F323" i="10"/>
  <c r="D323" i="10"/>
  <c r="F322" i="10"/>
  <c r="D322" i="10"/>
  <c r="F321" i="10"/>
  <c r="D321" i="10"/>
  <c r="F320" i="10"/>
  <c r="D320" i="10"/>
  <c r="F319" i="10"/>
  <c r="D319" i="10"/>
  <c r="F318" i="10"/>
  <c r="D318" i="10"/>
  <c r="F317" i="10"/>
  <c r="D317" i="10"/>
  <c r="F316" i="10"/>
  <c r="D316" i="10"/>
  <c r="F315" i="10"/>
  <c r="D315" i="10"/>
  <c r="F314" i="10"/>
  <c r="D314" i="10"/>
  <c r="F313" i="10"/>
  <c r="D313" i="10"/>
  <c r="F312" i="10"/>
  <c r="D312" i="10"/>
  <c r="F311" i="10"/>
  <c r="D311" i="10"/>
  <c r="F310" i="10"/>
  <c r="D310" i="10"/>
  <c r="F309" i="10"/>
  <c r="D309" i="10"/>
  <c r="F308" i="10"/>
  <c r="D308" i="10"/>
  <c r="F307" i="10"/>
  <c r="D307" i="10"/>
  <c r="F306" i="10"/>
  <c r="D306" i="10"/>
  <c r="F305" i="10"/>
  <c r="D305" i="10"/>
  <c r="F304" i="10"/>
  <c r="D304" i="10"/>
  <c r="F303" i="10"/>
  <c r="D303" i="10"/>
  <c r="F302" i="10"/>
  <c r="D302" i="10"/>
  <c r="F301" i="10"/>
  <c r="D301" i="10"/>
  <c r="F300" i="10"/>
  <c r="D300" i="10"/>
  <c r="F299" i="10"/>
  <c r="D299" i="10"/>
  <c r="F298" i="10"/>
  <c r="D298" i="10"/>
  <c r="F297" i="10"/>
  <c r="D297" i="10"/>
  <c r="F296" i="10"/>
  <c r="D296" i="10"/>
  <c r="F295" i="10"/>
  <c r="D295" i="10"/>
  <c r="F294" i="10"/>
  <c r="D294" i="10"/>
  <c r="F293" i="10"/>
  <c r="D293" i="10"/>
  <c r="F292" i="10"/>
  <c r="D292" i="10"/>
  <c r="F291" i="10"/>
  <c r="D291" i="10"/>
  <c r="F290" i="10"/>
  <c r="D290" i="10"/>
  <c r="F289" i="10"/>
  <c r="D289" i="10"/>
  <c r="F288" i="10"/>
  <c r="D288" i="10"/>
  <c r="F287" i="10"/>
  <c r="D287" i="10"/>
  <c r="F286" i="10"/>
  <c r="D286" i="10"/>
  <c r="F285" i="10"/>
  <c r="D285" i="10"/>
  <c r="F284" i="10"/>
  <c r="D284" i="10"/>
  <c r="F283" i="10"/>
  <c r="D283" i="10"/>
  <c r="F282" i="10"/>
  <c r="D282" i="10"/>
  <c r="F281" i="10"/>
  <c r="D281" i="10"/>
  <c r="F280" i="10"/>
  <c r="D280" i="10"/>
  <c r="F279" i="10"/>
  <c r="D279" i="10"/>
  <c r="F278" i="10"/>
  <c r="D278" i="10"/>
  <c r="F277" i="10"/>
  <c r="D277" i="10"/>
  <c r="F276" i="10"/>
  <c r="D276" i="10"/>
  <c r="F275" i="10"/>
  <c r="D275" i="10"/>
  <c r="F274" i="10"/>
  <c r="D274" i="10"/>
  <c r="F273" i="10"/>
  <c r="D273" i="10"/>
  <c r="F272" i="10"/>
  <c r="D272" i="10"/>
  <c r="F271" i="10"/>
  <c r="D271" i="10"/>
  <c r="F270" i="10"/>
  <c r="D270" i="10"/>
  <c r="F269" i="10"/>
  <c r="D269" i="10"/>
  <c r="F268" i="10"/>
  <c r="D268" i="10"/>
  <c r="F267" i="10"/>
  <c r="D267" i="10"/>
  <c r="F266" i="10"/>
  <c r="D266" i="10"/>
  <c r="F265" i="10"/>
  <c r="D265" i="10"/>
  <c r="F264" i="10"/>
  <c r="D264" i="10"/>
  <c r="F263" i="10"/>
  <c r="D263" i="10"/>
  <c r="F262" i="10"/>
  <c r="D262" i="10"/>
  <c r="F261" i="10"/>
  <c r="D261" i="10"/>
  <c r="F260" i="10"/>
  <c r="D260" i="10"/>
  <c r="F259" i="10"/>
  <c r="D259" i="10"/>
  <c r="F258" i="10"/>
  <c r="D258" i="10"/>
  <c r="F257" i="10"/>
  <c r="D257" i="10"/>
  <c r="F256" i="10"/>
  <c r="D256" i="10"/>
  <c r="F255" i="10"/>
  <c r="D255" i="10"/>
  <c r="F254" i="10"/>
  <c r="D254" i="10"/>
  <c r="F253" i="10"/>
  <c r="D253" i="10"/>
  <c r="F252" i="10"/>
  <c r="D252" i="10"/>
  <c r="F251" i="10"/>
  <c r="D251" i="10"/>
  <c r="F250" i="10"/>
  <c r="D250" i="10"/>
  <c r="F249" i="10"/>
  <c r="D249" i="10"/>
  <c r="F248" i="10"/>
  <c r="D248" i="10"/>
  <c r="F247" i="10"/>
  <c r="D247" i="10"/>
  <c r="F246" i="10"/>
  <c r="D246" i="10"/>
  <c r="F245" i="10"/>
  <c r="D245" i="10"/>
  <c r="F244" i="10"/>
  <c r="D244" i="10"/>
  <c r="F243" i="10"/>
  <c r="D243" i="10"/>
  <c r="F242" i="10"/>
  <c r="D242" i="10"/>
  <c r="F241" i="10"/>
  <c r="D241" i="10"/>
  <c r="F240" i="10"/>
  <c r="D240" i="10"/>
  <c r="F239" i="10"/>
  <c r="D239" i="10"/>
  <c r="F238" i="10"/>
  <c r="D238" i="10"/>
  <c r="F237" i="10"/>
  <c r="D237" i="10"/>
  <c r="F236" i="10"/>
  <c r="D236" i="10"/>
  <c r="F235" i="10"/>
  <c r="D235" i="10"/>
  <c r="F234" i="10"/>
  <c r="D234" i="10"/>
  <c r="F233" i="10"/>
  <c r="D233" i="10"/>
  <c r="F232" i="10"/>
  <c r="D232" i="10"/>
  <c r="F231" i="10"/>
  <c r="D231" i="10"/>
  <c r="F230" i="10"/>
  <c r="D230" i="10"/>
  <c r="F229" i="10"/>
  <c r="D229" i="10"/>
  <c r="F228" i="10"/>
  <c r="D228" i="10"/>
  <c r="F227" i="10"/>
  <c r="E227" i="10" s="1"/>
  <c r="D227" i="10"/>
  <c r="F226" i="10"/>
  <c r="D226" i="10"/>
  <c r="F225" i="10"/>
  <c r="D225" i="10"/>
  <c r="F224" i="10"/>
  <c r="D224" i="10"/>
  <c r="F223" i="10"/>
  <c r="D223" i="10"/>
  <c r="F222" i="10"/>
  <c r="D222" i="10"/>
  <c r="F221" i="10"/>
  <c r="D221" i="10"/>
  <c r="F220" i="10"/>
  <c r="D220" i="10"/>
  <c r="F219" i="10"/>
  <c r="D219" i="10"/>
  <c r="F218" i="10"/>
  <c r="D218" i="10"/>
  <c r="F217" i="10"/>
  <c r="D217" i="10"/>
  <c r="F216" i="10"/>
  <c r="D216" i="10"/>
  <c r="F215" i="10"/>
  <c r="D215" i="10"/>
  <c r="F214" i="10"/>
  <c r="D214" i="10"/>
  <c r="F213" i="10"/>
  <c r="D213" i="10"/>
  <c r="F212" i="10"/>
  <c r="D212" i="10"/>
  <c r="E212" i="10" s="1"/>
  <c r="F211" i="10"/>
  <c r="D211" i="10"/>
  <c r="F210" i="10"/>
  <c r="D210" i="10"/>
  <c r="F209" i="10"/>
  <c r="D209" i="10"/>
  <c r="F208" i="10"/>
  <c r="D208" i="10"/>
  <c r="E208" i="10" s="1"/>
  <c r="F207" i="10"/>
  <c r="D207" i="10"/>
  <c r="F206" i="10"/>
  <c r="D206" i="10"/>
  <c r="F205" i="10"/>
  <c r="D205" i="10"/>
  <c r="F204" i="10"/>
  <c r="D204" i="10"/>
  <c r="F203" i="10"/>
  <c r="D203" i="10"/>
  <c r="F202" i="10"/>
  <c r="D202" i="10"/>
  <c r="F201" i="10"/>
  <c r="D201" i="10"/>
  <c r="F200" i="10"/>
  <c r="D200" i="10"/>
  <c r="F199" i="10"/>
  <c r="D199" i="10"/>
  <c r="F198" i="10"/>
  <c r="D198" i="10"/>
  <c r="F197" i="10"/>
  <c r="D197" i="10"/>
  <c r="F196" i="10"/>
  <c r="D196" i="10"/>
  <c r="F195" i="10"/>
  <c r="D195" i="10"/>
  <c r="F194" i="10"/>
  <c r="D194" i="10"/>
  <c r="F193" i="10"/>
  <c r="D193" i="10"/>
  <c r="F192" i="10"/>
  <c r="D192" i="10"/>
  <c r="F191" i="10"/>
  <c r="D191" i="10"/>
  <c r="F190" i="10"/>
  <c r="D190" i="10"/>
  <c r="F189" i="10"/>
  <c r="D189" i="10"/>
  <c r="F188" i="10"/>
  <c r="D188" i="10"/>
  <c r="F187" i="10"/>
  <c r="D187" i="10"/>
  <c r="F186" i="10"/>
  <c r="D186" i="10"/>
  <c r="F185" i="10"/>
  <c r="D185" i="10"/>
  <c r="F184" i="10"/>
  <c r="D184" i="10"/>
  <c r="F183" i="10"/>
  <c r="D183" i="10"/>
  <c r="F182" i="10"/>
  <c r="D182" i="10"/>
  <c r="E182" i="10" s="1"/>
  <c r="F181" i="10"/>
  <c r="D181" i="10"/>
  <c r="F180" i="10"/>
  <c r="D180" i="10"/>
  <c r="F179" i="10"/>
  <c r="D179" i="10"/>
  <c r="F178" i="10"/>
  <c r="D178" i="10"/>
  <c r="F177" i="10"/>
  <c r="D177" i="10"/>
  <c r="F176" i="10"/>
  <c r="D176" i="10"/>
  <c r="F175" i="10"/>
  <c r="D175" i="10"/>
  <c r="F174" i="10"/>
  <c r="D174" i="10"/>
  <c r="F173" i="10"/>
  <c r="D173" i="10"/>
  <c r="F172" i="10"/>
  <c r="D172" i="10"/>
  <c r="F171" i="10"/>
  <c r="D171" i="10"/>
  <c r="F170" i="10"/>
  <c r="D170" i="10"/>
  <c r="F169" i="10"/>
  <c r="D169" i="10"/>
  <c r="F168" i="10"/>
  <c r="D168" i="10"/>
  <c r="F167" i="10"/>
  <c r="D167" i="10"/>
  <c r="F166" i="10"/>
  <c r="D166" i="10"/>
  <c r="F165" i="10"/>
  <c r="D165" i="10"/>
  <c r="F164" i="10"/>
  <c r="D164" i="10"/>
  <c r="F163" i="10"/>
  <c r="D163" i="10"/>
  <c r="F162" i="10"/>
  <c r="D162" i="10"/>
  <c r="F161" i="10"/>
  <c r="D161" i="10"/>
  <c r="F160" i="10"/>
  <c r="D160" i="10"/>
  <c r="F159" i="10"/>
  <c r="D159" i="10"/>
  <c r="F158" i="10"/>
  <c r="D158" i="10"/>
  <c r="F157" i="10"/>
  <c r="D157" i="10"/>
  <c r="F156" i="10"/>
  <c r="D156" i="10"/>
  <c r="F155" i="10"/>
  <c r="D155" i="10"/>
  <c r="F154" i="10"/>
  <c r="D154" i="10"/>
  <c r="E154" i="10" s="1"/>
  <c r="F153" i="10"/>
  <c r="D153" i="10"/>
  <c r="F152" i="10"/>
  <c r="D152" i="10"/>
  <c r="F151" i="10"/>
  <c r="D151" i="10"/>
  <c r="F150" i="10"/>
  <c r="D150" i="10"/>
  <c r="F149" i="10"/>
  <c r="D149" i="10"/>
  <c r="F148" i="10"/>
  <c r="D148" i="10"/>
  <c r="F147" i="10"/>
  <c r="D147" i="10"/>
  <c r="F146" i="10"/>
  <c r="D146" i="10"/>
  <c r="F145" i="10"/>
  <c r="D145" i="10"/>
  <c r="F144" i="10"/>
  <c r="D144" i="10"/>
  <c r="F143" i="10"/>
  <c r="D143" i="10"/>
  <c r="F142" i="10"/>
  <c r="D142" i="10"/>
  <c r="F141" i="10"/>
  <c r="D141" i="10"/>
  <c r="F140" i="10"/>
  <c r="D140" i="10"/>
  <c r="F139" i="10"/>
  <c r="D139" i="10"/>
  <c r="F138" i="10"/>
  <c r="D138" i="10"/>
  <c r="F137" i="10"/>
  <c r="D137" i="10"/>
  <c r="F136" i="10"/>
  <c r="D136" i="10"/>
  <c r="F135" i="10"/>
  <c r="D135" i="10"/>
  <c r="F134" i="10"/>
  <c r="D134" i="10"/>
  <c r="F133" i="10"/>
  <c r="D133" i="10"/>
  <c r="F132" i="10"/>
  <c r="D132" i="10"/>
  <c r="F131" i="10"/>
  <c r="D131" i="10"/>
  <c r="F130" i="10"/>
  <c r="D130" i="10"/>
  <c r="F129" i="10"/>
  <c r="D129" i="10"/>
  <c r="F128" i="10"/>
  <c r="D128" i="10"/>
  <c r="F127" i="10"/>
  <c r="D127" i="10"/>
  <c r="F126" i="10"/>
  <c r="D126" i="10"/>
  <c r="F125" i="10"/>
  <c r="D125" i="10"/>
  <c r="F124" i="10"/>
  <c r="D124" i="10"/>
  <c r="F123" i="10"/>
  <c r="D123" i="10"/>
  <c r="F122" i="10"/>
  <c r="D122" i="10"/>
  <c r="F121" i="10"/>
  <c r="D121" i="10"/>
  <c r="F120" i="10"/>
  <c r="D120" i="10"/>
  <c r="F119" i="10"/>
  <c r="D119" i="10"/>
  <c r="F118" i="10"/>
  <c r="D118" i="10"/>
  <c r="F117" i="10"/>
  <c r="D117" i="10"/>
  <c r="F116" i="10"/>
  <c r="D116" i="10"/>
  <c r="E116" i="10" s="1"/>
  <c r="F115" i="10"/>
  <c r="D115" i="10"/>
  <c r="F114" i="10"/>
  <c r="D114" i="10"/>
  <c r="F113" i="10"/>
  <c r="D113" i="10"/>
  <c r="F112" i="10"/>
  <c r="D112" i="10"/>
  <c r="F111" i="10"/>
  <c r="D111" i="10"/>
  <c r="F110" i="10"/>
  <c r="D110" i="10"/>
  <c r="F109" i="10"/>
  <c r="D109" i="10"/>
  <c r="F108" i="10"/>
  <c r="D108" i="10"/>
  <c r="F107" i="10"/>
  <c r="D107" i="10"/>
  <c r="F106" i="10"/>
  <c r="D106" i="10"/>
  <c r="F105" i="10"/>
  <c r="D105" i="10"/>
  <c r="F104" i="10"/>
  <c r="D104" i="10"/>
  <c r="F103" i="10"/>
  <c r="D103" i="10"/>
  <c r="F102" i="10"/>
  <c r="D102" i="10"/>
  <c r="F101" i="10"/>
  <c r="D101" i="10"/>
  <c r="F100" i="10"/>
  <c r="D100" i="10"/>
  <c r="F99" i="10"/>
  <c r="D99" i="10"/>
  <c r="F98" i="10"/>
  <c r="D98" i="10"/>
  <c r="F97" i="10"/>
  <c r="D97" i="10"/>
  <c r="F96" i="10"/>
  <c r="D96" i="10"/>
  <c r="F95" i="10"/>
  <c r="D95" i="10"/>
  <c r="F94" i="10"/>
  <c r="D94" i="10"/>
  <c r="E94" i="10" s="1"/>
  <c r="F93" i="10"/>
  <c r="D93" i="10"/>
  <c r="F92" i="10"/>
  <c r="D92" i="10"/>
  <c r="E92" i="10" s="1"/>
  <c r="E93" i="10" s="1"/>
  <c r="F91" i="10"/>
  <c r="D91" i="10"/>
  <c r="F90" i="10"/>
  <c r="D90" i="10"/>
  <c r="F89" i="10"/>
  <c r="D89" i="10"/>
  <c r="F88" i="10"/>
  <c r="D88" i="10"/>
  <c r="F87" i="10"/>
  <c r="D87" i="10"/>
  <c r="F86" i="10"/>
  <c r="D86" i="10"/>
  <c r="F85" i="10"/>
  <c r="D85" i="10"/>
  <c r="F84" i="10"/>
  <c r="D84" i="10"/>
  <c r="F83" i="10"/>
  <c r="D83" i="10"/>
  <c r="F82" i="10"/>
  <c r="D82" i="10"/>
  <c r="F81" i="10"/>
  <c r="D81" i="10"/>
  <c r="F80" i="10"/>
  <c r="D80" i="10"/>
  <c r="F79" i="10"/>
  <c r="D79" i="10"/>
  <c r="F78" i="10"/>
  <c r="D78" i="10"/>
  <c r="F77" i="10"/>
  <c r="D77" i="10"/>
  <c r="F76" i="10"/>
  <c r="D76" i="10"/>
  <c r="F75" i="10"/>
  <c r="D75" i="10"/>
  <c r="F74" i="10"/>
  <c r="D74" i="10"/>
  <c r="F73" i="10"/>
  <c r="D73" i="10"/>
  <c r="F72" i="10"/>
  <c r="D72" i="10"/>
  <c r="F71" i="10"/>
  <c r="D71" i="10"/>
  <c r="F70" i="10"/>
  <c r="D70" i="10"/>
  <c r="F69" i="10"/>
  <c r="D69" i="10"/>
  <c r="F68" i="10"/>
  <c r="D68" i="10"/>
  <c r="F67" i="10"/>
  <c r="D67" i="10"/>
  <c r="F66" i="10"/>
  <c r="D66" i="10"/>
  <c r="F65" i="10"/>
  <c r="D65" i="10"/>
  <c r="F64" i="10"/>
  <c r="D64" i="10"/>
  <c r="F63" i="10"/>
  <c r="D63" i="10"/>
  <c r="F62" i="10"/>
  <c r="D62" i="10"/>
  <c r="F61" i="10"/>
  <c r="D61" i="10"/>
  <c r="F60" i="10"/>
  <c r="D60" i="10"/>
  <c r="F59" i="10"/>
  <c r="D59" i="10"/>
  <c r="F58" i="10"/>
  <c r="D58" i="10"/>
  <c r="F57" i="10"/>
  <c r="D57" i="10"/>
  <c r="F56" i="10"/>
  <c r="D56" i="10"/>
  <c r="F55" i="10"/>
  <c r="D55" i="10"/>
  <c r="F54" i="10"/>
  <c r="D54" i="10"/>
  <c r="F53" i="10"/>
  <c r="D53" i="10"/>
  <c r="F52" i="10"/>
  <c r="D52" i="10"/>
  <c r="F51" i="10"/>
  <c r="D51" i="10"/>
  <c r="F50" i="10"/>
  <c r="D50" i="10"/>
  <c r="F49" i="10"/>
  <c r="D49" i="10"/>
  <c r="F48" i="10"/>
  <c r="D48" i="10"/>
  <c r="F47" i="10"/>
  <c r="D47" i="10"/>
  <c r="F46" i="10"/>
  <c r="D46" i="10"/>
  <c r="F45" i="10"/>
  <c r="D45" i="10"/>
  <c r="F44" i="10"/>
  <c r="D44" i="10"/>
  <c r="F43" i="10"/>
  <c r="D43" i="10"/>
  <c r="F42" i="10"/>
  <c r="D42" i="10"/>
  <c r="F41" i="10"/>
  <c r="D41" i="10"/>
  <c r="F40" i="10"/>
  <c r="D40" i="10"/>
  <c r="E40" i="10" s="1"/>
  <c r="F39" i="10"/>
  <c r="D39" i="10"/>
  <c r="F38" i="10"/>
  <c r="D38" i="10"/>
  <c r="F37" i="10"/>
  <c r="D37" i="10"/>
  <c r="F36" i="10"/>
  <c r="D36" i="10"/>
  <c r="E35" i="10" s="1"/>
  <c r="F35" i="10"/>
  <c r="D35" i="10"/>
  <c r="F34" i="10"/>
  <c r="D34" i="10"/>
  <c r="F33" i="10"/>
  <c r="D33" i="10"/>
  <c r="F32" i="10"/>
  <c r="E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F24" i="10"/>
  <c r="D24" i="10"/>
  <c r="F23" i="10"/>
  <c r="D23" i="10"/>
  <c r="F22" i="10"/>
  <c r="D22" i="10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I13" i="10"/>
  <c r="F13" i="10"/>
  <c r="D13" i="10"/>
  <c r="I12" i="10"/>
  <c r="F12" i="10"/>
  <c r="D12" i="10"/>
  <c r="I11" i="10"/>
  <c r="F11" i="10"/>
  <c r="D11" i="10"/>
  <c r="I10" i="10"/>
  <c r="F10" i="10"/>
  <c r="D10" i="10"/>
  <c r="I9" i="10"/>
  <c r="F9" i="10"/>
  <c r="D9" i="10"/>
  <c r="I8" i="10"/>
  <c r="F8" i="10"/>
  <c r="D8" i="10"/>
  <c r="I7" i="10"/>
  <c r="F7" i="10"/>
  <c r="D7" i="10"/>
  <c r="I6" i="10"/>
  <c r="F6" i="10"/>
  <c r="D6" i="10"/>
  <c r="I5" i="10"/>
  <c r="F5" i="10"/>
  <c r="D5" i="10"/>
  <c r="I4" i="10"/>
  <c r="F4" i="10"/>
  <c r="D4" i="10"/>
  <c r="L3" i="10"/>
  <c r="M3" i="10" s="1"/>
  <c r="K3" i="10"/>
  <c r="J3" i="10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I3" i="10"/>
  <c r="F3" i="10"/>
  <c r="D3" i="10"/>
  <c r="Q2" i="10"/>
  <c r="Q3" i="10" s="1"/>
  <c r="M2" i="10"/>
  <c r="I2" i="10"/>
  <c r="F2" i="10"/>
  <c r="D2" i="10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E194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3" i="2"/>
  <c r="D4" i="2"/>
  <c r="D5" i="2"/>
  <c r="D6" i="2"/>
  <c r="E5" i="2" s="1"/>
  <c r="D7" i="2"/>
  <c r="D8" i="2"/>
  <c r="D9" i="2"/>
  <c r="D10" i="2"/>
  <c r="D11" i="2"/>
  <c r="D12" i="2"/>
  <c r="D13" i="2"/>
  <c r="D14" i="2"/>
  <c r="D15" i="2"/>
  <c r="D16" i="2"/>
  <c r="D17" i="2"/>
  <c r="D18" i="2"/>
  <c r="E18" i="8" s="1"/>
  <c r="D19" i="2"/>
  <c r="D20" i="2"/>
  <c r="D21" i="2"/>
  <c r="E21" i="8" s="1"/>
  <c r="D22" i="2"/>
  <c r="E21" i="2" s="1"/>
  <c r="E22" i="2" s="1"/>
  <c r="E23" i="2" s="1"/>
  <c r="D23" i="2"/>
  <c r="D24" i="2"/>
  <c r="D25" i="2"/>
  <c r="D26" i="2"/>
  <c r="D27" i="2"/>
  <c r="E27" i="8" s="1"/>
  <c r="D28" i="2"/>
  <c r="E28" i="8" s="1"/>
  <c r="D29" i="2"/>
  <c r="E29" i="8" s="1"/>
  <c r="D30" i="2"/>
  <c r="E29" i="2" s="1"/>
  <c r="E30" i="2" s="1"/>
  <c r="D31" i="2"/>
  <c r="E31" i="8" s="1"/>
  <c r="D32" i="2"/>
  <c r="E32" i="8" s="1"/>
  <c r="D33" i="2"/>
  <c r="D34" i="2"/>
  <c r="E34" i="8" s="1"/>
  <c r="D35" i="2"/>
  <c r="D36" i="2"/>
  <c r="E36" i="8" s="1"/>
  <c r="D37" i="2"/>
  <c r="D38" i="2"/>
  <c r="D39" i="2"/>
  <c r="D40" i="2"/>
  <c r="E40" i="8" s="1"/>
  <c r="D41" i="2"/>
  <c r="E41" i="8" s="1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E53" i="2" s="1"/>
  <c r="E54" i="2" s="1"/>
  <c r="E55" i="2" s="1"/>
  <c r="E56" i="2" s="1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E69" i="2" s="1"/>
  <c r="E70" i="2" s="1"/>
  <c r="E71" i="2" s="1"/>
  <c r="E72" i="2" s="1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E90" i="8" s="1"/>
  <c r="D91" i="2"/>
  <c r="D92" i="2"/>
  <c r="E92" i="8" s="1"/>
  <c r="D93" i="2"/>
  <c r="D94" i="2"/>
  <c r="D95" i="2"/>
  <c r="D96" i="2"/>
  <c r="E96" i="8" s="1"/>
  <c r="D97" i="2"/>
  <c r="D98" i="2"/>
  <c r="D99" i="2"/>
  <c r="E99" i="8" s="1"/>
  <c r="D100" i="2"/>
  <c r="E100" i="8" s="1"/>
  <c r="E101" i="8" s="1"/>
  <c r="D101" i="2"/>
  <c r="D102" i="2"/>
  <c r="D103" i="2"/>
  <c r="D104" i="2"/>
  <c r="D105" i="2"/>
  <c r="D106" i="2"/>
  <c r="E106" i="8" s="1"/>
  <c r="D107" i="2"/>
  <c r="E107" i="8" s="1"/>
  <c r="D108" i="2"/>
  <c r="D109" i="2"/>
  <c r="D110" i="2"/>
  <c r="D111" i="2"/>
  <c r="D112" i="2"/>
  <c r="D113" i="2"/>
  <c r="D114" i="2"/>
  <c r="D115" i="2"/>
  <c r="D116" i="2"/>
  <c r="E116" i="8" s="1"/>
  <c r="D117" i="2"/>
  <c r="D118" i="2"/>
  <c r="D119" i="2"/>
  <c r="D120" i="2"/>
  <c r="D121" i="2"/>
  <c r="E121" i="8" s="1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E142" i="8" s="1"/>
  <c r="E143" i="8" s="1"/>
  <c r="E144" i="8" s="1"/>
  <c r="E145" i="8" s="1"/>
  <c r="E146" i="8" s="1"/>
  <c r="E147" i="8" s="1"/>
  <c r="E148" i="8" s="1"/>
  <c r="D143" i="2"/>
  <c r="D144" i="2"/>
  <c r="D145" i="2"/>
  <c r="D146" i="2"/>
  <c r="D147" i="2"/>
  <c r="D148" i="2"/>
  <c r="D149" i="2"/>
  <c r="D150" i="2"/>
  <c r="D151" i="2"/>
  <c r="E151" i="8" s="1"/>
  <c r="D152" i="2"/>
  <c r="E152" i="8" s="1"/>
  <c r="D153" i="2"/>
  <c r="E153" i="8" s="1"/>
  <c r="D154" i="2"/>
  <c r="E154" i="8" s="1"/>
  <c r="D155" i="2"/>
  <c r="D156" i="2"/>
  <c r="D157" i="2"/>
  <c r="D158" i="2"/>
  <c r="D159" i="2"/>
  <c r="D160" i="2"/>
  <c r="D161" i="2"/>
  <c r="E161" i="8" s="1"/>
  <c r="D162" i="2"/>
  <c r="D163" i="2"/>
  <c r="D164" i="2"/>
  <c r="D165" i="2"/>
  <c r="E165" i="8" s="1"/>
  <c r="D166" i="2"/>
  <c r="D167" i="2"/>
  <c r="D168" i="2"/>
  <c r="E168" i="8" s="1"/>
  <c r="D169" i="2"/>
  <c r="D170" i="2"/>
  <c r="D171" i="2"/>
  <c r="D172" i="2"/>
  <c r="D173" i="2"/>
  <c r="D174" i="2"/>
  <c r="D175" i="2"/>
  <c r="D176" i="2"/>
  <c r="D177" i="2"/>
  <c r="D178" i="2"/>
  <c r="D179" i="2"/>
  <c r="D180" i="2"/>
  <c r="E180" i="8" s="1"/>
  <c r="D181" i="2"/>
  <c r="D182" i="2"/>
  <c r="E182" i="8" s="1"/>
  <c r="E183" i="8" s="1"/>
  <c r="E184" i="8" s="1"/>
  <c r="E185" i="8" s="1"/>
  <c r="E186" i="8" s="1"/>
  <c r="D183" i="2"/>
  <c r="D184" i="2"/>
  <c r="D185" i="2"/>
  <c r="D186" i="2"/>
  <c r="D187" i="2"/>
  <c r="E187" i="8" s="1"/>
  <c r="D188" i="2"/>
  <c r="E188" i="8" s="1"/>
  <c r="D189" i="2"/>
  <c r="D190" i="2"/>
  <c r="D191" i="2"/>
  <c r="D192" i="2"/>
  <c r="E192" i="8" s="1"/>
  <c r="D193" i="2"/>
  <c r="E193" i="8" s="1"/>
  <c r="D194" i="2"/>
  <c r="D195" i="2"/>
  <c r="D196" i="2"/>
  <c r="E196" i="8" s="1"/>
  <c r="D197" i="2"/>
  <c r="E197" i="8" s="1"/>
  <c r="D198" i="2"/>
  <c r="D199" i="2"/>
  <c r="D200" i="2"/>
  <c r="D201" i="2"/>
  <c r="D202" i="2"/>
  <c r="D203" i="2"/>
  <c r="D204" i="2"/>
  <c r="D205" i="2"/>
  <c r="D206" i="2"/>
  <c r="D207" i="2"/>
  <c r="D208" i="2"/>
  <c r="E208" i="8" s="1"/>
  <c r="D209" i="2"/>
  <c r="D210" i="2"/>
  <c r="E210" i="8" s="1"/>
  <c r="D211" i="2"/>
  <c r="E211" i="8" s="1"/>
  <c r="D212" i="2"/>
  <c r="E212" i="8" s="1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E227" i="8" s="1"/>
  <c r="D228" i="2"/>
  <c r="D229" i="2"/>
  <c r="D230" i="2"/>
  <c r="D231" i="2"/>
  <c r="D232" i="2"/>
  <c r="D233" i="2"/>
  <c r="D234" i="2"/>
  <c r="E234" i="8" s="1"/>
  <c r="D235" i="2"/>
  <c r="E235" i="8" s="1"/>
  <c r="D236" i="2"/>
  <c r="D237" i="2"/>
  <c r="E237" i="8" s="1"/>
  <c r="D238" i="2"/>
  <c r="D239" i="2"/>
  <c r="D240" i="2"/>
  <c r="D241" i="2"/>
  <c r="D242" i="2"/>
  <c r="D243" i="2"/>
  <c r="D244" i="2"/>
  <c r="E244" i="8" s="1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E259" i="8" s="1"/>
  <c r="D260" i="2"/>
  <c r="D261" i="2"/>
  <c r="D262" i="2"/>
  <c r="E262" i="8" s="1"/>
  <c r="D263" i="2"/>
  <c r="E263" i="8" s="1"/>
  <c r="D264" i="2"/>
  <c r="E264" i="8" s="1"/>
  <c r="D265" i="2"/>
  <c r="D266" i="2"/>
  <c r="E266" i="8" s="1"/>
  <c r="D267" i="2"/>
  <c r="D268" i="2"/>
  <c r="D269" i="2"/>
  <c r="D270" i="2"/>
  <c r="E270" i="8" s="1"/>
  <c r="D271" i="2"/>
  <c r="D272" i="2"/>
  <c r="D273" i="2"/>
  <c r="E273" i="8" s="1"/>
  <c r="D274" i="2"/>
  <c r="E274" i="8" s="1"/>
  <c r="D275" i="2"/>
  <c r="D276" i="2"/>
  <c r="D277" i="2"/>
  <c r="E277" i="8" s="1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E293" i="8" s="1"/>
  <c r="D294" i="2"/>
  <c r="D295" i="2"/>
  <c r="D296" i="2"/>
  <c r="D297" i="2"/>
  <c r="D298" i="2"/>
  <c r="D299" i="2"/>
  <c r="E299" i="8" s="1"/>
  <c r="D300" i="2"/>
  <c r="D301" i="2"/>
  <c r="D302" i="2"/>
  <c r="D303" i="2"/>
  <c r="D304" i="2"/>
  <c r="D305" i="2"/>
  <c r="E305" i="8" s="1"/>
  <c r="D306" i="2"/>
  <c r="D307" i="2"/>
  <c r="D308" i="2"/>
  <c r="D309" i="2"/>
  <c r="D310" i="2"/>
  <c r="E310" i="8" s="1"/>
  <c r="E311" i="8" s="1"/>
  <c r="E312" i="8" s="1"/>
  <c r="E313" i="8" s="1"/>
  <c r="E314" i="8" s="1"/>
  <c r="E315" i="8" s="1"/>
  <c r="E316" i="8" s="1"/>
  <c r="D311" i="2"/>
  <c r="D312" i="2"/>
  <c r="D313" i="2"/>
  <c r="D314" i="2"/>
  <c r="D315" i="2"/>
  <c r="D316" i="2"/>
  <c r="D317" i="2"/>
  <c r="D318" i="2"/>
  <c r="D319" i="2"/>
  <c r="D320" i="2"/>
  <c r="D321" i="2"/>
  <c r="E321" i="8" s="1"/>
  <c r="D322" i="2"/>
  <c r="E322" i="8" s="1"/>
  <c r="D323" i="2"/>
  <c r="D324" i="2"/>
  <c r="D325" i="2"/>
  <c r="D326" i="2"/>
  <c r="E326" i="8" s="1"/>
  <c r="E327" i="8" s="1"/>
  <c r="E328" i="8" s="1"/>
  <c r="D327" i="2"/>
  <c r="D328" i="2"/>
  <c r="D329" i="2"/>
  <c r="E329" i="8" s="1"/>
  <c r="D330" i="2"/>
  <c r="D331" i="2"/>
  <c r="D332" i="2"/>
  <c r="D333" i="2"/>
  <c r="D334" i="2"/>
  <c r="D335" i="2"/>
  <c r="E335" i="8" s="1"/>
  <c r="D336" i="2"/>
  <c r="D337" i="2"/>
  <c r="D338" i="2"/>
  <c r="D339" i="2"/>
  <c r="D340" i="2"/>
  <c r="D341" i="2"/>
  <c r="E341" i="8" s="1"/>
  <c r="D342" i="2"/>
  <c r="E341" i="2" s="1"/>
  <c r="D343" i="2"/>
  <c r="D344" i="2"/>
  <c r="E344" i="8" s="1"/>
  <c r="D345" i="2"/>
  <c r="D346" i="2"/>
  <c r="D347" i="2"/>
  <c r="D348" i="2"/>
  <c r="D349" i="2"/>
  <c r="D350" i="2"/>
  <c r="D351" i="2"/>
  <c r="D352" i="2"/>
  <c r="D353" i="2"/>
  <c r="D354" i="2"/>
  <c r="D355" i="2"/>
  <c r="E355" i="8" s="1"/>
  <c r="D356" i="2"/>
  <c r="E356" i="8" s="1"/>
  <c r="D357" i="2"/>
  <c r="D358" i="2"/>
  <c r="D359" i="2"/>
  <c r="E359" i="8" s="1"/>
  <c r="D360" i="2"/>
  <c r="D361" i="2"/>
  <c r="D362" i="2"/>
  <c r="D363" i="2"/>
  <c r="D364" i="2"/>
  <c r="D365" i="2"/>
  <c r="D366" i="2"/>
  <c r="E366" i="8" s="1"/>
  <c r="D2" i="2"/>
  <c r="E2" i="8" s="1"/>
  <c r="M3" i="2"/>
  <c r="N3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N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E99" i="2" s="1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E235" i="2" s="1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E273" i="2" s="1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I13" i="2"/>
  <c r="I12" i="2"/>
  <c r="I11" i="2"/>
  <c r="I10" i="2"/>
  <c r="I9" i="2"/>
  <c r="I8" i="2"/>
  <c r="I7" i="2"/>
  <c r="I6" i="2"/>
  <c r="I5" i="2"/>
  <c r="I4" i="2"/>
  <c r="I3" i="2"/>
  <c r="I2" i="2"/>
  <c r="E317" i="8" l="1"/>
  <c r="E318" i="8" s="1"/>
  <c r="E319" i="8" s="1"/>
  <c r="E320" i="8" s="1"/>
  <c r="E293" i="2"/>
  <c r="E294" i="2" s="1"/>
  <c r="E295" i="2" s="1"/>
  <c r="E296" i="2" s="1"/>
  <c r="E297" i="2" s="1"/>
  <c r="E298" i="2" s="1"/>
  <c r="E277" i="2"/>
  <c r="E237" i="2"/>
  <c r="E213" i="2"/>
  <c r="E197" i="2"/>
  <c r="E165" i="2"/>
  <c r="E166" i="2" s="1"/>
  <c r="E167" i="2" s="1"/>
  <c r="E149" i="8"/>
  <c r="E150" i="8" s="1"/>
  <c r="E24" i="2"/>
  <c r="E107" i="2"/>
  <c r="E194" i="2"/>
  <c r="E299" i="2"/>
  <c r="E245" i="8"/>
  <c r="E93" i="8"/>
  <c r="E300" i="8"/>
  <c r="E301" i="8" s="1"/>
  <c r="E302" i="8" s="1"/>
  <c r="E303" i="8" s="1"/>
  <c r="E304" i="8" s="1"/>
  <c r="E228" i="8"/>
  <c r="E329" i="2"/>
  <c r="E330" i="2" s="1"/>
  <c r="E331" i="2" s="1"/>
  <c r="E161" i="2"/>
  <c r="E162" i="2" s="1"/>
  <c r="E163" i="2" s="1"/>
  <c r="E41" i="2"/>
  <c r="E42" i="2" s="1"/>
  <c r="E19" i="8"/>
  <c r="E20" i="8" s="1"/>
  <c r="E355" i="2"/>
  <c r="E274" i="2"/>
  <c r="E122" i="8"/>
  <c r="E123" i="8" s="1"/>
  <c r="E124" i="8" s="1"/>
  <c r="E125" i="8" s="1"/>
  <c r="E234" i="2"/>
  <c r="E357" i="8"/>
  <c r="E227" i="2"/>
  <c r="E189" i="8"/>
  <c r="E154" i="2"/>
  <c r="E155" i="2" s="1"/>
  <c r="E90" i="2"/>
  <c r="E99" i="10"/>
  <c r="L4" i="10"/>
  <c r="E228" i="10"/>
  <c r="E96" i="10"/>
  <c r="E97" i="10" s="1"/>
  <c r="E98" i="10" s="1"/>
  <c r="E300" i="10"/>
  <c r="E106" i="10"/>
  <c r="E237" i="10"/>
  <c r="E322" i="10"/>
  <c r="E323" i="10" s="1"/>
  <c r="E324" i="10" s="1"/>
  <c r="E325" i="10" s="1"/>
  <c r="E90" i="10"/>
  <c r="E188" i="10"/>
  <c r="E189" i="10" s="1"/>
  <c r="E190" i="10" s="1"/>
  <c r="E191" i="10" s="1"/>
  <c r="E5" i="10"/>
  <c r="E95" i="10"/>
  <c r="E121" i="10"/>
  <c r="E3" i="10"/>
  <c r="K4" i="10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1" i="10" s="1"/>
  <c r="K142" i="10" s="1"/>
  <c r="K143" i="10" s="1"/>
  <c r="K144" i="10" s="1"/>
  <c r="K145" i="10" s="1"/>
  <c r="K146" i="10" s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81" i="10" s="1"/>
  <c r="K182" i="10" s="1"/>
  <c r="K183" i="10" s="1"/>
  <c r="K184" i="10" s="1"/>
  <c r="K185" i="10" s="1"/>
  <c r="E107" i="10"/>
  <c r="E108" i="10" s="1"/>
  <c r="E109" i="10" s="1"/>
  <c r="E110" i="10" s="1"/>
  <c r="E235" i="10"/>
  <c r="E236" i="10" s="1"/>
  <c r="E259" i="10"/>
  <c r="E260" i="10" s="1"/>
  <c r="E261" i="10" s="1"/>
  <c r="E299" i="10"/>
  <c r="E117" i="10"/>
  <c r="E118" i="10" s="1"/>
  <c r="E119" i="10" s="1"/>
  <c r="E120" i="10" s="1"/>
  <c r="E335" i="10"/>
  <c r="E28" i="10"/>
  <c r="E100" i="10"/>
  <c r="E101" i="10" s="1"/>
  <c r="E102" i="10" s="1"/>
  <c r="E103" i="10" s="1"/>
  <c r="E104" i="10" s="1"/>
  <c r="E105" i="10" s="1"/>
  <c r="E192" i="10"/>
  <c r="E36" i="10"/>
  <c r="E91" i="10"/>
  <c r="E273" i="10"/>
  <c r="E277" i="10"/>
  <c r="E301" i="10"/>
  <c r="E344" i="10"/>
  <c r="E224" i="10"/>
  <c r="E225" i="10" s="1"/>
  <c r="E226" i="10" s="1"/>
  <c r="E196" i="10"/>
  <c r="E2" i="10"/>
  <c r="E4" i="10"/>
  <c r="E142" i="10"/>
  <c r="E143" i="10" s="1"/>
  <c r="E144" i="10" s="1"/>
  <c r="E145" i="10" s="1"/>
  <c r="E146" i="10" s="1"/>
  <c r="E147" i="10" s="1"/>
  <c r="E148" i="10" s="1"/>
  <c r="E149" i="10" s="1"/>
  <c r="E150" i="10" s="1"/>
  <c r="E356" i="10"/>
  <c r="E357" i="10" s="1"/>
  <c r="E358" i="10" s="1"/>
  <c r="E122" i="10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6" i="10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60" i="10"/>
  <c r="E61" i="10" s="1"/>
  <c r="E62" i="10" s="1"/>
  <c r="E63" i="10" s="1"/>
  <c r="E64" i="10" s="1"/>
  <c r="E65" i="10" s="1"/>
  <c r="E66" i="10" s="1"/>
  <c r="E67" i="10" s="1"/>
  <c r="E68" i="10" s="1"/>
  <c r="E183" i="10"/>
  <c r="E209" i="10"/>
  <c r="E270" i="10"/>
  <c r="E274" i="10"/>
  <c r="E341" i="10"/>
  <c r="E41" i="10"/>
  <c r="E42" i="10" s="1"/>
  <c r="E43" i="10" s="1"/>
  <c r="E44" i="10" s="1"/>
  <c r="E45" i="10" s="1"/>
  <c r="E46" i="10" s="1"/>
  <c r="E47" i="10" s="1"/>
  <c r="E48" i="10" s="1"/>
  <c r="E49" i="10"/>
  <c r="E50" i="10" s="1"/>
  <c r="E51" i="10" s="1"/>
  <c r="E52" i="10" s="1"/>
  <c r="E187" i="10"/>
  <c r="E213" i="10"/>
  <c r="E329" i="10"/>
  <c r="E330" i="10" s="1"/>
  <c r="E331" i="10" s="1"/>
  <c r="E332" i="10" s="1"/>
  <c r="E333" i="10" s="1"/>
  <c r="E334" i="10" s="1"/>
  <c r="E305" i="10"/>
  <c r="E306" i="10" s="1"/>
  <c r="E307" i="10" s="1"/>
  <c r="E308" i="10" s="1"/>
  <c r="E309" i="10" s="1"/>
  <c r="E33" i="10"/>
  <c r="E244" i="10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64" i="10"/>
  <c r="E265" i="10" s="1"/>
  <c r="E271" i="10"/>
  <c r="E272" i="10" s="1"/>
  <c r="Q4" i="10"/>
  <c r="E27" i="10"/>
  <c r="E31" i="10"/>
  <c r="E152" i="10"/>
  <c r="E153" i="10" s="1"/>
  <c r="E161" i="10"/>
  <c r="E180" i="10"/>
  <c r="E181" i="10" s="1"/>
  <c r="E215" i="10"/>
  <c r="E216" i="10" s="1"/>
  <c r="E217" i="10" s="1"/>
  <c r="E218" i="10" s="1"/>
  <c r="E219" i="10" s="1"/>
  <c r="E220" i="10" s="1"/>
  <c r="E221" i="10" s="1"/>
  <c r="E222" i="10" s="1"/>
  <c r="E223" i="10" s="1"/>
  <c r="E234" i="10"/>
  <c r="M4" i="10"/>
  <c r="E18" i="10"/>
  <c r="E19" i="10" s="1"/>
  <c r="E20" i="10" s="1"/>
  <c r="E21" i="10"/>
  <c r="E22" i="10" s="1"/>
  <c r="E23" i="10" s="1"/>
  <c r="E24" i="10" s="1"/>
  <c r="E25" i="10" s="1"/>
  <c r="E26" i="10" s="1"/>
  <c r="E29" i="10"/>
  <c r="E30" i="10" s="1"/>
  <c r="E34" i="10"/>
  <c r="E37" i="10"/>
  <c r="E38" i="10" s="1"/>
  <c r="E39" i="10" s="1"/>
  <c r="E53" i="10"/>
  <c r="E54" i="10" s="1"/>
  <c r="E55" i="10" s="1"/>
  <c r="E56" i="10" s="1"/>
  <c r="E57" i="10" s="1"/>
  <c r="E58" i="10" s="1"/>
  <c r="E59" i="10" s="1"/>
  <c r="E69" i="10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111" i="10"/>
  <c r="E112" i="10" s="1"/>
  <c r="E113" i="10" s="1"/>
  <c r="E114" i="10" s="1"/>
  <c r="E115" i="10" s="1"/>
  <c r="E151" i="10"/>
  <c r="E155" i="10"/>
  <c r="E156" i="10" s="1"/>
  <c r="E157" i="10" s="1"/>
  <c r="E158" i="10" s="1"/>
  <c r="E159" i="10" s="1"/>
  <c r="E160" i="10" s="1"/>
  <c r="E162" i="10"/>
  <c r="E163" i="10" s="1"/>
  <c r="E164" i="10" s="1"/>
  <c r="E210" i="10"/>
  <c r="E184" i="10"/>
  <c r="E185" i="10" s="1"/>
  <c r="E186" i="10" s="1"/>
  <c r="E211" i="10"/>
  <c r="E229" i="10"/>
  <c r="E230" i="10" s="1"/>
  <c r="E231" i="10" s="1"/>
  <c r="E232" i="10" s="1"/>
  <c r="E233" i="10" s="1"/>
  <c r="E197" i="10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168" i="10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94" i="10"/>
  <c r="E195" i="10" s="1"/>
  <c r="E302" i="10"/>
  <c r="E303" i="10" s="1"/>
  <c r="E304" i="10" s="1"/>
  <c r="E262" i="10"/>
  <c r="E266" i="10"/>
  <c r="E267" i="10" s="1"/>
  <c r="E268" i="10" s="1"/>
  <c r="E269" i="10" s="1"/>
  <c r="E275" i="10"/>
  <c r="E293" i="10"/>
  <c r="E294" i="10" s="1"/>
  <c r="E295" i="10" s="1"/>
  <c r="E296" i="10" s="1"/>
  <c r="E297" i="10" s="1"/>
  <c r="E298" i="10" s="1"/>
  <c r="E214" i="10"/>
  <c r="E263" i="10"/>
  <c r="E238" i="10"/>
  <c r="E239" i="10" s="1"/>
  <c r="E240" i="10" s="1"/>
  <c r="E241" i="10"/>
  <c r="E242" i="10" s="1"/>
  <c r="E243" i="10" s="1"/>
  <c r="E336" i="10"/>
  <c r="E337" i="10" s="1"/>
  <c r="E338" i="10" s="1"/>
  <c r="E339" i="10" s="1"/>
  <c r="E340" i="10" s="1"/>
  <c r="E276" i="10"/>
  <c r="E326" i="10"/>
  <c r="E327" i="10" s="1"/>
  <c r="E328" i="10" s="1"/>
  <c r="E359" i="10"/>
  <c r="E360" i="10" s="1"/>
  <c r="E361" i="10" s="1"/>
  <c r="E362" i="10" s="1"/>
  <c r="E363" i="10" s="1"/>
  <c r="E364" i="10" s="1"/>
  <c r="E365" i="10" s="1"/>
  <c r="E165" i="10"/>
  <c r="E166" i="10" s="1"/>
  <c r="E167" i="10" s="1"/>
  <c r="E321" i="10"/>
  <c r="E278" i="10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310" i="10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42" i="10"/>
  <c r="E343" i="10" s="1"/>
  <c r="E345" i="10"/>
  <c r="E346" i="10" s="1"/>
  <c r="E347" i="10" s="1"/>
  <c r="E348" i="10" s="1"/>
  <c r="E349" i="10" s="1"/>
  <c r="E350" i="10" s="1"/>
  <c r="E351" i="10" s="1"/>
  <c r="E352" i="10" s="1"/>
  <c r="E353" i="10" s="1"/>
  <c r="E354" i="10" s="1"/>
  <c r="E193" i="10"/>
  <c r="E260" i="8"/>
  <c r="E73" i="2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57" i="2"/>
  <c r="E58" i="2" s="1"/>
  <c r="E59" i="2" s="1"/>
  <c r="E25" i="2"/>
  <c r="E26" i="2" s="1"/>
  <c r="E278" i="8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44" i="2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12" i="2"/>
  <c r="E196" i="2"/>
  <c r="E180" i="2"/>
  <c r="E181" i="2" s="1"/>
  <c r="E166" i="8"/>
  <c r="E167" i="8" s="1"/>
  <c r="E116" i="2"/>
  <c r="E117" i="2" s="1"/>
  <c r="E118" i="2" s="1"/>
  <c r="E119" i="2" s="1"/>
  <c r="E120" i="2" s="1"/>
  <c r="E92" i="2"/>
  <c r="E60" i="2"/>
  <c r="E61" i="2" s="1"/>
  <c r="E62" i="2" s="1"/>
  <c r="E63" i="2" s="1"/>
  <c r="E64" i="2" s="1"/>
  <c r="E65" i="2" s="1"/>
  <c r="E66" i="2" s="1"/>
  <c r="E67" i="2" s="1"/>
  <c r="E68" i="2" s="1"/>
  <c r="E30" i="8"/>
  <c r="E22" i="8"/>
  <c r="E23" i="8" s="1"/>
  <c r="E24" i="8" s="1"/>
  <c r="E25" i="8" s="1"/>
  <c r="E26" i="8" s="1"/>
  <c r="E4" i="2"/>
  <c r="E259" i="2"/>
  <c r="E106" i="2"/>
  <c r="E91" i="8"/>
  <c r="E195" i="8"/>
  <c r="E275" i="8"/>
  <c r="E43" i="2"/>
  <c r="E44" i="2" s="1"/>
  <c r="E45" i="2" s="1"/>
  <c r="E46" i="2" s="1"/>
  <c r="E47" i="2" s="1"/>
  <c r="E48" i="2" s="1"/>
  <c r="E3" i="2"/>
  <c r="E91" i="2"/>
  <c r="E190" i="8"/>
  <c r="E191" i="8" s="1"/>
  <c r="E322" i="2"/>
  <c r="E323" i="2" s="1"/>
  <c r="E324" i="2" s="1"/>
  <c r="E325" i="2" s="1"/>
  <c r="E266" i="2"/>
  <c r="E267" i="2" s="1"/>
  <c r="E268" i="2" s="1"/>
  <c r="E269" i="2" s="1"/>
  <c r="E236" i="8"/>
  <c r="E34" i="2"/>
  <c r="E2" i="2"/>
  <c r="E4" i="8"/>
  <c r="E5" i="8"/>
  <c r="E330" i="8"/>
  <c r="E331" i="8" s="1"/>
  <c r="E332" i="8" s="1"/>
  <c r="E333" i="8" s="1"/>
  <c r="E334" i="8" s="1"/>
  <c r="E168" i="2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96" i="2"/>
  <c r="E97" i="2" s="1"/>
  <c r="E98" i="2" s="1"/>
  <c r="E60" i="8"/>
  <c r="E267" i="8"/>
  <c r="E268" i="8" s="1"/>
  <c r="E269" i="8" s="1"/>
  <c r="E193" i="2"/>
  <c r="E49" i="2"/>
  <c r="E50" i="2" s="1"/>
  <c r="E51" i="2" s="1"/>
  <c r="E52" i="2" s="1"/>
  <c r="E366" i="2"/>
  <c r="E162" i="8"/>
  <c r="E163" i="8" s="1"/>
  <c r="E164" i="8" s="1"/>
  <c r="E42" i="8"/>
  <c r="E43" i="8" s="1"/>
  <c r="E44" i="8" s="1"/>
  <c r="E27" i="2"/>
  <c r="E359" i="2"/>
  <c r="E360" i="2" s="1"/>
  <c r="E361" i="2" s="1"/>
  <c r="E362" i="2" s="1"/>
  <c r="E363" i="2" s="1"/>
  <c r="E364" i="2" s="1"/>
  <c r="E365" i="2" s="1"/>
  <c r="E345" i="8"/>
  <c r="E346" i="8" s="1"/>
  <c r="E347" i="8" s="1"/>
  <c r="E348" i="8" s="1"/>
  <c r="E349" i="8" s="1"/>
  <c r="E350" i="8" s="1"/>
  <c r="E351" i="8" s="1"/>
  <c r="E352" i="8" s="1"/>
  <c r="E353" i="8" s="1"/>
  <c r="E354" i="8" s="1"/>
  <c r="E335" i="2"/>
  <c r="E336" i="2" s="1"/>
  <c r="E337" i="2" s="1"/>
  <c r="E338" i="2" s="1"/>
  <c r="E339" i="2" s="1"/>
  <c r="E340" i="2" s="1"/>
  <c r="E271" i="2"/>
  <c r="E265" i="8"/>
  <c r="E224" i="2"/>
  <c r="E225" i="2" s="1"/>
  <c r="E226" i="2" s="1"/>
  <c r="E215" i="2"/>
  <c r="E216" i="2" s="1"/>
  <c r="E217" i="2" s="1"/>
  <c r="E218" i="2" s="1"/>
  <c r="E219" i="2" s="1"/>
  <c r="E220" i="2" s="1"/>
  <c r="E221" i="2" s="1"/>
  <c r="E222" i="2" s="1"/>
  <c r="E223" i="2" s="1"/>
  <c r="E209" i="8"/>
  <c r="E169" i="8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97" i="8"/>
  <c r="E98" i="8" s="1"/>
  <c r="E33" i="8"/>
  <c r="E358" i="8"/>
  <c r="E275" i="2"/>
  <c r="E195" i="2"/>
  <c r="E102" i="8"/>
  <c r="E103" i="8" s="1"/>
  <c r="E104" i="8" s="1"/>
  <c r="E105" i="8" s="1"/>
  <c r="E35" i="2"/>
  <c r="E108" i="8"/>
  <c r="E109" i="8" s="1"/>
  <c r="E110" i="8" s="1"/>
  <c r="E111" i="8" s="1"/>
  <c r="E112" i="8" s="1"/>
  <c r="E113" i="8" s="1"/>
  <c r="E114" i="8" s="1"/>
  <c r="E115" i="8" s="1"/>
  <c r="E18" i="2"/>
  <c r="E19" i="2" s="1"/>
  <c r="E20" i="2" s="1"/>
  <c r="E323" i="8"/>
  <c r="E324" i="8" s="1"/>
  <c r="E325" i="8" s="1"/>
  <c r="E155" i="8"/>
  <c r="E156" i="8" s="1"/>
  <c r="E157" i="8" s="1"/>
  <c r="E158" i="8" s="1"/>
  <c r="E159" i="8" s="1"/>
  <c r="E160" i="8" s="1"/>
  <c r="E121" i="2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210" i="2"/>
  <c r="E211" i="2" s="1"/>
  <c r="E344" i="2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06" i="8"/>
  <c r="E307" i="8" s="1"/>
  <c r="E308" i="8" s="1"/>
  <c r="E309" i="8" s="1"/>
  <c r="E264" i="2"/>
  <c r="E265" i="2" s="1"/>
  <c r="E32" i="2"/>
  <c r="E33" i="2" s="1"/>
  <c r="E187" i="2"/>
  <c r="E356" i="2"/>
  <c r="E357" i="2" s="1"/>
  <c r="E358" i="2" s="1"/>
  <c r="E300" i="2"/>
  <c r="E301" i="2" s="1"/>
  <c r="E302" i="2" s="1"/>
  <c r="E303" i="2" s="1"/>
  <c r="E304" i="2" s="1"/>
  <c r="E260" i="2"/>
  <c r="E261" i="2" s="1"/>
  <c r="E188" i="2"/>
  <c r="E100" i="2"/>
  <c r="E101" i="2" s="1"/>
  <c r="E102" i="2" s="1"/>
  <c r="E103" i="2" s="1"/>
  <c r="E104" i="2" s="1"/>
  <c r="E105" i="2" s="1"/>
  <c r="E36" i="2"/>
  <c r="E37" i="2" s="1"/>
  <c r="E38" i="2" s="1"/>
  <c r="E39" i="2" s="1"/>
  <c r="E28" i="2"/>
  <c r="E360" i="8"/>
  <c r="E361" i="8" s="1"/>
  <c r="E362" i="8" s="1"/>
  <c r="E363" i="8" s="1"/>
  <c r="E364" i="8" s="1"/>
  <c r="E365" i="8" s="1"/>
  <c r="E342" i="2"/>
  <c r="E343" i="2" s="1"/>
  <c r="E336" i="8"/>
  <c r="E337" i="8" s="1"/>
  <c r="E338" i="8" s="1"/>
  <c r="E339" i="8" s="1"/>
  <c r="E340" i="8" s="1"/>
  <c r="E326" i="2"/>
  <c r="E327" i="2" s="1"/>
  <c r="E328" i="2" s="1"/>
  <c r="E310" i="2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270" i="2"/>
  <c r="E214" i="2"/>
  <c r="E182" i="2"/>
  <c r="E183" i="2" s="1"/>
  <c r="E184" i="2" s="1"/>
  <c r="E185" i="2" s="1"/>
  <c r="E186" i="2" s="1"/>
  <c r="E142" i="2"/>
  <c r="E143" i="2" s="1"/>
  <c r="E144" i="2" s="1"/>
  <c r="E145" i="2" s="1"/>
  <c r="E146" i="2" s="1"/>
  <c r="E147" i="2" s="1"/>
  <c r="E148" i="2" s="1"/>
  <c r="E149" i="2" s="1"/>
  <c r="E150" i="2" s="1"/>
  <c r="E94" i="2"/>
  <c r="E95" i="2" s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35" i="8"/>
  <c r="E189" i="2"/>
  <c r="E190" i="2" s="1"/>
  <c r="E191" i="2" s="1"/>
  <c r="E93" i="2"/>
  <c r="E278" i="2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38" i="2"/>
  <c r="E239" i="2" s="1"/>
  <c r="E240" i="2" s="1"/>
  <c r="E241" i="2" s="1"/>
  <c r="E242" i="2" s="1"/>
  <c r="E243" i="2" s="1"/>
  <c r="E198" i="2"/>
  <c r="E199" i="2" s="1"/>
  <c r="E200" i="2" s="1"/>
  <c r="E201" i="2" s="1"/>
  <c r="E202" i="2" s="1"/>
  <c r="E203" i="2" s="1"/>
  <c r="E204" i="2" s="1"/>
  <c r="E205" i="2" s="1"/>
  <c r="E206" i="2" s="1"/>
  <c r="E207" i="2" s="1"/>
  <c r="E305" i="2"/>
  <c r="E306" i="2" s="1"/>
  <c r="E307" i="2" s="1"/>
  <c r="E308" i="2" s="1"/>
  <c r="E309" i="2" s="1"/>
  <c r="E263" i="2"/>
  <c r="E192" i="2"/>
  <c r="E31" i="2"/>
  <c r="E117" i="8"/>
  <c r="E118" i="8" s="1"/>
  <c r="E119" i="8" s="1"/>
  <c r="E120" i="8" s="1"/>
  <c r="E213" i="8"/>
  <c r="E238" i="8"/>
  <c r="E239" i="8" s="1"/>
  <c r="E240" i="8" s="1"/>
  <c r="E241" i="8" s="1"/>
  <c r="E242" i="8" s="1"/>
  <c r="E243" i="8" s="1"/>
  <c r="E294" i="8"/>
  <c r="E295" i="8" s="1"/>
  <c r="E296" i="8" s="1"/>
  <c r="E297" i="8" s="1"/>
  <c r="E298" i="8" s="1"/>
  <c r="E49" i="8"/>
  <c r="E332" i="2"/>
  <c r="E333" i="2" s="1"/>
  <c r="E334" i="2" s="1"/>
  <c r="E262" i="2"/>
  <c r="E164" i="2"/>
  <c r="E108" i="2"/>
  <c r="E109" i="2" s="1"/>
  <c r="E110" i="2" s="1"/>
  <c r="E111" i="2" s="1"/>
  <c r="E112" i="2" s="1"/>
  <c r="E113" i="2" s="1"/>
  <c r="E114" i="2" s="1"/>
  <c r="E115" i="2" s="1"/>
  <c r="E126" i="8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214" i="8"/>
  <c r="E246" i="8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71" i="8"/>
  <c r="E272" i="8" s="1"/>
  <c r="E272" i="2"/>
  <c r="E228" i="2"/>
  <c r="E229" i="2" s="1"/>
  <c r="E230" i="2" s="1"/>
  <c r="E231" i="2" s="1"/>
  <c r="E232" i="2" s="1"/>
  <c r="E233" i="2" s="1"/>
  <c r="E208" i="2"/>
  <c r="E209" i="2" s="1"/>
  <c r="E156" i="2"/>
  <c r="E157" i="2" s="1"/>
  <c r="E158" i="2" s="1"/>
  <c r="E159" i="2" s="1"/>
  <c r="E160" i="2" s="1"/>
  <c r="E40" i="2"/>
  <c r="E6" i="8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94" i="8"/>
  <c r="E95" i="8" s="1"/>
  <c r="E181" i="8"/>
  <c r="E215" i="8"/>
  <c r="E216" i="8" s="1"/>
  <c r="E217" i="8" s="1"/>
  <c r="E218" i="8" s="1"/>
  <c r="E219" i="8" s="1"/>
  <c r="E220" i="8" s="1"/>
  <c r="E221" i="8" s="1"/>
  <c r="E222" i="8" s="1"/>
  <c r="E223" i="8" s="1"/>
  <c r="E152" i="2"/>
  <c r="E153" i="2" s="1"/>
  <c r="E198" i="8"/>
  <c r="E199" i="8" s="1"/>
  <c r="E200" i="8" s="1"/>
  <c r="E201" i="8" s="1"/>
  <c r="E202" i="8" s="1"/>
  <c r="E203" i="8" s="1"/>
  <c r="E204" i="8" s="1"/>
  <c r="E205" i="8" s="1"/>
  <c r="E206" i="8" s="1"/>
  <c r="E207" i="8" s="1"/>
  <c r="E224" i="8"/>
  <c r="E225" i="8" s="1"/>
  <c r="E226" i="8" s="1"/>
  <c r="E261" i="8"/>
  <c r="E342" i="8"/>
  <c r="E343" i="8" s="1"/>
  <c r="E69" i="8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151" i="2"/>
  <c r="E37" i="8"/>
  <c r="E38" i="8" s="1"/>
  <c r="E39" i="8" s="1"/>
  <c r="E229" i="8"/>
  <c r="E230" i="8" s="1"/>
  <c r="E231" i="8" s="1"/>
  <c r="E232" i="8" s="1"/>
  <c r="E233" i="8" s="1"/>
  <c r="M4" i="2"/>
  <c r="E276" i="8"/>
  <c r="E53" i="8"/>
  <c r="E54" i="8" s="1"/>
  <c r="E55" i="8" s="1"/>
  <c r="E56" i="8" s="1"/>
  <c r="E57" i="8" s="1"/>
  <c r="E58" i="8" s="1"/>
  <c r="E59" i="8" s="1"/>
  <c r="E321" i="2"/>
  <c r="E276" i="2"/>
  <c r="E236" i="2"/>
  <c r="E3" i="8"/>
  <c r="E61" i="8"/>
  <c r="E62" i="8" s="1"/>
  <c r="E63" i="8" s="1"/>
  <c r="E64" i="8" s="1"/>
  <c r="E65" i="8" s="1"/>
  <c r="E66" i="8" s="1"/>
  <c r="E67" i="8" s="1"/>
  <c r="E68" i="8" s="1"/>
  <c r="E50" i="8"/>
  <c r="E51" i="8" s="1"/>
  <c r="E52" i="8" s="1"/>
  <c r="E45" i="8"/>
  <c r="E46" i="8" s="1"/>
  <c r="E47" i="8" s="1"/>
  <c r="E48" i="8" s="1"/>
  <c r="L5" i="10" l="1"/>
  <c r="Q5" i="10"/>
  <c r="Q6" i="10" s="1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0" i="10" s="1"/>
  <c r="Q111" i="10" s="1"/>
  <c r="Q112" i="10" s="1"/>
  <c r="Q113" i="10" s="1"/>
  <c r="Q114" i="10" s="1"/>
  <c r="Q115" i="10" s="1"/>
  <c r="Q116" i="10" s="1"/>
  <c r="Q117" i="10" s="1"/>
  <c r="Q118" i="10" s="1"/>
  <c r="Q119" i="10" s="1"/>
  <c r="Q120" i="10" s="1"/>
  <c r="Q121" i="10" s="1"/>
  <c r="Q122" i="10" s="1"/>
  <c r="Q123" i="10" s="1"/>
  <c r="Q124" i="10" s="1"/>
  <c r="Q125" i="10" s="1"/>
  <c r="Q126" i="10" s="1"/>
  <c r="Q127" i="10" s="1"/>
  <c r="Q128" i="10" s="1"/>
  <c r="Q129" i="10" s="1"/>
  <c r="Q130" i="10" s="1"/>
  <c r="Q131" i="10" s="1"/>
  <c r="Q132" i="10" s="1"/>
  <c r="Q133" i="10" s="1"/>
  <c r="Q134" i="10" s="1"/>
  <c r="Q135" i="10" s="1"/>
  <c r="Q136" i="10" s="1"/>
  <c r="Q137" i="10" s="1"/>
  <c r="Q138" i="10" s="1"/>
  <c r="Q139" i="10" s="1"/>
  <c r="Q140" i="10" s="1"/>
  <c r="Q141" i="10" s="1"/>
  <c r="Q142" i="10" s="1"/>
  <c r="Q143" i="10" s="1"/>
  <c r="Q144" i="10" s="1"/>
  <c r="Q145" i="10" s="1"/>
  <c r="Q146" i="10" s="1"/>
  <c r="Q147" i="10" s="1"/>
  <c r="Q148" i="10" s="1"/>
  <c r="Q149" i="10" s="1"/>
  <c r="Q150" i="10" s="1"/>
  <c r="Q151" i="10" s="1"/>
  <c r="Q152" i="10" s="1"/>
  <c r="Q153" i="10" s="1"/>
  <c r="Q154" i="10" s="1"/>
  <c r="Q155" i="10" s="1"/>
  <c r="Q156" i="10" s="1"/>
  <c r="Q157" i="10" s="1"/>
  <c r="Q158" i="10" s="1"/>
  <c r="Q159" i="10" s="1"/>
  <c r="Q160" i="10" s="1"/>
  <c r="Q161" i="10" s="1"/>
  <c r="Q162" i="10" s="1"/>
  <c r="Q163" i="10" s="1"/>
  <c r="Q164" i="10" s="1"/>
  <c r="Q165" i="10" s="1"/>
  <c r="Q166" i="10" s="1"/>
  <c r="Q167" i="10" s="1"/>
  <c r="Q168" i="10" s="1"/>
  <c r="Q169" i="10" s="1"/>
  <c r="Q170" i="10" s="1"/>
  <c r="Q171" i="10" s="1"/>
  <c r="Q172" i="10" s="1"/>
  <c r="Q173" i="10" s="1"/>
  <c r="Q174" i="10" s="1"/>
  <c r="Q175" i="10" s="1"/>
  <c r="Q176" i="10" s="1"/>
  <c r="Q177" i="10" s="1"/>
  <c r="Q178" i="10" s="1"/>
  <c r="Q179" i="10" s="1"/>
  <c r="Q180" i="10" s="1"/>
  <c r="Q181" i="10" s="1"/>
  <c r="Q182" i="10" s="1"/>
  <c r="Q183" i="10" s="1"/>
  <c r="Q184" i="10" s="1"/>
  <c r="Q185" i="10" s="1"/>
  <c r="L6" i="10"/>
  <c r="M5" i="10"/>
  <c r="N4" i="2"/>
  <c r="M5" i="2"/>
  <c r="P3" i="10" l="1"/>
  <c r="M6" i="10"/>
  <c r="L7" i="10"/>
  <c r="N5" i="2"/>
  <c r="M6" i="2"/>
  <c r="M7" i="10" l="1"/>
  <c r="L8" i="10"/>
  <c r="M7" i="2"/>
  <c r="N6" i="2"/>
  <c r="L9" i="10" l="1"/>
  <c r="M8" i="10"/>
  <c r="N7" i="2"/>
  <c r="M8" i="2"/>
  <c r="L10" i="10" l="1"/>
  <c r="M9" i="10"/>
  <c r="N8" i="2"/>
  <c r="M9" i="2"/>
  <c r="M10" i="10" l="1"/>
  <c r="L11" i="10"/>
  <c r="M10" i="2"/>
  <c r="N9" i="2"/>
  <c r="L12" i="10" l="1"/>
  <c r="M11" i="10"/>
  <c r="N10" i="2"/>
  <c r="M11" i="2"/>
  <c r="L13" i="10" l="1"/>
  <c r="M12" i="10"/>
  <c r="M12" i="2"/>
  <c r="N11" i="2"/>
  <c r="M13" i="10" l="1"/>
  <c r="L14" i="10"/>
  <c r="M13" i="2"/>
  <c r="N12" i="2"/>
  <c r="M14" i="10" l="1"/>
  <c r="L15" i="10"/>
  <c r="N13" i="2"/>
  <c r="M14" i="2"/>
  <c r="M15" i="10" l="1"/>
  <c r="L16" i="10"/>
  <c r="N14" i="2"/>
  <c r="M15" i="2"/>
  <c r="M16" i="10" l="1"/>
  <c r="L17" i="10"/>
  <c r="M16" i="2"/>
  <c r="N15" i="2"/>
  <c r="M17" i="10" l="1"/>
  <c r="L18" i="10"/>
  <c r="N16" i="2"/>
  <c r="M17" i="2"/>
  <c r="M18" i="10" l="1"/>
  <c r="L19" i="10"/>
  <c r="N17" i="2"/>
  <c r="M18" i="2"/>
  <c r="M19" i="10" l="1"/>
  <c r="L20" i="10"/>
  <c r="M19" i="2"/>
  <c r="N18" i="2"/>
  <c r="M20" i="10" l="1"/>
  <c r="L21" i="10"/>
  <c r="N19" i="2"/>
  <c r="M20" i="2"/>
  <c r="M21" i="10" l="1"/>
  <c r="L22" i="10"/>
  <c r="N20" i="2"/>
  <c r="M21" i="2"/>
  <c r="M22" i="10" l="1"/>
  <c r="L23" i="10"/>
  <c r="M22" i="2"/>
  <c r="N21" i="2"/>
  <c r="M23" i="10" l="1"/>
  <c r="L24" i="10"/>
  <c r="N22" i="2"/>
  <c r="M23" i="2"/>
  <c r="M24" i="10" l="1"/>
  <c r="L25" i="10"/>
  <c r="N23" i="2"/>
  <c r="M24" i="2"/>
  <c r="M25" i="10" l="1"/>
  <c r="L26" i="10"/>
  <c r="M25" i="2"/>
  <c r="N24" i="2"/>
  <c r="M26" i="10" l="1"/>
  <c r="L27" i="10"/>
  <c r="N25" i="2"/>
  <c r="M26" i="2"/>
  <c r="M27" i="10" l="1"/>
  <c r="L28" i="10"/>
  <c r="N26" i="2"/>
  <c r="M27" i="2"/>
  <c r="M28" i="10" l="1"/>
  <c r="L29" i="10"/>
  <c r="M28" i="2"/>
  <c r="N27" i="2"/>
  <c r="M29" i="10" l="1"/>
  <c r="L30" i="10"/>
  <c r="N28" i="2"/>
  <c r="M29" i="2"/>
  <c r="M30" i="10" l="1"/>
  <c r="L31" i="10"/>
  <c r="N29" i="2"/>
  <c r="M30" i="2"/>
  <c r="M31" i="10" l="1"/>
  <c r="L32" i="10"/>
  <c r="M31" i="2"/>
  <c r="N30" i="2"/>
  <c r="M32" i="10" l="1"/>
  <c r="L33" i="10"/>
  <c r="N31" i="2"/>
  <c r="M32" i="2"/>
  <c r="M33" i="10" l="1"/>
  <c r="L34" i="10"/>
  <c r="N32" i="2"/>
  <c r="M33" i="2"/>
  <c r="M34" i="10" l="1"/>
  <c r="L35" i="10"/>
  <c r="M34" i="2"/>
  <c r="N33" i="2"/>
  <c r="M35" i="10" l="1"/>
  <c r="L36" i="10"/>
  <c r="N34" i="2"/>
  <c r="M35" i="2"/>
  <c r="M36" i="10" l="1"/>
  <c r="L37" i="10"/>
  <c r="N35" i="2"/>
  <c r="M36" i="2"/>
  <c r="M37" i="10" l="1"/>
  <c r="L38" i="10"/>
  <c r="M37" i="2"/>
  <c r="N36" i="2"/>
  <c r="M38" i="10" l="1"/>
  <c r="L39" i="10"/>
  <c r="N37" i="2"/>
  <c r="M38" i="2"/>
  <c r="M39" i="10" l="1"/>
  <c r="L40" i="10"/>
  <c r="N38" i="2"/>
  <c r="M39" i="2"/>
  <c r="M40" i="10" l="1"/>
  <c r="L41" i="10"/>
  <c r="M40" i="2"/>
  <c r="N39" i="2"/>
  <c r="M41" i="10" l="1"/>
  <c r="L42" i="10"/>
  <c r="M41" i="2"/>
  <c r="N40" i="2"/>
  <c r="M42" i="10" l="1"/>
  <c r="L43" i="10"/>
  <c r="N41" i="2"/>
  <c r="M42" i="2"/>
  <c r="M43" i="10" l="1"/>
  <c r="L44" i="10"/>
  <c r="N42" i="2"/>
  <c r="M43" i="2"/>
  <c r="M44" i="10" l="1"/>
  <c r="L45" i="10"/>
  <c r="N43" i="2"/>
  <c r="M44" i="2"/>
  <c r="M45" i="10" l="1"/>
  <c r="L46" i="10"/>
  <c r="N44" i="2"/>
  <c r="M45" i="2"/>
  <c r="M46" i="10" l="1"/>
  <c r="L47" i="10"/>
  <c r="M46" i="2"/>
  <c r="N45" i="2"/>
  <c r="M47" i="10" l="1"/>
  <c r="L48" i="10"/>
  <c r="N46" i="2"/>
  <c r="M47" i="2"/>
  <c r="M48" i="10" l="1"/>
  <c r="L49" i="10"/>
  <c r="N47" i="2"/>
  <c r="M48" i="2"/>
  <c r="M49" i="10" l="1"/>
  <c r="L50" i="10"/>
  <c r="M49" i="2"/>
  <c r="N48" i="2"/>
  <c r="M50" i="10" l="1"/>
  <c r="L51" i="10"/>
  <c r="N49" i="2"/>
  <c r="M50" i="2"/>
  <c r="M51" i="10" l="1"/>
  <c r="L52" i="10"/>
  <c r="M51" i="2"/>
  <c r="N50" i="2"/>
  <c r="M52" i="10" l="1"/>
  <c r="L53" i="10"/>
  <c r="M52" i="2"/>
  <c r="N51" i="2"/>
  <c r="M53" i="10" l="1"/>
  <c r="L54" i="10"/>
  <c r="N52" i="2"/>
  <c r="M53" i="2"/>
  <c r="M54" i="10" l="1"/>
  <c r="L55" i="10"/>
  <c r="N53" i="2"/>
  <c r="M54" i="2"/>
  <c r="M55" i="10" l="1"/>
  <c r="L56" i="10"/>
  <c r="M55" i="2"/>
  <c r="N54" i="2"/>
  <c r="M56" i="10" l="1"/>
  <c r="L57" i="10"/>
  <c r="N55" i="2"/>
  <c r="M56" i="2"/>
  <c r="M57" i="10" l="1"/>
  <c r="L58" i="10"/>
  <c r="N56" i="2"/>
  <c r="M57" i="2"/>
  <c r="M58" i="10" l="1"/>
  <c r="L59" i="10"/>
  <c r="M58" i="2"/>
  <c r="N57" i="2"/>
  <c r="M59" i="10" l="1"/>
  <c r="L60" i="10"/>
  <c r="N58" i="2"/>
  <c r="M59" i="2"/>
  <c r="M60" i="10" l="1"/>
  <c r="L61" i="10"/>
  <c r="N59" i="2"/>
  <c r="M60" i="2"/>
  <c r="M61" i="10" l="1"/>
  <c r="L62" i="10"/>
  <c r="M61" i="2"/>
  <c r="N60" i="2"/>
  <c r="M62" i="10" l="1"/>
  <c r="L63" i="10"/>
  <c r="N61" i="2"/>
  <c r="M62" i="2"/>
  <c r="M63" i="10" l="1"/>
  <c r="L64" i="10"/>
  <c r="N62" i="2"/>
  <c r="M63" i="2"/>
  <c r="M64" i="10" l="1"/>
  <c r="L65" i="10"/>
  <c r="M64" i="2"/>
  <c r="N63" i="2"/>
  <c r="M65" i="10" l="1"/>
  <c r="L66" i="10"/>
  <c r="N64" i="2"/>
  <c r="M65" i="2"/>
  <c r="M66" i="10" l="1"/>
  <c r="L67" i="10"/>
  <c r="N65" i="2"/>
  <c r="M66" i="2"/>
  <c r="M67" i="10" l="1"/>
  <c r="L68" i="10"/>
  <c r="M67" i="2"/>
  <c r="N66" i="2"/>
  <c r="M68" i="10" l="1"/>
  <c r="L69" i="10"/>
  <c r="N67" i="2"/>
  <c r="M68" i="2"/>
  <c r="M69" i="10" l="1"/>
  <c r="L70" i="10"/>
  <c r="N68" i="2"/>
  <c r="M69" i="2"/>
  <c r="M70" i="10" l="1"/>
  <c r="L71" i="10"/>
  <c r="M70" i="2"/>
  <c r="N69" i="2"/>
  <c r="M71" i="10" l="1"/>
  <c r="L72" i="10"/>
  <c r="N70" i="2"/>
  <c r="M71" i="2"/>
  <c r="M72" i="10" l="1"/>
  <c r="L73" i="10"/>
  <c r="N71" i="2"/>
  <c r="M72" i="2"/>
  <c r="M73" i="10" l="1"/>
  <c r="L74" i="10"/>
  <c r="M73" i="2"/>
  <c r="N72" i="2"/>
  <c r="M74" i="10" l="1"/>
  <c r="L75" i="10"/>
  <c r="N73" i="2"/>
  <c r="M74" i="2"/>
  <c r="M75" i="10" l="1"/>
  <c r="L76" i="10"/>
  <c r="N74" i="2"/>
  <c r="M75" i="2"/>
  <c r="M76" i="10" l="1"/>
  <c r="L77" i="10"/>
  <c r="M76" i="2"/>
  <c r="N75" i="2"/>
  <c r="M77" i="10" l="1"/>
  <c r="L78" i="10"/>
  <c r="N76" i="2"/>
  <c r="M77" i="2"/>
  <c r="M78" i="10" l="1"/>
  <c r="L79" i="10"/>
  <c r="N77" i="2"/>
  <c r="M78" i="2"/>
  <c r="M79" i="10" l="1"/>
  <c r="L80" i="10"/>
  <c r="M79" i="2"/>
  <c r="N78" i="2"/>
  <c r="M80" i="10" l="1"/>
  <c r="L81" i="10"/>
  <c r="N79" i="2"/>
  <c r="M80" i="2"/>
  <c r="M81" i="10" l="1"/>
  <c r="L82" i="10"/>
  <c r="N80" i="2"/>
  <c r="M81" i="2"/>
  <c r="M82" i="10" l="1"/>
  <c r="L83" i="10"/>
  <c r="M82" i="2"/>
  <c r="N81" i="2"/>
  <c r="M83" i="10" l="1"/>
  <c r="L84" i="10"/>
  <c r="M83" i="2"/>
  <c r="N82" i="2"/>
  <c r="M84" i="10" l="1"/>
  <c r="L85" i="10"/>
  <c r="N83" i="2"/>
  <c r="M84" i="2"/>
  <c r="M85" i="10" l="1"/>
  <c r="L86" i="10"/>
  <c r="M85" i="2"/>
  <c r="N84" i="2"/>
  <c r="M86" i="10" l="1"/>
  <c r="L87" i="10"/>
  <c r="N85" i="2"/>
  <c r="M86" i="2"/>
  <c r="M87" i="10" l="1"/>
  <c r="L88" i="10"/>
  <c r="N86" i="2"/>
  <c r="M87" i="2"/>
  <c r="M88" i="10" l="1"/>
  <c r="L89" i="10"/>
  <c r="M88" i="2"/>
  <c r="N87" i="2"/>
  <c r="M89" i="10" l="1"/>
  <c r="L90" i="10"/>
  <c r="N88" i="2"/>
  <c r="M89" i="2"/>
  <c r="M90" i="10" l="1"/>
  <c r="L91" i="10"/>
  <c r="N89" i="2"/>
  <c r="M90" i="2"/>
  <c r="M91" i="10" l="1"/>
  <c r="L92" i="10"/>
  <c r="M91" i="2"/>
  <c r="N90" i="2"/>
  <c r="M92" i="10" l="1"/>
  <c r="L93" i="10"/>
  <c r="N91" i="2"/>
  <c r="M92" i="2"/>
  <c r="M93" i="10" l="1"/>
  <c r="L94" i="10"/>
  <c r="N92" i="2"/>
  <c r="M93" i="2"/>
  <c r="M94" i="10" l="1"/>
  <c r="L95" i="10"/>
  <c r="M94" i="2"/>
  <c r="N93" i="2"/>
  <c r="M95" i="10" l="1"/>
  <c r="L96" i="10"/>
  <c r="N94" i="2"/>
  <c r="M95" i="2"/>
  <c r="M96" i="10" l="1"/>
  <c r="L97" i="10"/>
  <c r="N95" i="2"/>
  <c r="M96" i="2"/>
  <c r="M97" i="10" l="1"/>
  <c r="L98" i="10"/>
  <c r="M97" i="2"/>
  <c r="N96" i="2"/>
  <c r="M98" i="10" l="1"/>
  <c r="L99" i="10"/>
  <c r="N97" i="2"/>
  <c r="M98" i="2"/>
  <c r="M99" i="10" l="1"/>
  <c r="L100" i="10"/>
  <c r="M99" i="2"/>
  <c r="N98" i="2"/>
  <c r="M100" i="10" l="1"/>
  <c r="L101" i="10"/>
  <c r="M100" i="2"/>
  <c r="N99" i="2"/>
  <c r="M101" i="10" l="1"/>
  <c r="L102" i="10"/>
  <c r="N100" i="2"/>
  <c r="M101" i="2"/>
  <c r="M102" i="10" l="1"/>
  <c r="L103" i="10"/>
  <c r="N101" i="2"/>
  <c r="M102" i="2"/>
  <c r="M103" i="10" l="1"/>
  <c r="L104" i="10"/>
  <c r="M103" i="2"/>
  <c r="N102" i="2"/>
  <c r="M104" i="10" l="1"/>
  <c r="L105" i="10"/>
  <c r="N103" i="2"/>
  <c r="M104" i="2"/>
  <c r="M105" i="10" l="1"/>
  <c r="L106" i="10"/>
  <c r="N104" i="2"/>
  <c r="M105" i="2"/>
  <c r="L107" i="10" l="1"/>
  <c r="M106" i="10"/>
  <c r="M106" i="2"/>
  <c r="N105" i="2"/>
  <c r="L108" i="10" l="1"/>
  <c r="M107" i="10"/>
  <c r="N106" i="2"/>
  <c r="M107" i="2"/>
  <c r="M108" i="10" l="1"/>
  <c r="L109" i="10"/>
  <c r="N107" i="2"/>
  <c r="M108" i="2"/>
  <c r="L110" i="10" l="1"/>
  <c r="M109" i="10"/>
  <c r="M109" i="2"/>
  <c r="N108" i="2"/>
  <c r="L111" i="10" l="1"/>
  <c r="M110" i="10"/>
  <c r="N109" i="2"/>
  <c r="M110" i="2"/>
  <c r="L112" i="10" l="1"/>
  <c r="M111" i="10"/>
  <c r="N110" i="2"/>
  <c r="M111" i="2"/>
  <c r="M112" i="10" l="1"/>
  <c r="L113" i="10"/>
  <c r="M112" i="2"/>
  <c r="N111" i="2"/>
  <c r="M113" i="10" l="1"/>
  <c r="L114" i="10"/>
  <c r="N112" i="2"/>
  <c r="M113" i="2"/>
  <c r="L115" i="10" l="1"/>
  <c r="M114" i="10"/>
  <c r="N113" i="2"/>
  <c r="M114" i="2"/>
  <c r="L116" i="10" l="1"/>
  <c r="M115" i="10"/>
  <c r="M115" i="2"/>
  <c r="N114" i="2"/>
  <c r="M116" i="10" l="1"/>
  <c r="L117" i="10"/>
  <c r="N115" i="2"/>
  <c r="M116" i="2"/>
  <c r="L118" i="10" l="1"/>
  <c r="M117" i="10"/>
  <c r="N116" i="2"/>
  <c r="M117" i="2"/>
  <c r="L119" i="10" l="1"/>
  <c r="M118" i="10"/>
  <c r="M118" i="2"/>
  <c r="N117" i="2"/>
  <c r="L120" i="10" l="1"/>
  <c r="M119" i="10"/>
  <c r="N118" i="2"/>
  <c r="M119" i="2"/>
  <c r="M120" i="10" l="1"/>
  <c r="L121" i="10"/>
  <c r="N119" i="2"/>
  <c r="M120" i="2"/>
  <c r="M121" i="10" l="1"/>
  <c r="L122" i="10"/>
  <c r="M121" i="2"/>
  <c r="N120" i="2"/>
  <c r="L123" i="10" l="1"/>
  <c r="M122" i="10"/>
  <c r="N121" i="2"/>
  <c r="M122" i="2"/>
  <c r="M123" i="10" l="1"/>
  <c r="L124" i="10"/>
  <c r="N122" i="2"/>
  <c r="M123" i="2"/>
  <c r="M124" i="10" l="1"/>
  <c r="L125" i="10"/>
  <c r="M124" i="2"/>
  <c r="N123" i="2"/>
  <c r="M125" i="10" l="1"/>
  <c r="L126" i="10"/>
  <c r="N124" i="2"/>
  <c r="M125" i="2"/>
  <c r="M126" i="10" l="1"/>
  <c r="L127" i="10"/>
  <c r="N125" i="2"/>
  <c r="M126" i="2"/>
  <c r="M127" i="10" l="1"/>
  <c r="L128" i="10"/>
  <c r="M127" i="2"/>
  <c r="N126" i="2"/>
  <c r="M128" i="10" l="1"/>
  <c r="L129" i="10"/>
  <c r="N127" i="2"/>
  <c r="M128" i="2"/>
  <c r="M129" i="10" l="1"/>
  <c r="L130" i="10"/>
  <c r="N128" i="2"/>
  <c r="M129" i="2"/>
  <c r="M130" i="10" l="1"/>
  <c r="L131" i="10"/>
  <c r="M130" i="2"/>
  <c r="N129" i="2"/>
  <c r="M131" i="10" l="1"/>
  <c r="L132" i="10"/>
  <c r="N130" i="2"/>
  <c r="M131" i="2"/>
  <c r="M132" i="10" l="1"/>
  <c r="L133" i="10"/>
  <c r="N131" i="2"/>
  <c r="M132" i="2"/>
  <c r="M133" i="10" l="1"/>
  <c r="L134" i="10"/>
  <c r="M133" i="2"/>
  <c r="N132" i="2"/>
  <c r="M134" i="10" l="1"/>
  <c r="L135" i="10"/>
  <c r="M134" i="2"/>
  <c r="N133" i="2"/>
  <c r="M135" i="10" l="1"/>
  <c r="L136" i="10"/>
  <c r="N134" i="2"/>
  <c r="M135" i="2"/>
  <c r="M136" i="10" l="1"/>
  <c r="L137" i="10"/>
  <c r="M136" i="2"/>
  <c r="N135" i="2"/>
  <c r="M137" i="10" l="1"/>
  <c r="L138" i="10"/>
  <c r="N136" i="2"/>
  <c r="M137" i="2"/>
  <c r="M138" i="10" l="1"/>
  <c r="L139" i="10"/>
  <c r="N137" i="2"/>
  <c r="M138" i="2"/>
  <c r="M139" i="10" l="1"/>
  <c r="L140" i="10"/>
  <c r="M139" i="2"/>
  <c r="N138" i="2"/>
  <c r="M140" i="10" l="1"/>
  <c r="L141" i="10"/>
  <c r="N139" i="2"/>
  <c r="M140" i="2"/>
  <c r="M141" i="10" l="1"/>
  <c r="L142" i="10"/>
  <c r="M141" i="2"/>
  <c r="N140" i="2"/>
  <c r="M142" i="10" l="1"/>
  <c r="L143" i="10"/>
  <c r="M142" i="2"/>
  <c r="N141" i="2"/>
  <c r="M143" i="10" l="1"/>
  <c r="L144" i="10"/>
  <c r="N142" i="2"/>
  <c r="M143" i="2"/>
  <c r="M144" i="10" l="1"/>
  <c r="L145" i="10"/>
  <c r="N143" i="2"/>
  <c r="M144" i="2"/>
  <c r="M145" i="10" l="1"/>
  <c r="L146" i="10"/>
  <c r="M145" i="2"/>
  <c r="N144" i="2"/>
  <c r="M146" i="10" l="1"/>
  <c r="L147" i="10"/>
  <c r="N145" i="2"/>
  <c r="M146" i="2"/>
  <c r="M147" i="10" l="1"/>
  <c r="L148" i="10"/>
  <c r="N146" i="2"/>
  <c r="M147" i="2"/>
  <c r="M148" i="10" l="1"/>
  <c r="L149" i="10"/>
  <c r="M148" i="2"/>
  <c r="N147" i="2"/>
  <c r="M149" i="10" l="1"/>
  <c r="L150" i="10"/>
  <c r="N148" i="2"/>
  <c r="M149" i="2"/>
  <c r="M150" i="10" l="1"/>
  <c r="L151" i="10"/>
  <c r="N149" i="2"/>
  <c r="M150" i="2"/>
  <c r="M151" i="10" l="1"/>
  <c r="L152" i="10"/>
  <c r="M151" i="2"/>
  <c r="N150" i="2"/>
  <c r="M152" i="10" l="1"/>
  <c r="L153" i="10"/>
  <c r="N151" i="2"/>
  <c r="M152" i="2"/>
  <c r="M153" i="10" l="1"/>
  <c r="L154" i="10"/>
  <c r="N152" i="2"/>
  <c r="M153" i="2"/>
  <c r="M154" i="10" l="1"/>
  <c r="L155" i="10"/>
  <c r="M154" i="2"/>
  <c r="N153" i="2"/>
  <c r="M155" i="10" l="1"/>
  <c r="L156" i="10"/>
  <c r="N154" i="2"/>
  <c r="M155" i="2"/>
  <c r="M156" i="10" l="1"/>
  <c r="L157" i="10"/>
  <c r="N155" i="2"/>
  <c r="M156" i="2"/>
  <c r="M157" i="10" l="1"/>
  <c r="L158" i="10"/>
  <c r="M157" i="2"/>
  <c r="N156" i="2"/>
  <c r="M158" i="10" l="1"/>
  <c r="L159" i="10"/>
  <c r="N157" i="2"/>
  <c r="M158" i="2"/>
  <c r="M159" i="10" l="1"/>
  <c r="L160" i="10"/>
  <c r="N158" i="2"/>
  <c r="M159" i="2"/>
  <c r="M160" i="10" l="1"/>
  <c r="L161" i="10"/>
  <c r="M160" i="2"/>
  <c r="N159" i="2"/>
  <c r="M161" i="10" l="1"/>
  <c r="L162" i="10"/>
  <c r="N160" i="2"/>
  <c r="M161" i="2"/>
  <c r="M162" i="10" l="1"/>
  <c r="L163" i="10"/>
  <c r="N161" i="2"/>
  <c r="M162" i="2"/>
  <c r="M163" i="10" l="1"/>
  <c r="L164" i="10"/>
  <c r="M163" i="2"/>
  <c r="N162" i="2"/>
  <c r="M164" i="10" l="1"/>
  <c r="L165" i="10"/>
  <c r="N163" i="2"/>
  <c r="M164" i="2"/>
  <c r="M165" i="10" l="1"/>
  <c r="L166" i="10"/>
  <c r="N164" i="2"/>
  <c r="M165" i="2"/>
  <c r="M166" i="10" l="1"/>
  <c r="L167" i="10"/>
  <c r="M166" i="2"/>
  <c r="N165" i="2"/>
  <c r="M167" i="10" l="1"/>
  <c r="L168" i="10"/>
  <c r="N166" i="2"/>
  <c r="M167" i="2"/>
  <c r="M168" i="10" l="1"/>
  <c r="L169" i="10"/>
  <c r="N167" i="2"/>
  <c r="M168" i="2"/>
  <c r="M169" i="10" l="1"/>
  <c r="L170" i="10"/>
  <c r="M169" i="2"/>
  <c r="N168" i="2"/>
  <c r="M170" i="10" l="1"/>
  <c r="L171" i="10"/>
  <c r="N169" i="2"/>
  <c r="M170" i="2"/>
  <c r="M171" i="10" l="1"/>
  <c r="L172" i="10"/>
  <c r="N170" i="2"/>
  <c r="M171" i="2"/>
  <c r="M172" i="10" l="1"/>
  <c r="L173" i="10"/>
  <c r="N171" i="2"/>
  <c r="M172" i="2"/>
  <c r="M173" i="10" l="1"/>
  <c r="L174" i="10"/>
  <c r="N172" i="2"/>
  <c r="M173" i="2"/>
  <c r="M174" i="10" l="1"/>
  <c r="L175" i="10"/>
  <c r="N173" i="2"/>
  <c r="M174" i="2"/>
  <c r="M175" i="10" l="1"/>
  <c r="L176" i="10"/>
  <c r="M175" i="2"/>
  <c r="N174" i="2"/>
  <c r="M176" i="10" l="1"/>
  <c r="L177" i="10"/>
  <c r="N175" i="2"/>
  <c r="M176" i="2"/>
  <c r="M177" i="10" l="1"/>
  <c r="L178" i="10"/>
  <c r="N176" i="2"/>
  <c r="M177" i="2"/>
  <c r="M178" i="10" l="1"/>
  <c r="L179" i="10"/>
  <c r="M178" i="2"/>
  <c r="N177" i="2"/>
  <c r="M179" i="10" l="1"/>
  <c r="L180" i="10"/>
  <c r="N178" i="2"/>
  <c r="M179" i="2"/>
  <c r="M180" i="10" l="1"/>
  <c r="L181" i="10"/>
  <c r="N179" i="2"/>
  <c r="M180" i="2"/>
  <c r="M181" i="10" l="1"/>
  <c r="L182" i="10"/>
  <c r="M181" i="2"/>
  <c r="N180" i="2"/>
  <c r="M182" i="10" l="1"/>
  <c r="L183" i="10"/>
  <c r="N181" i="2"/>
  <c r="M182" i="2"/>
  <c r="M183" i="10" l="1"/>
  <c r="L184" i="10"/>
  <c r="N182" i="2"/>
  <c r="M183" i="2"/>
  <c r="M184" i="10" l="1"/>
  <c r="L185" i="10"/>
  <c r="M185" i="10" s="1"/>
  <c r="M184" i="2"/>
  <c r="N183" i="2"/>
  <c r="N184" i="2" l="1"/>
  <c r="M185" i="2"/>
  <c r="N18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229D3-97A3-448A-A156-78532DA5B2F6}" keepAlive="1" name="Zapytanie — staw" description="Połączenie z zapytaniem „staw” w skoroszycie." type="5" refreshedVersion="8" background="1" saveData="1">
    <dbPr connection="Provider=Microsoft.Mashup.OleDb.1;Data Source=$Workbook$;Location=staw;Extended Properties=&quot;&quot;" command="SELECT * FROM [staw]"/>
  </connection>
  <connection id="2" xr16:uid="{F4C1AC46-5734-4F43-9C9D-B0BEB82B7C32}" keepAlive="1" name="Zapytanie — staw (2)" description="Połączenie z zapytaniem „staw (2)” w skoroszycie." type="5" refreshedVersion="8" background="1" saveData="1">
    <dbPr connection="Provider=Microsoft.Mashup.OleDb.1;Data Source=$Workbook$;Location=&quot;staw (2)&quot;;Extended Properties=&quot;&quot;" command="SELECT * FROM [staw (2)]"/>
  </connection>
</connections>
</file>

<file path=xl/sharedStrings.xml><?xml version="1.0" encoding="utf-8"?>
<sst xmlns="http://schemas.openxmlformats.org/spreadsheetml/2006/main" count="47" uniqueCount="25">
  <si>
    <t>Etykiety wierszy</t>
  </si>
  <si>
    <t>Suma z Średnia temperatura</t>
  </si>
  <si>
    <t>miesiac</t>
  </si>
  <si>
    <t>srednia temperatura</t>
  </si>
  <si>
    <t>(puste)</t>
  </si>
  <si>
    <t>Suma końcowa</t>
  </si>
  <si>
    <t>miesiace</t>
  </si>
  <si>
    <t>max z dł. Ciągu zer w miesiacu</t>
  </si>
  <si>
    <t>Maksimum z Ciąg</t>
  </si>
  <si>
    <t>Data</t>
  </si>
  <si>
    <t>Temp</t>
  </si>
  <si>
    <t>Opady</t>
  </si>
  <si>
    <t>Miesiąc</t>
  </si>
  <si>
    <t>Ciąg</t>
  </si>
  <si>
    <t>Czy był opad</t>
  </si>
  <si>
    <t>k1</t>
  </si>
  <si>
    <t>k2</t>
  </si>
  <si>
    <t>srednia temp</t>
  </si>
  <si>
    <t>dzien</t>
  </si>
  <si>
    <t>data</t>
  </si>
  <si>
    <t>powierzchnia</t>
  </si>
  <si>
    <t>pokrycie</t>
  </si>
  <si>
    <t>7_3</t>
  </si>
  <si>
    <t>liczba karpii</t>
  </si>
  <si>
    <t>7_4: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</si>
</sst>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1" applyNumberFormat="1" applyFont="1"/>
    <xf numFmtId="0" fontId="0" fillId="2" borderId="0" xfId="0" applyFill="1"/>
    <xf numFmtId="14" fontId="0" fillId="2" borderId="0" xfId="0" applyNumberFormat="1" applyFill="1"/>
    <xf numFmtId="9" fontId="0" fillId="2" borderId="0" xfId="1" applyFont="1" applyFill="1"/>
    <xf numFmtId="0" fontId="3" fillId="2" borderId="0" xfId="0" applyFont="1" applyFill="1" applyAlignment="1">
      <alignment horizontal="right"/>
    </xf>
    <xf numFmtId="9" fontId="0" fillId="0" borderId="0" xfId="1" applyFont="1" applyFill="1"/>
    <xf numFmtId="0" fontId="3" fillId="0" borderId="0" xfId="0" applyFont="1" applyAlignment="1">
      <alignment horizontal="right"/>
    </xf>
  </cellXfs>
  <cellStyles count="2">
    <cellStyle name="Normalny" xfId="0" builtinId="0"/>
    <cellStyle name="Procentowy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65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[excel123 1.xlsx]7_1!Tabela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Średnie</a:t>
            </a:r>
            <a:r>
              <a:rPr lang="en-US" baseline="0"/>
              <a:t> temperatury miesiecznie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'7_1'!$B$1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'7_1'!$A$2:$A$15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(puste)</c:v>
                </c:pt>
              </c:strCache>
            </c:strRef>
          </c:cat>
          <c:val>
            <c:numRef>
              <c:f>'7_1'!$B$2:$B$15</c:f>
              <c:numCache>
                <c:formatCode>General</c:formatCode>
                <c:ptCount val="13"/>
                <c:pt idx="0">
                  <c:v>1.0838709677419358</c:v>
                </c:pt>
                <c:pt idx="1">
                  <c:v>4.1392857142857142</c:v>
                </c:pt>
                <c:pt idx="2">
                  <c:v>4.0548387096774201</c:v>
                </c:pt>
                <c:pt idx="3">
                  <c:v>7.37</c:v>
                </c:pt>
                <c:pt idx="4">
                  <c:v>15.86451612903226</c:v>
                </c:pt>
                <c:pt idx="5">
                  <c:v>20.486666666666665</c:v>
                </c:pt>
                <c:pt idx="6">
                  <c:v>20.393548387096779</c:v>
                </c:pt>
                <c:pt idx="7">
                  <c:v>21.13225806451613</c:v>
                </c:pt>
                <c:pt idx="8">
                  <c:v>13.670000000000003</c:v>
                </c:pt>
                <c:pt idx="9">
                  <c:v>12.477419354838711</c:v>
                </c:pt>
                <c:pt idx="10">
                  <c:v>5.2</c:v>
                </c:pt>
                <c:pt idx="11">
                  <c:v>1.5903225806451613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0-4AE5-9838-AF081A6F9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075968"/>
        <c:axId val="58915983"/>
      </c:barChart>
      <c:catAx>
        <c:axId val="159307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915983"/>
        <c:crosses val="autoZero"/>
        <c:auto val="1"/>
        <c:lblAlgn val="ctr"/>
        <c:lblOffset val="100"/>
        <c:noMultiLvlLbl val="0"/>
      </c:catAx>
      <c:valAx>
        <c:axId val="5891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</a:t>
                </a:r>
                <a:r>
                  <a:rPr lang="pl-PL" baseline="0"/>
                  <a:t> temperatura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9307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1149349</xdr:colOff>
      <xdr:row>17</xdr:row>
      <xdr:rowOff>120650</xdr:rowOff>
    </xdr:from>
    <xdr:to>
      <xdr:col>10</xdr:col>
      <xdr:colOff>92250</xdr:colOff>
      <xdr:row>37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7DDA8B6-162C-1479-D8A4-0B57BCBD6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MaturaPoprawionaWersj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Sienkiewicz" refreshedDate="46280.605149768518" createdVersion="8" refreshedVersion="8" minRefreshableVersion="3" recordCount="365" xr:uid="{0284178C-5666-4166-9FED-DA290402B71B}">
  <cacheSource type="worksheet">
    <worksheetSource name="staw"/>
  </cacheSource>
  <cacheFields count="5">
    <cacheField name="Data" numFmtId="14">
      <sharedItems containsSemiMixedTypes="0" containsNonDate="0" containsDate="1" containsString="0" minDate="2022-01-01T00:00:00" maxDate="2023-01-01T00:00:00"/>
    </cacheField>
    <cacheField name="Temp" numFmtId="0">
      <sharedItems containsSemiMixedTypes="0" containsString="0" containsNumber="1" minValue="-6.6" maxValue="29.9"/>
    </cacheField>
    <cacheField name="Opady" numFmtId="0">
      <sharedItems containsSemiMixedTypes="0" containsString="0" containsNumber="1" containsInteger="1" minValue="0" maxValue="43"/>
    </cacheField>
    <cacheField name="Miesiąc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Średnia temperatura" numFmtId="0">
      <sharedItems containsString="0" containsBlank="1" containsNumber="1" minValue="1.0838709677419358" maxValue="21.13225806451613" count="13">
        <n v="1.0838709677419358"/>
        <n v="4.1392857142857142"/>
        <n v="4.0548387096774201"/>
        <n v="7.37"/>
        <n v="15.86451612903226"/>
        <n v="20.486666666666665"/>
        <n v="20.393548387096779"/>
        <n v="21.13225806451613"/>
        <n v="13.670000000000003"/>
        <n v="12.477419354838711"/>
        <n v="5.2"/>
        <n v="1.59032258064516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Sienkiewicz 3gl" refreshedDate="46286.52672199074" createdVersion="8" refreshedVersion="8" minRefreshableVersion="3" recordCount="365" xr:uid="{91FF7092-22E8-2F4C-8BA7-85C0BE4EE411}">
  <cacheSource type="worksheet">
    <worksheetSource ref="A1:F366" sheet="ArkuszPomocniczy" r:id="rId2"/>
  </cacheSource>
  <cacheFields count="6">
    <cacheField name="Data" numFmtId="14">
      <sharedItems containsSemiMixedTypes="0" containsNonDate="0" containsDate="1" containsString="0" minDate="2022-01-01T00:00:00" maxDate="2023-01-01T00:00:00"/>
    </cacheField>
    <cacheField name="Temp" numFmtId="0">
      <sharedItems containsSemiMixedTypes="0" containsString="0" containsNumber="1" minValue="-6.6" maxValue="29.9"/>
    </cacheField>
    <cacheField name="Opady" numFmtId="0">
      <sharedItems containsSemiMixedTypes="0" containsString="0" containsNumber="1" containsInteger="1" minValue="0" maxValue="43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iąg" numFmtId="0">
      <sharedItems containsSemiMixedTypes="0" containsString="0" containsNumber="1" containsInteger="1" minValue="0" maxValue="20"/>
    </cacheField>
    <cacheField name="Czy był opa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n v="9.8000000000000007"/>
    <n v="5"/>
    <x v="0"/>
    <x v="0"/>
  </r>
  <r>
    <d v="2022-01-02T00:00:00"/>
    <n v="8.1"/>
    <n v="1"/>
    <x v="1"/>
    <x v="1"/>
  </r>
  <r>
    <d v="2022-01-03T00:00:00"/>
    <n v="9"/>
    <n v="2"/>
    <x v="2"/>
    <x v="2"/>
  </r>
  <r>
    <d v="2022-01-04T00:00:00"/>
    <n v="7.3"/>
    <n v="1"/>
    <x v="3"/>
    <x v="3"/>
  </r>
  <r>
    <d v="2022-01-05T00:00:00"/>
    <n v="5.7"/>
    <n v="5"/>
    <x v="4"/>
    <x v="4"/>
  </r>
  <r>
    <d v="2022-01-06T00:00:00"/>
    <n v="1.7"/>
    <n v="0"/>
    <x v="5"/>
    <x v="5"/>
  </r>
  <r>
    <d v="2022-01-07T00:00:00"/>
    <n v="-1.4"/>
    <n v="0"/>
    <x v="6"/>
    <x v="6"/>
  </r>
  <r>
    <d v="2022-01-08T00:00:00"/>
    <n v="-1.5"/>
    <n v="0"/>
    <x v="7"/>
    <x v="7"/>
  </r>
  <r>
    <d v="2022-01-09T00:00:00"/>
    <n v="-1.2"/>
    <n v="0"/>
    <x v="8"/>
    <x v="8"/>
  </r>
  <r>
    <d v="2022-01-10T00:00:00"/>
    <n v="-3.8"/>
    <n v="0"/>
    <x v="9"/>
    <x v="9"/>
  </r>
  <r>
    <d v="2022-01-11T00:00:00"/>
    <n v="-2.7"/>
    <n v="0"/>
    <x v="10"/>
    <x v="10"/>
  </r>
  <r>
    <d v="2022-01-12T00:00:00"/>
    <n v="-3.9"/>
    <n v="0"/>
    <x v="11"/>
    <x v="11"/>
  </r>
  <r>
    <d v="2022-01-13T00:00:00"/>
    <n v="1.6"/>
    <n v="0"/>
    <x v="12"/>
    <x v="12"/>
  </r>
  <r>
    <d v="2022-01-14T00:00:00"/>
    <n v="3.1"/>
    <n v="0"/>
    <x v="12"/>
    <x v="12"/>
  </r>
  <r>
    <d v="2022-01-15T00:00:00"/>
    <n v="1.2"/>
    <n v="0"/>
    <x v="12"/>
    <x v="12"/>
  </r>
  <r>
    <d v="2022-01-16T00:00:00"/>
    <n v="-0.8"/>
    <n v="0"/>
    <x v="12"/>
    <x v="12"/>
  </r>
  <r>
    <d v="2022-01-17T00:00:00"/>
    <n v="1.8"/>
    <n v="1"/>
    <x v="12"/>
    <x v="12"/>
  </r>
  <r>
    <d v="2022-01-18T00:00:00"/>
    <n v="-0.2"/>
    <n v="0"/>
    <x v="12"/>
    <x v="12"/>
  </r>
  <r>
    <d v="2022-01-19T00:00:00"/>
    <n v="1"/>
    <n v="0"/>
    <x v="12"/>
    <x v="12"/>
  </r>
  <r>
    <d v="2022-01-20T00:00:00"/>
    <n v="0.5"/>
    <n v="1"/>
    <x v="12"/>
    <x v="12"/>
  </r>
  <r>
    <d v="2022-01-21T00:00:00"/>
    <n v="-2.4"/>
    <n v="0"/>
    <x v="12"/>
    <x v="12"/>
  </r>
  <r>
    <d v="2022-01-22T00:00:00"/>
    <n v="-2.5"/>
    <n v="0"/>
    <x v="12"/>
    <x v="12"/>
  </r>
  <r>
    <d v="2022-01-23T00:00:00"/>
    <n v="-3.1"/>
    <n v="0"/>
    <x v="12"/>
    <x v="12"/>
  </r>
  <r>
    <d v="2022-01-24T00:00:00"/>
    <n v="-6.6"/>
    <n v="0"/>
    <x v="12"/>
    <x v="12"/>
  </r>
  <r>
    <d v="2022-01-25T00:00:00"/>
    <n v="0.2"/>
    <n v="0"/>
    <x v="12"/>
    <x v="12"/>
  </r>
  <r>
    <d v="2022-01-26T00:00:00"/>
    <n v="1.6"/>
    <n v="1"/>
    <x v="12"/>
    <x v="12"/>
  </r>
  <r>
    <d v="2022-01-27T00:00:00"/>
    <n v="1.6"/>
    <n v="2"/>
    <x v="12"/>
    <x v="12"/>
  </r>
  <r>
    <d v="2022-01-28T00:00:00"/>
    <n v="2.2000000000000002"/>
    <n v="3"/>
    <x v="12"/>
    <x v="12"/>
  </r>
  <r>
    <d v="2022-01-29T00:00:00"/>
    <n v="1.6"/>
    <n v="0"/>
    <x v="12"/>
    <x v="12"/>
  </r>
  <r>
    <d v="2022-01-30T00:00:00"/>
    <n v="4"/>
    <n v="6"/>
    <x v="12"/>
    <x v="12"/>
  </r>
  <r>
    <d v="2022-01-31T00:00:00"/>
    <n v="1.7"/>
    <n v="0"/>
    <x v="12"/>
    <x v="12"/>
  </r>
  <r>
    <d v="2022-02-01T00:00:00"/>
    <n v="0.8"/>
    <n v="0"/>
    <x v="12"/>
    <x v="12"/>
  </r>
  <r>
    <d v="2022-02-02T00:00:00"/>
    <n v="2"/>
    <n v="8"/>
    <x v="12"/>
    <x v="12"/>
  </r>
  <r>
    <d v="2022-02-03T00:00:00"/>
    <n v="0.4"/>
    <n v="1"/>
    <x v="12"/>
    <x v="12"/>
  </r>
  <r>
    <d v="2022-02-04T00:00:00"/>
    <n v="2.1"/>
    <n v="1"/>
    <x v="12"/>
    <x v="12"/>
  </r>
  <r>
    <d v="2022-02-05T00:00:00"/>
    <n v="3.4"/>
    <n v="0"/>
    <x v="12"/>
    <x v="12"/>
  </r>
  <r>
    <d v="2022-02-06T00:00:00"/>
    <n v="4.5"/>
    <n v="0"/>
    <x v="12"/>
    <x v="12"/>
  </r>
  <r>
    <d v="2022-02-07T00:00:00"/>
    <n v="3.6"/>
    <n v="0"/>
    <x v="12"/>
    <x v="12"/>
  </r>
  <r>
    <d v="2022-02-08T00:00:00"/>
    <n v="3.6"/>
    <n v="1"/>
    <x v="12"/>
    <x v="12"/>
  </r>
  <r>
    <d v="2022-02-09T00:00:00"/>
    <n v="6.8"/>
    <n v="2"/>
    <x v="12"/>
    <x v="12"/>
  </r>
  <r>
    <d v="2022-02-10T00:00:00"/>
    <n v="6.8"/>
    <n v="0"/>
    <x v="12"/>
    <x v="12"/>
  </r>
  <r>
    <d v="2022-02-11T00:00:00"/>
    <n v="5.8"/>
    <n v="0"/>
    <x v="12"/>
    <x v="12"/>
  </r>
  <r>
    <d v="2022-02-12T00:00:00"/>
    <n v="1.3"/>
    <n v="0"/>
    <x v="12"/>
    <x v="12"/>
  </r>
  <r>
    <d v="2022-02-13T00:00:00"/>
    <n v="2.2999999999999998"/>
    <n v="0"/>
    <x v="12"/>
    <x v="12"/>
  </r>
  <r>
    <d v="2022-02-14T00:00:00"/>
    <n v="4.5"/>
    <n v="0"/>
    <x v="12"/>
    <x v="12"/>
  </r>
  <r>
    <d v="2022-02-15T00:00:00"/>
    <n v="5.6"/>
    <n v="0"/>
    <x v="12"/>
    <x v="12"/>
  </r>
  <r>
    <d v="2022-02-16T00:00:00"/>
    <n v="6.4"/>
    <n v="0"/>
    <x v="12"/>
    <x v="12"/>
  </r>
  <r>
    <d v="2022-02-17T00:00:00"/>
    <n v="7.4"/>
    <n v="9"/>
    <x v="12"/>
    <x v="12"/>
  </r>
  <r>
    <d v="2022-02-18T00:00:00"/>
    <n v="6.9"/>
    <n v="0"/>
    <x v="12"/>
    <x v="12"/>
  </r>
  <r>
    <d v="2022-02-19T00:00:00"/>
    <n v="8.8000000000000007"/>
    <n v="0"/>
    <x v="12"/>
    <x v="12"/>
  </r>
  <r>
    <d v="2022-02-20T00:00:00"/>
    <n v="5.2"/>
    <n v="0"/>
    <x v="12"/>
    <x v="12"/>
  </r>
  <r>
    <d v="2022-02-21T00:00:00"/>
    <n v="7.2"/>
    <n v="1"/>
    <x v="12"/>
    <x v="12"/>
  </r>
  <r>
    <d v="2022-02-22T00:00:00"/>
    <n v="4.5999999999999996"/>
    <n v="0"/>
    <x v="12"/>
    <x v="12"/>
  </r>
  <r>
    <d v="2022-02-23T00:00:00"/>
    <n v="4.5999999999999996"/>
    <n v="0"/>
    <x v="12"/>
    <x v="12"/>
  </r>
  <r>
    <d v="2022-02-24T00:00:00"/>
    <n v="5.2"/>
    <n v="0"/>
    <x v="12"/>
    <x v="12"/>
  </r>
  <r>
    <d v="2022-02-25T00:00:00"/>
    <n v="3.9"/>
    <n v="0"/>
    <x v="12"/>
    <x v="12"/>
  </r>
  <r>
    <d v="2022-02-26T00:00:00"/>
    <n v="1.9"/>
    <n v="0"/>
    <x v="12"/>
    <x v="12"/>
  </r>
  <r>
    <d v="2022-02-27T00:00:00"/>
    <n v="1.2"/>
    <n v="0"/>
    <x v="12"/>
    <x v="12"/>
  </r>
  <r>
    <d v="2022-02-28T00:00:00"/>
    <n v="-0.9"/>
    <n v="0"/>
    <x v="12"/>
    <x v="12"/>
  </r>
  <r>
    <d v="2022-03-01T00:00:00"/>
    <n v="-1.4"/>
    <n v="0"/>
    <x v="12"/>
    <x v="12"/>
  </r>
  <r>
    <d v="2022-03-02T00:00:00"/>
    <n v="0.3"/>
    <n v="0"/>
    <x v="12"/>
    <x v="12"/>
  </r>
  <r>
    <d v="2022-03-03T00:00:00"/>
    <n v="2"/>
    <n v="0"/>
    <x v="12"/>
    <x v="12"/>
  </r>
  <r>
    <d v="2022-03-04T00:00:00"/>
    <n v="0.6"/>
    <n v="0"/>
    <x v="12"/>
    <x v="12"/>
  </r>
  <r>
    <d v="2022-03-05T00:00:00"/>
    <n v="0.7"/>
    <n v="0"/>
    <x v="12"/>
    <x v="12"/>
  </r>
  <r>
    <d v="2022-03-06T00:00:00"/>
    <n v="0"/>
    <n v="0"/>
    <x v="12"/>
    <x v="12"/>
  </r>
  <r>
    <d v="2022-03-07T00:00:00"/>
    <n v="0"/>
    <n v="0"/>
    <x v="12"/>
    <x v="12"/>
  </r>
  <r>
    <d v="2022-03-08T00:00:00"/>
    <n v="1.3"/>
    <n v="0"/>
    <x v="12"/>
    <x v="12"/>
  </r>
  <r>
    <d v="2022-03-09T00:00:00"/>
    <n v="2"/>
    <n v="2"/>
    <x v="12"/>
    <x v="12"/>
  </r>
  <r>
    <d v="2022-03-10T00:00:00"/>
    <n v="-1.6"/>
    <n v="0"/>
    <x v="12"/>
    <x v="12"/>
  </r>
  <r>
    <d v="2022-03-11T00:00:00"/>
    <n v="-2.6"/>
    <n v="0"/>
    <x v="12"/>
    <x v="12"/>
  </r>
  <r>
    <d v="2022-03-12T00:00:00"/>
    <n v="-0.2"/>
    <n v="0"/>
    <x v="12"/>
    <x v="12"/>
  </r>
  <r>
    <d v="2022-03-13T00:00:00"/>
    <n v="3.1"/>
    <n v="0"/>
    <x v="12"/>
    <x v="12"/>
  </r>
  <r>
    <d v="2022-03-14T00:00:00"/>
    <n v="5.5"/>
    <n v="0"/>
    <x v="12"/>
    <x v="12"/>
  </r>
  <r>
    <d v="2022-03-15T00:00:00"/>
    <n v="8.6"/>
    <n v="0"/>
    <x v="12"/>
    <x v="12"/>
  </r>
  <r>
    <d v="2022-03-16T00:00:00"/>
    <n v="7.8"/>
    <n v="0"/>
    <x v="12"/>
    <x v="12"/>
  </r>
  <r>
    <d v="2022-03-17T00:00:00"/>
    <n v="3.7"/>
    <n v="0"/>
    <x v="12"/>
    <x v="12"/>
  </r>
  <r>
    <d v="2022-03-18T00:00:00"/>
    <n v="3"/>
    <n v="0"/>
    <x v="12"/>
    <x v="12"/>
  </r>
  <r>
    <d v="2022-03-19T00:00:00"/>
    <n v="2.1"/>
    <n v="0"/>
    <x v="12"/>
    <x v="12"/>
  </r>
  <r>
    <d v="2022-03-20T00:00:00"/>
    <n v="3.2"/>
    <n v="0"/>
    <x v="12"/>
    <x v="12"/>
  </r>
  <r>
    <d v="2022-03-21T00:00:00"/>
    <n v="4.9000000000000004"/>
    <n v="0"/>
    <x v="12"/>
    <x v="12"/>
  </r>
  <r>
    <d v="2022-03-22T00:00:00"/>
    <n v="7.8"/>
    <n v="0"/>
    <x v="12"/>
    <x v="12"/>
  </r>
  <r>
    <d v="2022-03-23T00:00:00"/>
    <n v="9.1999999999999993"/>
    <n v="0"/>
    <x v="12"/>
    <x v="12"/>
  </r>
  <r>
    <d v="2022-03-24T00:00:00"/>
    <n v="7.2"/>
    <n v="0"/>
    <x v="12"/>
    <x v="12"/>
  </r>
  <r>
    <d v="2022-03-25T00:00:00"/>
    <n v="8.5"/>
    <n v="0"/>
    <x v="12"/>
    <x v="12"/>
  </r>
  <r>
    <d v="2022-03-26T00:00:00"/>
    <n v="10.199999999999999"/>
    <n v="0"/>
    <x v="12"/>
    <x v="12"/>
  </r>
  <r>
    <d v="2022-03-27T00:00:00"/>
    <n v="5.7"/>
    <n v="0"/>
    <x v="12"/>
    <x v="12"/>
  </r>
  <r>
    <d v="2022-03-28T00:00:00"/>
    <n v="10.3"/>
    <n v="0"/>
    <x v="12"/>
    <x v="12"/>
  </r>
  <r>
    <d v="2022-03-29T00:00:00"/>
    <n v="11.4"/>
    <n v="0"/>
    <x v="12"/>
    <x v="12"/>
  </r>
  <r>
    <d v="2022-03-30T00:00:00"/>
    <n v="8.5"/>
    <n v="3"/>
    <x v="12"/>
    <x v="12"/>
  </r>
  <r>
    <d v="2022-03-31T00:00:00"/>
    <n v="3.9"/>
    <n v="11"/>
    <x v="12"/>
    <x v="12"/>
  </r>
  <r>
    <d v="2022-04-01T00:00:00"/>
    <n v="1"/>
    <n v="13"/>
    <x v="12"/>
    <x v="12"/>
  </r>
  <r>
    <d v="2022-04-02T00:00:00"/>
    <n v="-0.1"/>
    <n v="0"/>
    <x v="12"/>
    <x v="12"/>
  </r>
  <r>
    <d v="2022-04-03T00:00:00"/>
    <n v="0.2"/>
    <n v="2"/>
    <x v="12"/>
    <x v="12"/>
  </r>
  <r>
    <d v="2022-04-04T00:00:00"/>
    <n v="2.8"/>
    <n v="0"/>
    <x v="12"/>
    <x v="12"/>
  </r>
  <r>
    <d v="2022-04-05T00:00:00"/>
    <n v="5.7"/>
    <n v="1"/>
    <x v="12"/>
    <x v="12"/>
  </r>
  <r>
    <d v="2022-04-06T00:00:00"/>
    <n v="11.6"/>
    <n v="0"/>
    <x v="12"/>
    <x v="12"/>
  </r>
  <r>
    <d v="2022-04-07T00:00:00"/>
    <n v="14.3"/>
    <n v="0"/>
    <x v="12"/>
    <x v="12"/>
  </r>
  <r>
    <d v="2022-04-08T00:00:00"/>
    <n v="11.3"/>
    <n v="4"/>
    <x v="12"/>
    <x v="12"/>
  </r>
  <r>
    <d v="2022-04-09T00:00:00"/>
    <n v="5.8"/>
    <n v="1"/>
    <x v="12"/>
    <x v="12"/>
  </r>
  <r>
    <d v="2022-04-10T00:00:00"/>
    <n v="4.3"/>
    <n v="0"/>
    <x v="12"/>
    <x v="12"/>
  </r>
  <r>
    <d v="2022-04-11T00:00:00"/>
    <n v="3.6"/>
    <n v="0"/>
    <x v="12"/>
    <x v="12"/>
  </r>
  <r>
    <d v="2022-04-12T00:00:00"/>
    <n v="6.8"/>
    <n v="0"/>
    <x v="12"/>
    <x v="12"/>
  </r>
  <r>
    <d v="2022-04-13T00:00:00"/>
    <n v="9.1999999999999993"/>
    <n v="0"/>
    <x v="12"/>
    <x v="12"/>
  </r>
  <r>
    <d v="2022-04-14T00:00:00"/>
    <n v="13.9"/>
    <n v="0"/>
    <x v="12"/>
    <x v="12"/>
  </r>
  <r>
    <d v="2022-04-15T00:00:00"/>
    <n v="11.3"/>
    <n v="2"/>
    <x v="12"/>
    <x v="12"/>
  </r>
  <r>
    <d v="2022-04-16T00:00:00"/>
    <n v="6.9"/>
    <n v="4"/>
    <x v="12"/>
    <x v="12"/>
  </r>
  <r>
    <d v="2022-04-17T00:00:00"/>
    <n v="6.2"/>
    <n v="0"/>
    <x v="12"/>
    <x v="12"/>
  </r>
  <r>
    <d v="2022-04-18T00:00:00"/>
    <n v="5.4"/>
    <n v="0"/>
    <x v="12"/>
    <x v="12"/>
  </r>
  <r>
    <d v="2022-04-19T00:00:00"/>
    <n v="5.3"/>
    <n v="0"/>
    <x v="12"/>
    <x v="12"/>
  </r>
  <r>
    <d v="2022-04-20T00:00:00"/>
    <n v="4.7"/>
    <n v="0"/>
    <x v="12"/>
    <x v="12"/>
  </r>
  <r>
    <d v="2022-04-21T00:00:00"/>
    <n v="7.7"/>
    <n v="0"/>
    <x v="12"/>
    <x v="12"/>
  </r>
  <r>
    <d v="2022-04-22T00:00:00"/>
    <n v="7.7"/>
    <n v="0"/>
    <x v="12"/>
    <x v="12"/>
  </r>
  <r>
    <d v="2022-04-23T00:00:00"/>
    <n v="8.6"/>
    <n v="0"/>
    <x v="12"/>
    <x v="12"/>
  </r>
  <r>
    <d v="2022-04-24T00:00:00"/>
    <n v="9.4"/>
    <n v="0"/>
    <x v="12"/>
    <x v="12"/>
  </r>
  <r>
    <d v="2022-04-25T00:00:00"/>
    <n v="11.1"/>
    <n v="18"/>
    <x v="12"/>
    <x v="12"/>
  </r>
  <r>
    <d v="2022-04-26T00:00:00"/>
    <n v="9.5"/>
    <n v="0"/>
    <x v="12"/>
    <x v="12"/>
  </r>
  <r>
    <d v="2022-04-27T00:00:00"/>
    <n v="9.8000000000000007"/>
    <n v="0"/>
    <x v="12"/>
    <x v="12"/>
  </r>
  <r>
    <d v="2022-04-28T00:00:00"/>
    <n v="12.1"/>
    <n v="0"/>
    <x v="12"/>
    <x v="12"/>
  </r>
  <r>
    <d v="2022-04-29T00:00:00"/>
    <n v="11.1"/>
    <n v="0"/>
    <x v="12"/>
    <x v="12"/>
  </r>
  <r>
    <d v="2022-04-30T00:00:00"/>
    <n v="3.9"/>
    <n v="11"/>
    <x v="12"/>
    <x v="12"/>
  </r>
  <r>
    <d v="2022-05-01T00:00:00"/>
    <n v="12.8"/>
    <n v="0"/>
    <x v="12"/>
    <x v="12"/>
  </r>
  <r>
    <d v="2022-05-02T00:00:00"/>
    <n v="14.4"/>
    <n v="0"/>
    <x v="12"/>
    <x v="12"/>
  </r>
  <r>
    <d v="2022-05-03T00:00:00"/>
    <n v="15.3"/>
    <n v="0"/>
    <x v="12"/>
    <x v="12"/>
  </r>
  <r>
    <d v="2022-05-04T00:00:00"/>
    <n v="15.4"/>
    <n v="0"/>
    <x v="12"/>
    <x v="12"/>
  </r>
  <r>
    <d v="2022-05-05T00:00:00"/>
    <n v="16.100000000000001"/>
    <n v="0"/>
    <x v="12"/>
    <x v="12"/>
  </r>
  <r>
    <d v="2022-05-06T00:00:00"/>
    <n v="14.9"/>
    <n v="0"/>
    <x v="12"/>
    <x v="12"/>
  </r>
  <r>
    <d v="2022-05-07T00:00:00"/>
    <n v="16"/>
    <n v="0"/>
    <x v="12"/>
    <x v="12"/>
  </r>
  <r>
    <d v="2022-05-08T00:00:00"/>
    <n v="16.3"/>
    <n v="0"/>
    <x v="12"/>
    <x v="12"/>
  </r>
  <r>
    <d v="2022-05-09T00:00:00"/>
    <n v="15.5"/>
    <n v="0"/>
    <x v="12"/>
    <x v="12"/>
  </r>
  <r>
    <d v="2022-05-10T00:00:00"/>
    <n v="15"/>
    <n v="0"/>
    <x v="12"/>
    <x v="12"/>
  </r>
  <r>
    <d v="2022-05-11T00:00:00"/>
    <n v="18.600000000000001"/>
    <n v="0"/>
    <x v="12"/>
    <x v="12"/>
  </r>
  <r>
    <d v="2022-05-12T00:00:00"/>
    <n v="22.2"/>
    <n v="0"/>
    <x v="12"/>
    <x v="12"/>
  </r>
  <r>
    <d v="2022-05-13T00:00:00"/>
    <n v="17.399999999999999"/>
    <n v="0"/>
    <x v="12"/>
    <x v="12"/>
  </r>
  <r>
    <d v="2022-05-14T00:00:00"/>
    <n v="16.2"/>
    <n v="0"/>
    <x v="12"/>
    <x v="12"/>
  </r>
  <r>
    <d v="2022-05-15T00:00:00"/>
    <n v="16.399999999999999"/>
    <n v="0"/>
    <x v="12"/>
    <x v="12"/>
  </r>
  <r>
    <d v="2022-05-16T00:00:00"/>
    <n v="15.9"/>
    <n v="0"/>
    <x v="12"/>
    <x v="12"/>
  </r>
  <r>
    <d v="2022-05-17T00:00:00"/>
    <n v="15.8"/>
    <n v="0"/>
    <x v="12"/>
    <x v="12"/>
  </r>
  <r>
    <d v="2022-05-18T00:00:00"/>
    <n v="12.4"/>
    <n v="0"/>
    <x v="12"/>
    <x v="12"/>
  </r>
  <r>
    <d v="2022-05-19T00:00:00"/>
    <n v="16"/>
    <n v="0"/>
    <x v="12"/>
    <x v="12"/>
  </r>
  <r>
    <d v="2022-05-20T00:00:00"/>
    <n v="20.3"/>
    <n v="0"/>
    <x v="12"/>
    <x v="12"/>
  </r>
  <r>
    <d v="2022-05-21T00:00:00"/>
    <n v="19.8"/>
    <n v="1"/>
    <x v="12"/>
    <x v="12"/>
  </r>
  <r>
    <d v="2022-05-22T00:00:00"/>
    <n v="14.1"/>
    <n v="0"/>
    <x v="12"/>
    <x v="12"/>
  </r>
  <r>
    <d v="2022-05-23T00:00:00"/>
    <n v="13.1"/>
    <n v="0"/>
    <x v="12"/>
    <x v="12"/>
  </r>
  <r>
    <d v="2022-05-24T00:00:00"/>
    <n v="16.100000000000001"/>
    <n v="0"/>
    <x v="12"/>
    <x v="12"/>
  </r>
  <r>
    <d v="2022-05-25T00:00:00"/>
    <n v="16.100000000000001"/>
    <n v="0"/>
    <x v="12"/>
    <x v="12"/>
  </r>
  <r>
    <d v="2022-05-26T00:00:00"/>
    <n v="16.7"/>
    <n v="0"/>
    <x v="12"/>
    <x v="12"/>
  </r>
  <r>
    <d v="2022-05-27T00:00:00"/>
    <n v="16"/>
    <n v="0"/>
    <x v="12"/>
    <x v="12"/>
  </r>
  <r>
    <d v="2022-05-28T00:00:00"/>
    <n v="12.3"/>
    <n v="0"/>
    <x v="12"/>
    <x v="12"/>
  </r>
  <r>
    <d v="2022-05-29T00:00:00"/>
    <n v="13.3"/>
    <n v="0"/>
    <x v="12"/>
    <x v="12"/>
  </r>
  <r>
    <d v="2022-05-30T00:00:00"/>
    <n v="14.2"/>
    <n v="1"/>
    <x v="12"/>
    <x v="12"/>
  </r>
  <r>
    <d v="2022-05-31T00:00:00"/>
    <n v="17.2"/>
    <n v="0"/>
    <x v="12"/>
    <x v="12"/>
  </r>
  <r>
    <d v="2022-06-01T00:00:00"/>
    <n v="19"/>
    <n v="0"/>
    <x v="12"/>
    <x v="12"/>
  </r>
  <r>
    <d v="2022-06-02T00:00:00"/>
    <n v="16.899999999999999"/>
    <n v="1"/>
    <x v="12"/>
    <x v="12"/>
  </r>
  <r>
    <d v="2022-06-03T00:00:00"/>
    <n v="18.399999999999999"/>
    <n v="0"/>
    <x v="12"/>
    <x v="12"/>
  </r>
  <r>
    <d v="2022-06-04T00:00:00"/>
    <n v="17.5"/>
    <n v="0"/>
    <x v="12"/>
    <x v="12"/>
  </r>
  <r>
    <d v="2022-06-05T00:00:00"/>
    <n v="19.899999999999999"/>
    <n v="0"/>
    <x v="12"/>
    <x v="12"/>
  </r>
  <r>
    <d v="2022-06-06T00:00:00"/>
    <n v="21"/>
    <n v="0"/>
    <x v="12"/>
    <x v="12"/>
  </r>
  <r>
    <d v="2022-06-07T00:00:00"/>
    <n v="22.7"/>
    <n v="0"/>
    <x v="12"/>
    <x v="12"/>
  </r>
  <r>
    <d v="2022-06-08T00:00:00"/>
    <n v="19.2"/>
    <n v="0"/>
    <x v="12"/>
    <x v="12"/>
  </r>
  <r>
    <d v="2022-06-09T00:00:00"/>
    <n v="18.600000000000001"/>
    <n v="43"/>
    <x v="12"/>
    <x v="12"/>
  </r>
  <r>
    <d v="2022-06-10T00:00:00"/>
    <n v="18.399999999999999"/>
    <n v="0"/>
    <x v="12"/>
    <x v="12"/>
  </r>
  <r>
    <d v="2022-06-11T00:00:00"/>
    <n v="19.399999999999999"/>
    <n v="0"/>
    <x v="12"/>
    <x v="12"/>
  </r>
  <r>
    <d v="2022-06-12T00:00:00"/>
    <n v="19.899999999999999"/>
    <n v="0"/>
    <x v="12"/>
    <x v="12"/>
  </r>
  <r>
    <d v="2022-06-13T00:00:00"/>
    <n v="18.100000000000001"/>
    <n v="7"/>
    <x v="12"/>
    <x v="12"/>
  </r>
  <r>
    <d v="2022-06-14T00:00:00"/>
    <n v="15.3"/>
    <n v="0"/>
    <x v="12"/>
    <x v="12"/>
  </r>
  <r>
    <d v="2022-06-15T00:00:00"/>
    <n v="16.100000000000001"/>
    <n v="0"/>
    <x v="12"/>
    <x v="12"/>
  </r>
  <r>
    <d v="2022-06-16T00:00:00"/>
    <n v="18.2"/>
    <n v="15"/>
    <x v="12"/>
    <x v="12"/>
  </r>
  <r>
    <d v="2022-06-17T00:00:00"/>
    <n v="17.899999999999999"/>
    <n v="0"/>
    <x v="12"/>
    <x v="12"/>
  </r>
  <r>
    <d v="2022-06-18T00:00:00"/>
    <n v="20.100000000000001"/>
    <n v="0"/>
    <x v="12"/>
    <x v="12"/>
  </r>
  <r>
    <d v="2022-06-19T00:00:00"/>
    <n v="24.6"/>
    <n v="0"/>
    <x v="12"/>
    <x v="12"/>
  </r>
  <r>
    <d v="2022-06-20T00:00:00"/>
    <n v="24.7"/>
    <n v="0"/>
    <x v="12"/>
    <x v="12"/>
  </r>
  <r>
    <d v="2022-06-21T00:00:00"/>
    <n v="16.399999999999999"/>
    <n v="0"/>
    <x v="12"/>
    <x v="12"/>
  </r>
  <r>
    <d v="2022-06-22T00:00:00"/>
    <n v="18.7"/>
    <n v="0"/>
    <x v="12"/>
    <x v="12"/>
  </r>
  <r>
    <d v="2022-06-23T00:00:00"/>
    <n v="19.100000000000001"/>
    <n v="0"/>
    <x v="12"/>
    <x v="12"/>
  </r>
  <r>
    <d v="2022-06-24T00:00:00"/>
    <n v="21.4"/>
    <n v="0"/>
    <x v="12"/>
    <x v="12"/>
  </r>
  <r>
    <d v="2022-06-25T00:00:00"/>
    <n v="24.4"/>
    <n v="0"/>
    <x v="12"/>
    <x v="12"/>
  </r>
  <r>
    <d v="2022-06-26T00:00:00"/>
    <n v="24.1"/>
    <n v="0"/>
    <x v="12"/>
    <x v="12"/>
  </r>
  <r>
    <d v="2022-06-27T00:00:00"/>
    <n v="26.1"/>
    <n v="0"/>
    <x v="12"/>
    <x v="12"/>
  </r>
  <r>
    <d v="2022-06-28T00:00:00"/>
    <n v="24.6"/>
    <n v="1"/>
    <x v="12"/>
    <x v="12"/>
  </r>
  <r>
    <d v="2022-06-29T00:00:00"/>
    <n v="24.9"/>
    <n v="0"/>
    <x v="12"/>
    <x v="12"/>
  </r>
  <r>
    <d v="2022-06-30T00:00:00"/>
    <n v="29"/>
    <n v="0"/>
    <x v="12"/>
    <x v="12"/>
  </r>
  <r>
    <d v="2022-07-01T00:00:00"/>
    <n v="29.9"/>
    <n v="0"/>
    <x v="12"/>
    <x v="12"/>
  </r>
  <r>
    <d v="2022-07-02T00:00:00"/>
    <n v="19.7"/>
    <n v="0"/>
    <x v="12"/>
    <x v="12"/>
  </r>
  <r>
    <d v="2022-07-03T00:00:00"/>
    <n v="21.6"/>
    <n v="0"/>
    <x v="12"/>
    <x v="12"/>
  </r>
  <r>
    <d v="2022-07-04T00:00:00"/>
    <n v="24.1"/>
    <n v="0"/>
    <x v="12"/>
    <x v="12"/>
  </r>
  <r>
    <d v="2022-07-05T00:00:00"/>
    <n v="19.8"/>
    <n v="17"/>
    <x v="12"/>
    <x v="12"/>
  </r>
  <r>
    <d v="2022-07-06T00:00:00"/>
    <n v="17.600000000000001"/>
    <n v="21"/>
    <x v="12"/>
    <x v="12"/>
  </r>
  <r>
    <d v="2022-07-07T00:00:00"/>
    <n v="18.2"/>
    <n v="0"/>
    <x v="12"/>
    <x v="12"/>
  </r>
  <r>
    <d v="2022-07-08T00:00:00"/>
    <n v="17.399999999999999"/>
    <n v="0"/>
    <x v="12"/>
    <x v="12"/>
  </r>
  <r>
    <d v="2022-07-09T00:00:00"/>
    <n v="17.899999999999999"/>
    <n v="0"/>
    <x v="12"/>
    <x v="12"/>
  </r>
  <r>
    <d v="2022-07-10T00:00:00"/>
    <n v="16.100000000000001"/>
    <n v="4"/>
    <x v="12"/>
    <x v="12"/>
  </r>
  <r>
    <d v="2022-07-11T00:00:00"/>
    <n v="14"/>
    <n v="3"/>
    <x v="12"/>
    <x v="12"/>
  </r>
  <r>
    <d v="2022-07-12T00:00:00"/>
    <n v="16.3"/>
    <n v="2"/>
    <x v="12"/>
    <x v="12"/>
  </r>
  <r>
    <d v="2022-07-13T00:00:00"/>
    <n v="21.7"/>
    <n v="0"/>
    <x v="12"/>
    <x v="12"/>
  </r>
  <r>
    <d v="2022-07-14T00:00:00"/>
    <n v="23.2"/>
    <n v="4"/>
    <x v="12"/>
    <x v="12"/>
  </r>
  <r>
    <d v="2022-07-15T00:00:00"/>
    <n v="19.100000000000001"/>
    <n v="2"/>
    <x v="12"/>
    <x v="12"/>
  </r>
  <r>
    <d v="2022-07-16T00:00:00"/>
    <n v="16.100000000000001"/>
    <n v="0"/>
    <x v="12"/>
    <x v="12"/>
  </r>
  <r>
    <d v="2022-07-17T00:00:00"/>
    <n v="17.100000000000001"/>
    <n v="0"/>
    <x v="12"/>
    <x v="12"/>
  </r>
  <r>
    <d v="2022-07-18T00:00:00"/>
    <n v="18.7"/>
    <n v="0"/>
    <x v="12"/>
    <x v="12"/>
  </r>
  <r>
    <d v="2022-07-19T00:00:00"/>
    <n v="22.1"/>
    <n v="0"/>
    <x v="12"/>
    <x v="12"/>
  </r>
  <r>
    <d v="2022-07-20T00:00:00"/>
    <n v="24.6"/>
    <n v="0"/>
    <x v="12"/>
    <x v="12"/>
  </r>
  <r>
    <d v="2022-07-21T00:00:00"/>
    <n v="24.1"/>
    <n v="0"/>
    <x v="12"/>
    <x v="12"/>
  </r>
  <r>
    <d v="2022-07-22T00:00:00"/>
    <n v="25.6"/>
    <n v="0"/>
    <x v="12"/>
    <x v="12"/>
  </r>
  <r>
    <d v="2022-07-23T00:00:00"/>
    <n v="25"/>
    <n v="0"/>
    <x v="12"/>
    <x v="12"/>
  </r>
  <r>
    <d v="2022-07-24T00:00:00"/>
    <n v="21.8"/>
    <n v="0"/>
    <x v="12"/>
    <x v="12"/>
  </r>
  <r>
    <d v="2022-07-25T00:00:00"/>
    <n v="21.9"/>
    <n v="0"/>
    <x v="12"/>
    <x v="12"/>
  </r>
  <r>
    <d v="2022-07-26T00:00:00"/>
    <n v="20.399999999999999"/>
    <n v="3"/>
    <x v="12"/>
    <x v="12"/>
  </r>
  <r>
    <d v="2022-07-27T00:00:00"/>
    <n v="19.899999999999999"/>
    <n v="0"/>
    <x v="12"/>
    <x v="12"/>
  </r>
  <r>
    <d v="2022-07-28T00:00:00"/>
    <n v="19.899999999999999"/>
    <n v="7"/>
    <x v="12"/>
    <x v="12"/>
  </r>
  <r>
    <d v="2022-07-29T00:00:00"/>
    <n v="21.1"/>
    <n v="0"/>
    <x v="12"/>
    <x v="12"/>
  </r>
  <r>
    <d v="2022-07-30T00:00:00"/>
    <n v="20.7"/>
    <n v="37"/>
    <x v="12"/>
    <x v="12"/>
  </r>
  <r>
    <d v="2022-07-31T00:00:00"/>
    <n v="16.600000000000001"/>
    <n v="0"/>
    <x v="12"/>
    <x v="12"/>
  </r>
  <r>
    <d v="2022-08-01T00:00:00"/>
    <n v="19.7"/>
    <n v="5"/>
    <x v="12"/>
    <x v="12"/>
  </r>
  <r>
    <d v="2022-08-02T00:00:00"/>
    <n v="21"/>
    <n v="1"/>
    <x v="12"/>
    <x v="12"/>
  </r>
  <r>
    <d v="2022-08-03T00:00:00"/>
    <n v="21.9"/>
    <n v="0"/>
    <x v="12"/>
    <x v="12"/>
  </r>
  <r>
    <d v="2022-08-04T00:00:00"/>
    <n v="22.6"/>
    <n v="0"/>
    <x v="12"/>
    <x v="12"/>
  </r>
  <r>
    <d v="2022-08-05T00:00:00"/>
    <n v="24.4"/>
    <n v="0"/>
    <x v="12"/>
    <x v="12"/>
  </r>
  <r>
    <d v="2022-08-06T00:00:00"/>
    <n v="20.100000000000001"/>
    <n v="0"/>
    <x v="12"/>
    <x v="12"/>
  </r>
  <r>
    <d v="2022-08-07T00:00:00"/>
    <n v="18.5"/>
    <n v="0"/>
    <x v="12"/>
    <x v="12"/>
  </r>
  <r>
    <d v="2022-08-08T00:00:00"/>
    <n v="17.100000000000001"/>
    <n v="0"/>
    <x v="12"/>
    <x v="12"/>
  </r>
  <r>
    <d v="2022-08-09T00:00:00"/>
    <n v="19.600000000000001"/>
    <n v="0"/>
    <x v="12"/>
    <x v="12"/>
  </r>
  <r>
    <d v="2022-08-10T00:00:00"/>
    <n v="19.2"/>
    <n v="0"/>
    <x v="12"/>
    <x v="12"/>
  </r>
  <r>
    <d v="2022-08-11T00:00:00"/>
    <n v="17.100000000000001"/>
    <n v="3"/>
    <x v="12"/>
    <x v="12"/>
  </r>
  <r>
    <d v="2022-08-12T00:00:00"/>
    <n v="17.600000000000001"/>
    <n v="0"/>
    <x v="12"/>
    <x v="12"/>
  </r>
  <r>
    <d v="2022-08-13T00:00:00"/>
    <n v="19.8"/>
    <n v="0"/>
    <x v="12"/>
    <x v="12"/>
  </r>
  <r>
    <d v="2022-08-14T00:00:00"/>
    <n v="22"/>
    <n v="4"/>
    <x v="12"/>
    <x v="12"/>
  </r>
  <r>
    <d v="2022-08-15T00:00:00"/>
    <n v="23"/>
    <n v="0"/>
    <x v="12"/>
    <x v="12"/>
  </r>
  <r>
    <d v="2022-08-16T00:00:00"/>
    <n v="22.2"/>
    <n v="0"/>
    <x v="12"/>
    <x v="12"/>
  </r>
  <r>
    <d v="2022-08-17T00:00:00"/>
    <n v="22.9"/>
    <n v="0"/>
    <x v="12"/>
    <x v="12"/>
  </r>
  <r>
    <d v="2022-08-18T00:00:00"/>
    <n v="24.1"/>
    <n v="0"/>
    <x v="12"/>
    <x v="12"/>
  </r>
  <r>
    <d v="2022-08-19T00:00:00"/>
    <n v="26.8"/>
    <n v="0"/>
    <x v="12"/>
    <x v="12"/>
  </r>
  <r>
    <d v="2022-08-20T00:00:00"/>
    <n v="24.5"/>
    <n v="0"/>
    <x v="12"/>
    <x v="12"/>
  </r>
  <r>
    <d v="2022-08-21T00:00:00"/>
    <n v="20.7"/>
    <n v="4"/>
    <x v="12"/>
    <x v="12"/>
  </r>
  <r>
    <d v="2022-08-22T00:00:00"/>
    <n v="20.100000000000001"/>
    <n v="11"/>
    <x v="12"/>
    <x v="12"/>
  </r>
  <r>
    <d v="2022-08-23T00:00:00"/>
    <n v="21.9"/>
    <n v="0"/>
    <x v="12"/>
    <x v="12"/>
  </r>
  <r>
    <d v="2022-08-24T00:00:00"/>
    <n v="21.2"/>
    <n v="4"/>
    <x v="12"/>
    <x v="12"/>
  </r>
  <r>
    <d v="2022-08-25T00:00:00"/>
    <n v="23.2"/>
    <n v="0"/>
    <x v="12"/>
    <x v="12"/>
  </r>
  <r>
    <d v="2022-08-26T00:00:00"/>
    <n v="22.9"/>
    <n v="0"/>
    <x v="12"/>
    <x v="12"/>
  </r>
  <r>
    <d v="2022-08-27T00:00:00"/>
    <n v="22.9"/>
    <n v="0"/>
    <x v="12"/>
    <x v="12"/>
  </r>
  <r>
    <d v="2022-08-28T00:00:00"/>
    <n v="22.7"/>
    <n v="0"/>
    <x v="12"/>
    <x v="12"/>
  </r>
  <r>
    <d v="2022-08-29T00:00:00"/>
    <n v="20.6"/>
    <n v="0"/>
    <x v="12"/>
    <x v="12"/>
  </r>
  <r>
    <d v="2022-08-30T00:00:00"/>
    <n v="18.600000000000001"/>
    <n v="0"/>
    <x v="12"/>
    <x v="12"/>
  </r>
  <r>
    <d v="2022-08-31T00:00:00"/>
    <n v="16.2"/>
    <n v="1"/>
    <x v="12"/>
    <x v="12"/>
  </r>
  <r>
    <d v="2022-09-01T00:00:00"/>
    <n v="15.5"/>
    <n v="0"/>
    <x v="12"/>
    <x v="12"/>
  </r>
  <r>
    <d v="2022-09-02T00:00:00"/>
    <n v="14.4"/>
    <n v="0"/>
    <x v="12"/>
    <x v="12"/>
  </r>
  <r>
    <d v="2022-09-03T00:00:00"/>
    <n v="14.3"/>
    <n v="0"/>
    <x v="12"/>
    <x v="12"/>
  </r>
  <r>
    <d v="2022-09-04T00:00:00"/>
    <n v="15.5"/>
    <n v="0"/>
    <x v="12"/>
    <x v="12"/>
  </r>
  <r>
    <d v="2022-09-05T00:00:00"/>
    <n v="16.5"/>
    <n v="0"/>
    <x v="12"/>
    <x v="12"/>
  </r>
  <r>
    <d v="2022-09-06T00:00:00"/>
    <n v="15.8"/>
    <n v="0"/>
    <x v="12"/>
    <x v="12"/>
  </r>
  <r>
    <d v="2022-09-07T00:00:00"/>
    <n v="16.399999999999999"/>
    <n v="0"/>
    <x v="12"/>
    <x v="12"/>
  </r>
  <r>
    <d v="2022-09-08T00:00:00"/>
    <n v="19.8"/>
    <n v="0"/>
    <x v="12"/>
    <x v="12"/>
  </r>
  <r>
    <d v="2022-09-09T00:00:00"/>
    <n v="19.399999999999999"/>
    <n v="0"/>
    <x v="12"/>
    <x v="12"/>
  </r>
  <r>
    <d v="2022-09-10T00:00:00"/>
    <n v="15.3"/>
    <n v="0"/>
    <x v="12"/>
    <x v="12"/>
  </r>
  <r>
    <d v="2022-09-11T00:00:00"/>
    <n v="14.3"/>
    <n v="0"/>
    <x v="12"/>
    <x v="12"/>
  </r>
  <r>
    <d v="2022-09-12T00:00:00"/>
    <n v="12.2"/>
    <n v="0"/>
    <x v="12"/>
    <x v="12"/>
  </r>
  <r>
    <d v="2022-09-13T00:00:00"/>
    <n v="14.7"/>
    <n v="0"/>
    <x v="12"/>
    <x v="12"/>
  </r>
  <r>
    <d v="2022-09-14T00:00:00"/>
    <n v="18.399999999999999"/>
    <n v="0"/>
    <x v="12"/>
    <x v="12"/>
  </r>
  <r>
    <d v="2022-09-15T00:00:00"/>
    <n v="16.600000000000001"/>
    <n v="6"/>
    <x v="12"/>
    <x v="12"/>
  </r>
  <r>
    <d v="2022-09-16T00:00:00"/>
    <n v="14.5"/>
    <n v="0"/>
    <x v="12"/>
    <x v="12"/>
  </r>
  <r>
    <d v="2022-09-17T00:00:00"/>
    <n v="12.6"/>
    <n v="0"/>
    <x v="12"/>
    <x v="12"/>
  </r>
  <r>
    <d v="2022-09-18T00:00:00"/>
    <n v="10.3"/>
    <n v="8"/>
    <x v="12"/>
    <x v="12"/>
  </r>
  <r>
    <d v="2022-09-19T00:00:00"/>
    <n v="9.3000000000000007"/>
    <n v="6"/>
    <x v="12"/>
    <x v="12"/>
  </r>
  <r>
    <d v="2022-09-20T00:00:00"/>
    <n v="10.3"/>
    <n v="6"/>
    <x v="12"/>
    <x v="12"/>
  </r>
  <r>
    <d v="2022-09-21T00:00:00"/>
    <n v="10.3"/>
    <n v="0"/>
    <x v="12"/>
    <x v="12"/>
  </r>
  <r>
    <d v="2022-09-22T00:00:00"/>
    <n v="10.1"/>
    <n v="2"/>
    <x v="12"/>
    <x v="12"/>
  </r>
  <r>
    <d v="2022-09-23T00:00:00"/>
    <n v="10.5"/>
    <n v="0"/>
    <x v="12"/>
    <x v="12"/>
  </r>
  <r>
    <d v="2022-09-24T00:00:00"/>
    <n v="10.4"/>
    <n v="0"/>
    <x v="12"/>
    <x v="12"/>
  </r>
  <r>
    <d v="2022-09-25T00:00:00"/>
    <n v="12.4"/>
    <n v="0"/>
    <x v="12"/>
    <x v="12"/>
  </r>
  <r>
    <d v="2022-09-26T00:00:00"/>
    <n v="12"/>
    <n v="3"/>
    <x v="12"/>
    <x v="12"/>
  </r>
  <r>
    <d v="2022-09-27T00:00:00"/>
    <n v="12.2"/>
    <n v="2"/>
    <x v="12"/>
    <x v="12"/>
  </r>
  <r>
    <d v="2022-09-28T00:00:00"/>
    <n v="13.3"/>
    <n v="0"/>
    <x v="12"/>
    <x v="12"/>
  </r>
  <r>
    <d v="2022-09-29T00:00:00"/>
    <n v="11"/>
    <n v="6"/>
    <x v="12"/>
    <x v="12"/>
  </r>
  <r>
    <d v="2022-09-30T00:00:00"/>
    <n v="11.8"/>
    <n v="10"/>
    <x v="12"/>
    <x v="12"/>
  </r>
  <r>
    <d v="2022-10-01T00:00:00"/>
    <n v="13"/>
    <n v="4"/>
    <x v="12"/>
    <x v="12"/>
  </r>
  <r>
    <d v="2022-10-02T00:00:00"/>
    <n v="12.1"/>
    <n v="8"/>
    <x v="12"/>
    <x v="12"/>
  </r>
  <r>
    <d v="2022-10-03T00:00:00"/>
    <n v="10.4"/>
    <n v="2"/>
    <x v="12"/>
    <x v="12"/>
  </r>
  <r>
    <d v="2022-10-04T00:00:00"/>
    <n v="10.5"/>
    <n v="0"/>
    <x v="12"/>
    <x v="12"/>
  </r>
  <r>
    <d v="2022-10-05T00:00:00"/>
    <n v="11.5"/>
    <n v="0"/>
    <x v="12"/>
    <x v="12"/>
  </r>
  <r>
    <d v="2022-10-06T00:00:00"/>
    <n v="15.4"/>
    <n v="0"/>
    <x v="12"/>
    <x v="12"/>
  </r>
  <r>
    <d v="2022-10-07T00:00:00"/>
    <n v="15.1"/>
    <n v="0"/>
    <x v="12"/>
    <x v="12"/>
  </r>
  <r>
    <d v="2022-10-08T00:00:00"/>
    <n v="15.3"/>
    <n v="0"/>
    <x v="12"/>
    <x v="12"/>
  </r>
  <r>
    <d v="2022-10-09T00:00:00"/>
    <n v="11.9"/>
    <n v="0"/>
    <x v="12"/>
    <x v="12"/>
  </r>
  <r>
    <d v="2022-10-10T00:00:00"/>
    <n v="10.199999999999999"/>
    <n v="0"/>
    <x v="12"/>
    <x v="12"/>
  </r>
  <r>
    <d v="2022-10-11T00:00:00"/>
    <n v="10.5"/>
    <n v="0"/>
    <x v="12"/>
    <x v="12"/>
  </r>
  <r>
    <d v="2022-10-12T00:00:00"/>
    <n v="7.5"/>
    <n v="0"/>
    <x v="12"/>
    <x v="12"/>
  </r>
  <r>
    <d v="2022-10-13T00:00:00"/>
    <n v="8.1999999999999993"/>
    <n v="0"/>
    <x v="12"/>
    <x v="12"/>
  </r>
  <r>
    <d v="2022-10-14T00:00:00"/>
    <n v="11.6"/>
    <n v="0"/>
    <x v="12"/>
    <x v="12"/>
  </r>
  <r>
    <d v="2022-10-15T00:00:00"/>
    <n v="14.9"/>
    <n v="0"/>
    <x v="12"/>
    <x v="12"/>
  </r>
  <r>
    <d v="2022-10-16T00:00:00"/>
    <n v="16.100000000000001"/>
    <n v="0"/>
    <x v="12"/>
    <x v="12"/>
  </r>
  <r>
    <d v="2022-10-17T00:00:00"/>
    <n v="16.600000000000001"/>
    <n v="0"/>
    <x v="12"/>
    <x v="12"/>
  </r>
  <r>
    <d v="2022-10-18T00:00:00"/>
    <n v="16.8"/>
    <n v="0"/>
    <x v="12"/>
    <x v="12"/>
  </r>
  <r>
    <d v="2022-10-19T00:00:00"/>
    <n v="11.6"/>
    <n v="2"/>
    <x v="12"/>
    <x v="12"/>
  </r>
  <r>
    <d v="2022-10-20T00:00:00"/>
    <n v="5.5"/>
    <n v="0"/>
    <x v="12"/>
    <x v="12"/>
  </r>
  <r>
    <d v="2022-10-21T00:00:00"/>
    <n v="7.5"/>
    <n v="0"/>
    <x v="12"/>
    <x v="12"/>
  </r>
  <r>
    <d v="2022-10-22T00:00:00"/>
    <n v="11.4"/>
    <n v="0"/>
    <x v="12"/>
    <x v="12"/>
  </r>
  <r>
    <d v="2022-10-23T00:00:00"/>
    <n v="14.2"/>
    <n v="0"/>
    <x v="12"/>
    <x v="12"/>
  </r>
  <r>
    <d v="2022-10-24T00:00:00"/>
    <n v="14.5"/>
    <n v="0"/>
    <x v="12"/>
    <x v="12"/>
  </r>
  <r>
    <d v="2022-10-25T00:00:00"/>
    <n v="14.3"/>
    <n v="12"/>
    <x v="12"/>
    <x v="12"/>
  </r>
  <r>
    <d v="2022-10-26T00:00:00"/>
    <n v="13.6"/>
    <n v="0"/>
    <x v="12"/>
    <x v="12"/>
  </r>
  <r>
    <d v="2022-10-27T00:00:00"/>
    <n v="12"/>
    <n v="0"/>
    <x v="12"/>
    <x v="12"/>
  </r>
  <r>
    <d v="2022-10-28T00:00:00"/>
    <n v="13.1"/>
    <n v="0"/>
    <x v="12"/>
    <x v="12"/>
  </r>
  <r>
    <d v="2022-10-29T00:00:00"/>
    <n v="14.3"/>
    <n v="0"/>
    <x v="12"/>
    <x v="12"/>
  </r>
  <r>
    <d v="2022-10-30T00:00:00"/>
    <n v="13.8"/>
    <n v="0"/>
    <x v="12"/>
    <x v="12"/>
  </r>
  <r>
    <d v="2022-10-31T00:00:00"/>
    <n v="13.4"/>
    <n v="0"/>
    <x v="12"/>
    <x v="12"/>
  </r>
  <r>
    <d v="2022-11-01T00:00:00"/>
    <n v="11.4"/>
    <n v="0"/>
    <x v="12"/>
    <x v="12"/>
  </r>
  <r>
    <d v="2022-11-02T00:00:00"/>
    <n v="13.2"/>
    <n v="0"/>
    <x v="12"/>
    <x v="12"/>
  </r>
  <r>
    <d v="2022-11-03T00:00:00"/>
    <n v="11"/>
    <n v="0"/>
    <x v="12"/>
    <x v="12"/>
  </r>
  <r>
    <d v="2022-11-04T00:00:00"/>
    <n v="12.4"/>
    <n v="0"/>
    <x v="12"/>
    <x v="12"/>
  </r>
  <r>
    <d v="2022-11-05T00:00:00"/>
    <n v="9.8000000000000007"/>
    <n v="9"/>
    <x v="12"/>
    <x v="12"/>
  </r>
  <r>
    <d v="2022-11-06T00:00:00"/>
    <n v="8.6"/>
    <n v="0"/>
    <x v="12"/>
    <x v="12"/>
  </r>
  <r>
    <d v="2022-11-07T00:00:00"/>
    <n v="9.3000000000000007"/>
    <n v="0"/>
    <x v="12"/>
    <x v="12"/>
  </r>
  <r>
    <d v="2022-11-08T00:00:00"/>
    <n v="9.3000000000000007"/>
    <n v="0"/>
    <x v="12"/>
    <x v="12"/>
  </r>
  <r>
    <d v="2022-11-09T00:00:00"/>
    <n v="10"/>
    <n v="0"/>
    <x v="12"/>
    <x v="12"/>
  </r>
  <r>
    <d v="2022-11-10T00:00:00"/>
    <n v="7.7"/>
    <n v="0"/>
    <x v="12"/>
    <x v="12"/>
  </r>
  <r>
    <d v="2022-11-11T00:00:00"/>
    <n v="9.8000000000000007"/>
    <n v="0"/>
    <x v="12"/>
    <x v="12"/>
  </r>
  <r>
    <d v="2022-11-12T00:00:00"/>
    <n v="9.1"/>
    <n v="0"/>
    <x v="12"/>
    <x v="12"/>
  </r>
  <r>
    <d v="2022-11-13T00:00:00"/>
    <n v="6.4"/>
    <n v="0"/>
    <x v="12"/>
    <x v="12"/>
  </r>
  <r>
    <d v="2022-11-14T00:00:00"/>
    <n v="6"/>
    <n v="0"/>
    <x v="12"/>
    <x v="12"/>
  </r>
  <r>
    <d v="2022-11-15T00:00:00"/>
    <n v="7.5"/>
    <n v="0"/>
    <x v="12"/>
    <x v="12"/>
  </r>
  <r>
    <d v="2022-11-16T00:00:00"/>
    <n v="5.9"/>
    <n v="7"/>
    <x v="12"/>
    <x v="12"/>
  </r>
  <r>
    <d v="2022-11-17T00:00:00"/>
    <n v="1.2"/>
    <n v="3"/>
    <x v="12"/>
    <x v="12"/>
  </r>
  <r>
    <d v="2022-11-18T00:00:00"/>
    <n v="-1"/>
    <n v="0"/>
    <x v="12"/>
    <x v="12"/>
  </r>
  <r>
    <d v="2022-11-19T00:00:00"/>
    <n v="-2.2999999999999998"/>
    <n v="0"/>
    <x v="12"/>
    <x v="12"/>
  </r>
  <r>
    <d v="2022-11-20T00:00:00"/>
    <n v="-2.8"/>
    <n v="0"/>
    <x v="12"/>
    <x v="12"/>
  </r>
  <r>
    <d v="2022-11-21T00:00:00"/>
    <n v="0.8"/>
    <n v="1"/>
    <x v="12"/>
    <x v="12"/>
  </r>
  <r>
    <d v="2022-11-22T00:00:00"/>
    <n v="2.8"/>
    <n v="0"/>
    <x v="12"/>
    <x v="12"/>
  </r>
  <r>
    <d v="2022-11-23T00:00:00"/>
    <n v="-0.1"/>
    <n v="0"/>
    <x v="12"/>
    <x v="12"/>
  </r>
  <r>
    <d v="2022-11-24T00:00:00"/>
    <n v="0.1"/>
    <n v="1"/>
    <x v="12"/>
    <x v="12"/>
  </r>
  <r>
    <d v="2022-11-25T00:00:00"/>
    <n v="1.3"/>
    <n v="0"/>
    <x v="12"/>
    <x v="12"/>
  </r>
  <r>
    <d v="2022-11-26T00:00:00"/>
    <n v="4.5"/>
    <n v="0"/>
    <x v="12"/>
    <x v="12"/>
  </r>
  <r>
    <d v="2022-11-27T00:00:00"/>
    <n v="2.2999999999999998"/>
    <n v="0"/>
    <x v="12"/>
    <x v="12"/>
  </r>
  <r>
    <d v="2022-11-28T00:00:00"/>
    <n v="2.1"/>
    <n v="0"/>
    <x v="12"/>
    <x v="12"/>
  </r>
  <r>
    <d v="2022-11-29T00:00:00"/>
    <n v="0.2"/>
    <n v="0"/>
    <x v="12"/>
    <x v="12"/>
  </r>
  <r>
    <d v="2022-11-30T00:00:00"/>
    <n v="-0.5"/>
    <n v="0"/>
    <x v="12"/>
    <x v="12"/>
  </r>
  <r>
    <d v="2022-12-01T00:00:00"/>
    <n v="0.9"/>
    <n v="0"/>
    <x v="12"/>
    <x v="12"/>
  </r>
  <r>
    <d v="2022-12-02T00:00:00"/>
    <n v="-1"/>
    <n v="0"/>
    <x v="12"/>
    <x v="12"/>
  </r>
  <r>
    <d v="2022-12-03T00:00:00"/>
    <n v="0.4"/>
    <n v="0"/>
    <x v="12"/>
    <x v="12"/>
  </r>
  <r>
    <d v="2022-12-04T00:00:00"/>
    <n v="2.1"/>
    <n v="0"/>
    <x v="12"/>
    <x v="12"/>
  </r>
  <r>
    <d v="2022-12-05T00:00:00"/>
    <n v="4.5"/>
    <n v="0"/>
    <x v="12"/>
    <x v="12"/>
  </r>
  <r>
    <d v="2022-12-06T00:00:00"/>
    <n v="2.8"/>
    <n v="7"/>
    <x v="12"/>
    <x v="12"/>
  </r>
  <r>
    <d v="2022-12-07T00:00:00"/>
    <n v="2.5"/>
    <n v="1"/>
    <x v="12"/>
    <x v="12"/>
  </r>
  <r>
    <d v="2022-12-08T00:00:00"/>
    <n v="2.2999999999999998"/>
    <n v="0"/>
    <x v="12"/>
    <x v="12"/>
  </r>
  <r>
    <d v="2022-12-09T00:00:00"/>
    <n v="2.2000000000000002"/>
    <n v="14"/>
    <x v="12"/>
    <x v="12"/>
  </r>
  <r>
    <d v="2022-12-10T00:00:00"/>
    <n v="0.6"/>
    <n v="0"/>
    <x v="12"/>
    <x v="12"/>
  </r>
  <r>
    <d v="2022-12-11T00:00:00"/>
    <n v="-1.9"/>
    <n v="0"/>
    <x v="12"/>
    <x v="12"/>
  </r>
  <r>
    <d v="2022-12-12T00:00:00"/>
    <n v="-2.6"/>
    <n v="0"/>
    <x v="12"/>
    <x v="12"/>
  </r>
  <r>
    <d v="2022-12-13T00:00:00"/>
    <n v="-3.1"/>
    <n v="0"/>
    <x v="12"/>
    <x v="12"/>
  </r>
  <r>
    <d v="2022-12-14T00:00:00"/>
    <n v="-4.5999999999999996"/>
    <n v="0"/>
    <x v="12"/>
    <x v="12"/>
  </r>
  <r>
    <d v="2022-12-15T00:00:00"/>
    <n v="-1.6"/>
    <n v="0"/>
    <x v="12"/>
    <x v="12"/>
  </r>
  <r>
    <d v="2022-12-16T00:00:00"/>
    <n v="-0.7"/>
    <n v="0"/>
    <x v="12"/>
    <x v="12"/>
  </r>
  <r>
    <d v="2022-12-17T00:00:00"/>
    <n v="-3.3"/>
    <n v="0"/>
    <x v="12"/>
    <x v="12"/>
  </r>
  <r>
    <d v="2022-12-18T00:00:00"/>
    <n v="-4.9000000000000004"/>
    <n v="0"/>
    <x v="12"/>
    <x v="12"/>
  </r>
  <r>
    <d v="2022-12-19T00:00:00"/>
    <n v="-5.6"/>
    <n v="0"/>
    <x v="12"/>
    <x v="12"/>
  </r>
  <r>
    <d v="2022-12-20T00:00:00"/>
    <n v="2.1"/>
    <n v="5"/>
    <x v="12"/>
    <x v="12"/>
  </r>
  <r>
    <d v="2022-12-21T00:00:00"/>
    <n v="1.9"/>
    <n v="8"/>
    <x v="12"/>
    <x v="12"/>
  </r>
  <r>
    <d v="2022-12-22T00:00:00"/>
    <n v="3.7"/>
    <n v="0"/>
    <x v="12"/>
    <x v="12"/>
  </r>
  <r>
    <d v="2022-12-23T00:00:00"/>
    <n v="4.4000000000000004"/>
    <n v="0"/>
    <x v="12"/>
    <x v="12"/>
  </r>
  <r>
    <d v="2022-12-24T00:00:00"/>
    <n v="5.8"/>
    <n v="8"/>
    <x v="12"/>
    <x v="12"/>
  </r>
  <r>
    <d v="2022-12-25T00:00:00"/>
    <n v="6.2"/>
    <n v="0"/>
    <x v="12"/>
    <x v="12"/>
  </r>
  <r>
    <d v="2022-12-26T00:00:00"/>
    <n v="8"/>
    <n v="0"/>
    <x v="12"/>
    <x v="12"/>
  </r>
  <r>
    <d v="2022-12-27T00:00:00"/>
    <n v="5.9"/>
    <n v="0"/>
    <x v="12"/>
    <x v="12"/>
  </r>
  <r>
    <d v="2022-12-28T00:00:00"/>
    <n v="3.2"/>
    <n v="0"/>
    <x v="12"/>
    <x v="12"/>
  </r>
  <r>
    <d v="2022-12-29T00:00:00"/>
    <n v="4.7"/>
    <n v="0"/>
    <x v="12"/>
    <x v="12"/>
  </r>
  <r>
    <d v="2022-12-30T00:00:00"/>
    <n v="5.0999999999999996"/>
    <n v="0"/>
    <x v="12"/>
    <x v="12"/>
  </r>
  <r>
    <d v="2022-12-31T00:00:00"/>
    <n v="9.3000000000000007"/>
    <n v="0"/>
    <x v="12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n v="9.8000000000000007"/>
    <n v="5"/>
    <x v="0"/>
    <n v="0"/>
    <n v="0"/>
  </r>
  <r>
    <d v="2022-01-02T00:00:00"/>
    <n v="8.1"/>
    <n v="1"/>
    <x v="0"/>
    <n v="0"/>
    <n v="0"/>
  </r>
  <r>
    <d v="2022-01-03T00:00:00"/>
    <n v="9"/>
    <n v="2"/>
    <x v="0"/>
    <n v="0"/>
    <n v="0"/>
  </r>
  <r>
    <d v="2022-01-04T00:00:00"/>
    <n v="7.3"/>
    <n v="1"/>
    <x v="0"/>
    <n v="0"/>
    <n v="0"/>
  </r>
  <r>
    <d v="2022-01-05T00:00:00"/>
    <n v="5.7"/>
    <n v="5"/>
    <x v="0"/>
    <n v="0"/>
    <n v="0"/>
  </r>
  <r>
    <d v="2022-01-06T00:00:00"/>
    <n v="1.7"/>
    <n v="0"/>
    <x v="0"/>
    <n v="1"/>
    <n v="1"/>
  </r>
  <r>
    <d v="2022-01-07T00:00:00"/>
    <n v="-1.4"/>
    <n v="0"/>
    <x v="0"/>
    <n v="2"/>
    <n v="1"/>
  </r>
  <r>
    <d v="2022-01-08T00:00:00"/>
    <n v="-1.5"/>
    <n v="0"/>
    <x v="0"/>
    <n v="3"/>
    <n v="1"/>
  </r>
  <r>
    <d v="2022-01-09T00:00:00"/>
    <n v="-1.2"/>
    <n v="0"/>
    <x v="0"/>
    <n v="4"/>
    <n v="1"/>
  </r>
  <r>
    <d v="2022-01-10T00:00:00"/>
    <n v="-3.8"/>
    <n v="0"/>
    <x v="0"/>
    <n v="5"/>
    <n v="1"/>
  </r>
  <r>
    <d v="2022-01-11T00:00:00"/>
    <n v="-2.7"/>
    <n v="0"/>
    <x v="0"/>
    <n v="6"/>
    <n v="1"/>
  </r>
  <r>
    <d v="2022-01-12T00:00:00"/>
    <n v="-3.9"/>
    <n v="0"/>
    <x v="0"/>
    <n v="7"/>
    <n v="1"/>
  </r>
  <r>
    <d v="2022-01-13T00:00:00"/>
    <n v="1.6"/>
    <n v="0"/>
    <x v="0"/>
    <n v="8"/>
    <n v="1"/>
  </r>
  <r>
    <d v="2022-01-14T00:00:00"/>
    <n v="3.1"/>
    <n v="0"/>
    <x v="0"/>
    <n v="9"/>
    <n v="1"/>
  </r>
  <r>
    <d v="2022-01-15T00:00:00"/>
    <n v="1.2"/>
    <n v="0"/>
    <x v="0"/>
    <n v="10"/>
    <n v="1"/>
  </r>
  <r>
    <d v="2022-01-16T00:00:00"/>
    <n v="-0.8"/>
    <n v="0"/>
    <x v="0"/>
    <n v="11"/>
    <n v="1"/>
  </r>
  <r>
    <d v="2022-01-17T00:00:00"/>
    <n v="1.8"/>
    <n v="1"/>
    <x v="0"/>
    <n v="0"/>
    <n v="0"/>
  </r>
  <r>
    <d v="2022-01-18T00:00:00"/>
    <n v="-0.2"/>
    <n v="0"/>
    <x v="0"/>
    <n v="1"/>
    <n v="1"/>
  </r>
  <r>
    <d v="2022-01-19T00:00:00"/>
    <n v="1"/>
    <n v="0"/>
    <x v="0"/>
    <n v="2"/>
    <n v="1"/>
  </r>
  <r>
    <d v="2022-01-20T00:00:00"/>
    <n v="0.5"/>
    <n v="1"/>
    <x v="0"/>
    <n v="0"/>
    <n v="0"/>
  </r>
  <r>
    <d v="2022-01-21T00:00:00"/>
    <n v="-2.4"/>
    <n v="0"/>
    <x v="0"/>
    <n v="1"/>
    <n v="1"/>
  </r>
  <r>
    <d v="2022-01-22T00:00:00"/>
    <n v="-2.5"/>
    <n v="0"/>
    <x v="0"/>
    <n v="2"/>
    <n v="1"/>
  </r>
  <r>
    <d v="2022-01-23T00:00:00"/>
    <n v="-3.1"/>
    <n v="0"/>
    <x v="0"/>
    <n v="3"/>
    <n v="1"/>
  </r>
  <r>
    <d v="2022-01-24T00:00:00"/>
    <n v="-6.6"/>
    <n v="0"/>
    <x v="0"/>
    <n v="4"/>
    <n v="1"/>
  </r>
  <r>
    <d v="2022-01-25T00:00:00"/>
    <n v="0.2"/>
    <n v="0"/>
    <x v="0"/>
    <n v="5"/>
    <n v="1"/>
  </r>
  <r>
    <d v="2022-01-26T00:00:00"/>
    <n v="1.6"/>
    <n v="1"/>
    <x v="0"/>
    <n v="0"/>
    <n v="0"/>
  </r>
  <r>
    <d v="2022-01-27T00:00:00"/>
    <n v="1.6"/>
    <n v="2"/>
    <x v="0"/>
    <n v="0"/>
    <n v="0"/>
  </r>
  <r>
    <d v="2022-01-28T00:00:00"/>
    <n v="2.2000000000000002"/>
    <n v="3"/>
    <x v="0"/>
    <n v="0"/>
    <n v="0"/>
  </r>
  <r>
    <d v="2022-01-29T00:00:00"/>
    <n v="1.6"/>
    <n v="0"/>
    <x v="0"/>
    <n v="1"/>
    <n v="1"/>
  </r>
  <r>
    <d v="2022-01-30T00:00:00"/>
    <n v="4"/>
    <n v="6"/>
    <x v="0"/>
    <n v="0"/>
    <n v="0"/>
  </r>
  <r>
    <d v="2022-01-31T00:00:00"/>
    <n v="1.7"/>
    <n v="0"/>
    <x v="0"/>
    <n v="0"/>
    <n v="1"/>
  </r>
  <r>
    <d v="2022-02-01T00:00:00"/>
    <n v="0.8"/>
    <n v="0"/>
    <x v="1"/>
    <n v="1"/>
    <n v="1"/>
  </r>
  <r>
    <d v="2022-02-02T00:00:00"/>
    <n v="2"/>
    <n v="8"/>
    <x v="1"/>
    <n v="0"/>
    <n v="0"/>
  </r>
  <r>
    <d v="2022-02-03T00:00:00"/>
    <n v="0.4"/>
    <n v="1"/>
    <x v="1"/>
    <n v="0"/>
    <n v="0"/>
  </r>
  <r>
    <d v="2022-02-04T00:00:00"/>
    <n v="2.1"/>
    <n v="1"/>
    <x v="1"/>
    <n v="0"/>
    <n v="0"/>
  </r>
  <r>
    <d v="2022-02-05T00:00:00"/>
    <n v="3.4"/>
    <n v="0"/>
    <x v="1"/>
    <n v="1"/>
    <n v="1"/>
  </r>
  <r>
    <d v="2022-02-06T00:00:00"/>
    <n v="4.5"/>
    <n v="0"/>
    <x v="1"/>
    <n v="2"/>
    <n v="1"/>
  </r>
  <r>
    <d v="2022-02-07T00:00:00"/>
    <n v="3.6"/>
    <n v="0"/>
    <x v="1"/>
    <n v="3"/>
    <n v="1"/>
  </r>
  <r>
    <d v="2022-02-08T00:00:00"/>
    <n v="3.6"/>
    <n v="1"/>
    <x v="1"/>
    <n v="0"/>
    <n v="0"/>
  </r>
  <r>
    <d v="2022-02-09T00:00:00"/>
    <n v="6.8"/>
    <n v="2"/>
    <x v="1"/>
    <n v="0"/>
    <n v="0"/>
  </r>
  <r>
    <d v="2022-02-10T00:00:00"/>
    <n v="6.8"/>
    <n v="0"/>
    <x v="1"/>
    <n v="1"/>
    <n v="1"/>
  </r>
  <r>
    <d v="2022-02-11T00:00:00"/>
    <n v="5.8"/>
    <n v="0"/>
    <x v="1"/>
    <n v="2"/>
    <n v="1"/>
  </r>
  <r>
    <d v="2022-02-12T00:00:00"/>
    <n v="1.3"/>
    <n v="0"/>
    <x v="1"/>
    <n v="3"/>
    <n v="1"/>
  </r>
  <r>
    <d v="2022-02-13T00:00:00"/>
    <n v="2.2999999999999998"/>
    <n v="0"/>
    <x v="1"/>
    <n v="4"/>
    <n v="1"/>
  </r>
  <r>
    <d v="2022-02-14T00:00:00"/>
    <n v="4.5"/>
    <n v="0"/>
    <x v="1"/>
    <n v="5"/>
    <n v="1"/>
  </r>
  <r>
    <d v="2022-02-15T00:00:00"/>
    <n v="5.6"/>
    <n v="0"/>
    <x v="1"/>
    <n v="6"/>
    <n v="1"/>
  </r>
  <r>
    <d v="2022-02-16T00:00:00"/>
    <n v="6.4"/>
    <n v="0"/>
    <x v="1"/>
    <n v="7"/>
    <n v="1"/>
  </r>
  <r>
    <d v="2022-02-17T00:00:00"/>
    <n v="7.4"/>
    <n v="9"/>
    <x v="1"/>
    <n v="0"/>
    <n v="0"/>
  </r>
  <r>
    <d v="2022-02-18T00:00:00"/>
    <n v="6.9"/>
    <n v="0"/>
    <x v="1"/>
    <n v="1"/>
    <n v="1"/>
  </r>
  <r>
    <d v="2022-02-19T00:00:00"/>
    <n v="8.8000000000000007"/>
    <n v="0"/>
    <x v="1"/>
    <n v="2"/>
    <n v="1"/>
  </r>
  <r>
    <d v="2022-02-20T00:00:00"/>
    <n v="5.2"/>
    <n v="0"/>
    <x v="1"/>
    <n v="3"/>
    <n v="1"/>
  </r>
  <r>
    <d v="2022-02-21T00:00:00"/>
    <n v="7.2"/>
    <n v="1"/>
    <x v="1"/>
    <n v="0"/>
    <n v="0"/>
  </r>
  <r>
    <d v="2022-02-22T00:00:00"/>
    <n v="4.5999999999999996"/>
    <n v="0"/>
    <x v="1"/>
    <n v="1"/>
    <n v="1"/>
  </r>
  <r>
    <d v="2022-02-23T00:00:00"/>
    <n v="4.5999999999999996"/>
    <n v="0"/>
    <x v="1"/>
    <n v="2"/>
    <n v="1"/>
  </r>
  <r>
    <d v="2022-02-24T00:00:00"/>
    <n v="5.2"/>
    <n v="0"/>
    <x v="1"/>
    <n v="3"/>
    <n v="1"/>
  </r>
  <r>
    <d v="2022-02-25T00:00:00"/>
    <n v="3.9"/>
    <n v="0"/>
    <x v="1"/>
    <n v="4"/>
    <n v="1"/>
  </r>
  <r>
    <d v="2022-02-26T00:00:00"/>
    <n v="1.9"/>
    <n v="0"/>
    <x v="1"/>
    <n v="5"/>
    <n v="1"/>
  </r>
  <r>
    <d v="2022-02-27T00:00:00"/>
    <n v="1.2"/>
    <n v="0"/>
    <x v="1"/>
    <n v="6"/>
    <n v="1"/>
  </r>
  <r>
    <d v="2022-02-28T00:00:00"/>
    <n v="-0.9"/>
    <n v="0"/>
    <x v="1"/>
    <n v="0"/>
    <n v="1"/>
  </r>
  <r>
    <d v="2022-03-01T00:00:00"/>
    <n v="-1.4"/>
    <n v="0"/>
    <x v="2"/>
    <n v="1"/>
    <n v="1"/>
  </r>
  <r>
    <d v="2022-03-02T00:00:00"/>
    <n v="0.3"/>
    <n v="0"/>
    <x v="2"/>
    <n v="2"/>
    <n v="1"/>
  </r>
  <r>
    <d v="2022-03-03T00:00:00"/>
    <n v="2"/>
    <n v="0"/>
    <x v="2"/>
    <n v="3"/>
    <n v="1"/>
  </r>
  <r>
    <d v="2022-03-04T00:00:00"/>
    <n v="0.6"/>
    <n v="0"/>
    <x v="2"/>
    <n v="4"/>
    <n v="1"/>
  </r>
  <r>
    <d v="2022-03-05T00:00:00"/>
    <n v="0.7"/>
    <n v="0"/>
    <x v="2"/>
    <n v="5"/>
    <n v="1"/>
  </r>
  <r>
    <d v="2022-03-06T00:00:00"/>
    <n v="0"/>
    <n v="0"/>
    <x v="2"/>
    <n v="6"/>
    <n v="1"/>
  </r>
  <r>
    <d v="2022-03-07T00:00:00"/>
    <n v="0"/>
    <n v="0"/>
    <x v="2"/>
    <n v="7"/>
    <n v="1"/>
  </r>
  <r>
    <d v="2022-03-08T00:00:00"/>
    <n v="1.3"/>
    <n v="0"/>
    <x v="2"/>
    <n v="8"/>
    <n v="1"/>
  </r>
  <r>
    <d v="2022-03-09T00:00:00"/>
    <n v="2"/>
    <n v="2"/>
    <x v="2"/>
    <n v="0"/>
    <n v="0"/>
  </r>
  <r>
    <d v="2022-03-10T00:00:00"/>
    <n v="-1.6"/>
    <n v="0"/>
    <x v="2"/>
    <n v="1"/>
    <n v="1"/>
  </r>
  <r>
    <d v="2022-03-11T00:00:00"/>
    <n v="-2.6"/>
    <n v="0"/>
    <x v="2"/>
    <n v="2"/>
    <n v="1"/>
  </r>
  <r>
    <d v="2022-03-12T00:00:00"/>
    <n v="-0.2"/>
    <n v="0"/>
    <x v="2"/>
    <n v="3"/>
    <n v="1"/>
  </r>
  <r>
    <d v="2022-03-13T00:00:00"/>
    <n v="3.1"/>
    <n v="0"/>
    <x v="2"/>
    <n v="4"/>
    <n v="1"/>
  </r>
  <r>
    <d v="2022-03-14T00:00:00"/>
    <n v="5.5"/>
    <n v="0"/>
    <x v="2"/>
    <n v="5"/>
    <n v="1"/>
  </r>
  <r>
    <d v="2022-03-15T00:00:00"/>
    <n v="8.6"/>
    <n v="0"/>
    <x v="2"/>
    <n v="6"/>
    <n v="1"/>
  </r>
  <r>
    <d v="2022-03-16T00:00:00"/>
    <n v="7.8"/>
    <n v="0"/>
    <x v="2"/>
    <n v="7"/>
    <n v="1"/>
  </r>
  <r>
    <d v="2022-03-17T00:00:00"/>
    <n v="3.7"/>
    <n v="0"/>
    <x v="2"/>
    <n v="8"/>
    <n v="1"/>
  </r>
  <r>
    <d v="2022-03-18T00:00:00"/>
    <n v="3"/>
    <n v="0"/>
    <x v="2"/>
    <n v="9"/>
    <n v="1"/>
  </r>
  <r>
    <d v="2022-03-19T00:00:00"/>
    <n v="2.1"/>
    <n v="0"/>
    <x v="2"/>
    <n v="10"/>
    <n v="1"/>
  </r>
  <r>
    <d v="2022-03-20T00:00:00"/>
    <n v="3.2"/>
    <n v="0"/>
    <x v="2"/>
    <n v="11"/>
    <n v="1"/>
  </r>
  <r>
    <d v="2022-03-21T00:00:00"/>
    <n v="4.9000000000000004"/>
    <n v="0"/>
    <x v="2"/>
    <n v="12"/>
    <n v="1"/>
  </r>
  <r>
    <d v="2022-03-22T00:00:00"/>
    <n v="7.8"/>
    <n v="0"/>
    <x v="2"/>
    <n v="13"/>
    <n v="1"/>
  </r>
  <r>
    <d v="2022-03-23T00:00:00"/>
    <n v="9.1999999999999993"/>
    <n v="0"/>
    <x v="2"/>
    <n v="14"/>
    <n v="1"/>
  </r>
  <r>
    <d v="2022-03-24T00:00:00"/>
    <n v="7.2"/>
    <n v="0"/>
    <x v="2"/>
    <n v="15"/>
    <n v="1"/>
  </r>
  <r>
    <d v="2022-03-25T00:00:00"/>
    <n v="8.5"/>
    <n v="0"/>
    <x v="2"/>
    <n v="16"/>
    <n v="1"/>
  </r>
  <r>
    <d v="2022-03-26T00:00:00"/>
    <n v="10.199999999999999"/>
    <n v="0"/>
    <x v="2"/>
    <n v="17"/>
    <n v="1"/>
  </r>
  <r>
    <d v="2022-03-27T00:00:00"/>
    <n v="5.7"/>
    <n v="0"/>
    <x v="2"/>
    <n v="18"/>
    <n v="1"/>
  </r>
  <r>
    <d v="2022-03-28T00:00:00"/>
    <n v="10.3"/>
    <n v="0"/>
    <x v="2"/>
    <n v="19"/>
    <n v="1"/>
  </r>
  <r>
    <d v="2022-03-29T00:00:00"/>
    <n v="11.4"/>
    <n v="0"/>
    <x v="2"/>
    <n v="20"/>
    <n v="1"/>
  </r>
  <r>
    <d v="2022-03-30T00:00:00"/>
    <n v="8.5"/>
    <n v="3"/>
    <x v="2"/>
    <n v="0"/>
    <n v="0"/>
  </r>
  <r>
    <d v="2022-03-31T00:00:00"/>
    <n v="3.9"/>
    <n v="11"/>
    <x v="2"/>
    <n v="0"/>
    <n v="0"/>
  </r>
  <r>
    <d v="2022-04-01T00:00:00"/>
    <n v="1"/>
    <n v="13"/>
    <x v="3"/>
    <n v="0"/>
    <n v="0"/>
  </r>
  <r>
    <d v="2022-04-02T00:00:00"/>
    <n v="-0.1"/>
    <n v="0"/>
    <x v="3"/>
    <n v="1"/>
    <n v="1"/>
  </r>
  <r>
    <d v="2022-04-03T00:00:00"/>
    <n v="0.2"/>
    <n v="2"/>
    <x v="3"/>
    <n v="0"/>
    <n v="0"/>
  </r>
  <r>
    <d v="2022-04-04T00:00:00"/>
    <n v="2.8"/>
    <n v="0"/>
    <x v="3"/>
    <n v="1"/>
    <n v="1"/>
  </r>
  <r>
    <d v="2022-04-05T00:00:00"/>
    <n v="5.7"/>
    <n v="1"/>
    <x v="3"/>
    <n v="0"/>
    <n v="0"/>
  </r>
  <r>
    <d v="2022-04-06T00:00:00"/>
    <n v="11.6"/>
    <n v="0"/>
    <x v="3"/>
    <n v="1"/>
    <n v="1"/>
  </r>
  <r>
    <d v="2022-04-07T00:00:00"/>
    <n v="14.3"/>
    <n v="0"/>
    <x v="3"/>
    <n v="2"/>
    <n v="1"/>
  </r>
  <r>
    <d v="2022-04-08T00:00:00"/>
    <n v="11.3"/>
    <n v="4"/>
    <x v="3"/>
    <n v="0"/>
    <n v="0"/>
  </r>
  <r>
    <d v="2022-04-09T00:00:00"/>
    <n v="5.8"/>
    <n v="1"/>
    <x v="3"/>
    <n v="0"/>
    <n v="0"/>
  </r>
  <r>
    <d v="2022-04-10T00:00:00"/>
    <n v="4.3"/>
    <n v="0"/>
    <x v="3"/>
    <n v="1"/>
    <n v="1"/>
  </r>
  <r>
    <d v="2022-04-11T00:00:00"/>
    <n v="3.6"/>
    <n v="0"/>
    <x v="3"/>
    <n v="2"/>
    <n v="1"/>
  </r>
  <r>
    <d v="2022-04-12T00:00:00"/>
    <n v="6.8"/>
    <n v="0"/>
    <x v="3"/>
    <n v="3"/>
    <n v="1"/>
  </r>
  <r>
    <d v="2022-04-13T00:00:00"/>
    <n v="9.1999999999999993"/>
    <n v="0"/>
    <x v="3"/>
    <n v="4"/>
    <n v="1"/>
  </r>
  <r>
    <d v="2022-04-14T00:00:00"/>
    <n v="13.9"/>
    <n v="0"/>
    <x v="3"/>
    <n v="5"/>
    <n v="1"/>
  </r>
  <r>
    <d v="2022-04-15T00:00:00"/>
    <n v="11.3"/>
    <n v="2"/>
    <x v="3"/>
    <n v="0"/>
    <n v="0"/>
  </r>
  <r>
    <d v="2022-04-16T00:00:00"/>
    <n v="6.9"/>
    <n v="4"/>
    <x v="3"/>
    <n v="0"/>
    <n v="0"/>
  </r>
  <r>
    <d v="2022-04-17T00:00:00"/>
    <n v="6.2"/>
    <n v="0"/>
    <x v="3"/>
    <n v="1"/>
    <n v="1"/>
  </r>
  <r>
    <d v="2022-04-18T00:00:00"/>
    <n v="5.4"/>
    <n v="0"/>
    <x v="3"/>
    <n v="2"/>
    <n v="1"/>
  </r>
  <r>
    <d v="2022-04-19T00:00:00"/>
    <n v="5.3"/>
    <n v="0"/>
    <x v="3"/>
    <n v="3"/>
    <n v="1"/>
  </r>
  <r>
    <d v="2022-04-20T00:00:00"/>
    <n v="4.7"/>
    <n v="0"/>
    <x v="3"/>
    <n v="4"/>
    <n v="1"/>
  </r>
  <r>
    <d v="2022-04-21T00:00:00"/>
    <n v="7.7"/>
    <n v="0"/>
    <x v="3"/>
    <n v="5"/>
    <n v="1"/>
  </r>
  <r>
    <d v="2022-04-22T00:00:00"/>
    <n v="7.7"/>
    <n v="0"/>
    <x v="3"/>
    <n v="6"/>
    <n v="1"/>
  </r>
  <r>
    <d v="2022-04-23T00:00:00"/>
    <n v="8.6"/>
    <n v="0"/>
    <x v="3"/>
    <n v="7"/>
    <n v="1"/>
  </r>
  <r>
    <d v="2022-04-24T00:00:00"/>
    <n v="9.4"/>
    <n v="0"/>
    <x v="3"/>
    <n v="8"/>
    <n v="1"/>
  </r>
  <r>
    <d v="2022-04-25T00:00:00"/>
    <n v="11.1"/>
    <n v="18"/>
    <x v="3"/>
    <n v="0"/>
    <n v="0"/>
  </r>
  <r>
    <d v="2022-04-26T00:00:00"/>
    <n v="9.5"/>
    <n v="0"/>
    <x v="3"/>
    <n v="1"/>
    <n v="1"/>
  </r>
  <r>
    <d v="2022-04-27T00:00:00"/>
    <n v="9.8000000000000007"/>
    <n v="0"/>
    <x v="3"/>
    <n v="2"/>
    <n v="1"/>
  </r>
  <r>
    <d v="2022-04-28T00:00:00"/>
    <n v="12.1"/>
    <n v="0"/>
    <x v="3"/>
    <n v="3"/>
    <n v="1"/>
  </r>
  <r>
    <d v="2022-04-29T00:00:00"/>
    <n v="11.1"/>
    <n v="0"/>
    <x v="3"/>
    <n v="4"/>
    <n v="1"/>
  </r>
  <r>
    <d v="2022-04-30T00:00:00"/>
    <n v="3.9"/>
    <n v="11"/>
    <x v="3"/>
    <n v="0"/>
    <n v="0"/>
  </r>
  <r>
    <d v="2022-05-01T00:00:00"/>
    <n v="12.8"/>
    <n v="0"/>
    <x v="4"/>
    <n v="1"/>
    <n v="1"/>
  </r>
  <r>
    <d v="2022-05-02T00:00:00"/>
    <n v="14.4"/>
    <n v="0"/>
    <x v="4"/>
    <n v="2"/>
    <n v="1"/>
  </r>
  <r>
    <d v="2022-05-03T00:00:00"/>
    <n v="15.3"/>
    <n v="0"/>
    <x v="4"/>
    <n v="3"/>
    <n v="1"/>
  </r>
  <r>
    <d v="2022-05-04T00:00:00"/>
    <n v="15.4"/>
    <n v="0"/>
    <x v="4"/>
    <n v="4"/>
    <n v="1"/>
  </r>
  <r>
    <d v="2022-05-05T00:00:00"/>
    <n v="16.100000000000001"/>
    <n v="0"/>
    <x v="4"/>
    <n v="5"/>
    <n v="1"/>
  </r>
  <r>
    <d v="2022-05-06T00:00:00"/>
    <n v="14.9"/>
    <n v="0"/>
    <x v="4"/>
    <n v="6"/>
    <n v="1"/>
  </r>
  <r>
    <d v="2022-05-07T00:00:00"/>
    <n v="16"/>
    <n v="0"/>
    <x v="4"/>
    <n v="7"/>
    <n v="1"/>
  </r>
  <r>
    <d v="2022-05-08T00:00:00"/>
    <n v="16.3"/>
    <n v="0"/>
    <x v="4"/>
    <n v="8"/>
    <n v="1"/>
  </r>
  <r>
    <d v="2022-05-09T00:00:00"/>
    <n v="15.5"/>
    <n v="0"/>
    <x v="4"/>
    <n v="9"/>
    <n v="1"/>
  </r>
  <r>
    <d v="2022-05-10T00:00:00"/>
    <n v="15"/>
    <n v="0"/>
    <x v="4"/>
    <n v="10"/>
    <n v="1"/>
  </r>
  <r>
    <d v="2022-05-11T00:00:00"/>
    <n v="18.600000000000001"/>
    <n v="0"/>
    <x v="4"/>
    <n v="11"/>
    <n v="1"/>
  </r>
  <r>
    <d v="2022-05-12T00:00:00"/>
    <n v="22.2"/>
    <n v="0"/>
    <x v="4"/>
    <n v="12"/>
    <n v="1"/>
  </r>
  <r>
    <d v="2022-05-13T00:00:00"/>
    <n v="17.399999999999999"/>
    <n v="0"/>
    <x v="4"/>
    <n v="13"/>
    <n v="1"/>
  </r>
  <r>
    <d v="2022-05-14T00:00:00"/>
    <n v="16.2"/>
    <n v="0"/>
    <x v="4"/>
    <n v="14"/>
    <n v="1"/>
  </r>
  <r>
    <d v="2022-05-15T00:00:00"/>
    <n v="16.399999999999999"/>
    <n v="0"/>
    <x v="4"/>
    <n v="15"/>
    <n v="1"/>
  </r>
  <r>
    <d v="2022-05-16T00:00:00"/>
    <n v="15.9"/>
    <n v="0"/>
    <x v="4"/>
    <n v="16"/>
    <n v="1"/>
  </r>
  <r>
    <d v="2022-05-17T00:00:00"/>
    <n v="15.8"/>
    <n v="0"/>
    <x v="4"/>
    <n v="17"/>
    <n v="1"/>
  </r>
  <r>
    <d v="2022-05-18T00:00:00"/>
    <n v="12.4"/>
    <n v="0"/>
    <x v="4"/>
    <n v="18"/>
    <n v="1"/>
  </r>
  <r>
    <d v="2022-05-19T00:00:00"/>
    <n v="16"/>
    <n v="0"/>
    <x v="4"/>
    <n v="19"/>
    <n v="1"/>
  </r>
  <r>
    <d v="2022-05-20T00:00:00"/>
    <n v="20.3"/>
    <n v="0"/>
    <x v="4"/>
    <n v="20"/>
    <n v="1"/>
  </r>
  <r>
    <d v="2022-05-21T00:00:00"/>
    <n v="19.8"/>
    <n v="1"/>
    <x v="4"/>
    <n v="0"/>
    <n v="0"/>
  </r>
  <r>
    <d v="2022-05-22T00:00:00"/>
    <n v="14.1"/>
    <n v="0"/>
    <x v="4"/>
    <n v="1"/>
    <n v="1"/>
  </r>
  <r>
    <d v="2022-05-23T00:00:00"/>
    <n v="13.1"/>
    <n v="0"/>
    <x v="4"/>
    <n v="2"/>
    <n v="1"/>
  </r>
  <r>
    <d v="2022-05-24T00:00:00"/>
    <n v="16.100000000000001"/>
    <n v="0"/>
    <x v="4"/>
    <n v="3"/>
    <n v="1"/>
  </r>
  <r>
    <d v="2022-05-25T00:00:00"/>
    <n v="16.100000000000001"/>
    <n v="0"/>
    <x v="4"/>
    <n v="4"/>
    <n v="1"/>
  </r>
  <r>
    <d v="2022-05-26T00:00:00"/>
    <n v="16.7"/>
    <n v="0"/>
    <x v="4"/>
    <n v="5"/>
    <n v="1"/>
  </r>
  <r>
    <d v="2022-05-27T00:00:00"/>
    <n v="16"/>
    <n v="0"/>
    <x v="4"/>
    <n v="6"/>
    <n v="1"/>
  </r>
  <r>
    <d v="2022-05-28T00:00:00"/>
    <n v="12.3"/>
    <n v="0"/>
    <x v="4"/>
    <n v="7"/>
    <n v="1"/>
  </r>
  <r>
    <d v="2022-05-29T00:00:00"/>
    <n v="13.3"/>
    <n v="0"/>
    <x v="4"/>
    <n v="8"/>
    <n v="1"/>
  </r>
  <r>
    <d v="2022-05-30T00:00:00"/>
    <n v="14.2"/>
    <n v="1"/>
    <x v="4"/>
    <n v="0"/>
    <n v="0"/>
  </r>
  <r>
    <d v="2022-05-31T00:00:00"/>
    <n v="17.2"/>
    <n v="0"/>
    <x v="4"/>
    <n v="0"/>
    <n v="1"/>
  </r>
  <r>
    <d v="2022-06-01T00:00:00"/>
    <n v="19"/>
    <n v="0"/>
    <x v="5"/>
    <n v="1"/>
    <n v="1"/>
  </r>
  <r>
    <d v="2022-06-02T00:00:00"/>
    <n v="16.899999999999999"/>
    <n v="1"/>
    <x v="5"/>
    <n v="0"/>
    <n v="0"/>
  </r>
  <r>
    <d v="2022-06-03T00:00:00"/>
    <n v="18.399999999999999"/>
    <n v="0"/>
    <x v="5"/>
    <n v="1"/>
    <n v="1"/>
  </r>
  <r>
    <d v="2022-06-04T00:00:00"/>
    <n v="17.5"/>
    <n v="0"/>
    <x v="5"/>
    <n v="2"/>
    <n v="1"/>
  </r>
  <r>
    <d v="2022-06-05T00:00:00"/>
    <n v="19.899999999999999"/>
    <n v="0"/>
    <x v="5"/>
    <n v="3"/>
    <n v="1"/>
  </r>
  <r>
    <d v="2022-06-06T00:00:00"/>
    <n v="21"/>
    <n v="0"/>
    <x v="5"/>
    <n v="4"/>
    <n v="1"/>
  </r>
  <r>
    <d v="2022-06-07T00:00:00"/>
    <n v="22.7"/>
    <n v="0"/>
    <x v="5"/>
    <n v="5"/>
    <n v="1"/>
  </r>
  <r>
    <d v="2022-06-08T00:00:00"/>
    <n v="19.2"/>
    <n v="0"/>
    <x v="5"/>
    <n v="6"/>
    <n v="1"/>
  </r>
  <r>
    <d v="2022-06-09T00:00:00"/>
    <n v="18.600000000000001"/>
    <n v="43"/>
    <x v="5"/>
    <n v="0"/>
    <n v="0"/>
  </r>
  <r>
    <d v="2022-06-10T00:00:00"/>
    <n v="18.399999999999999"/>
    <n v="0"/>
    <x v="5"/>
    <n v="1"/>
    <n v="1"/>
  </r>
  <r>
    <d v="2022-06-11T00:00:00"/>
    <n v="19.399999999999999"/>
    <n v="0"/>
    <x v="5"/>
    <n v="2"/>
    <n v="1"/>
  </r>
  <r>
    <d v="2022-06-12T00:00:00"/>
    <n v="19.899999999999999"/>
    <n v="0"/>
    <x v="5"/>
    <n v="3"/>
    <n v="1"/>
  </r>
  <r>
    <d v="2022-06-13T00:00:00"/>
    <n v="18.100000000000001"/>
    <n v="7"/>
    <x v="5"/>
    <n v="0"/>
    <n v="0"/>
  </r>
  <r>
    <d v="2022-06-14T00:00:00"/>
    <n v="15.3"/>
    <n v="0"/>
    <x v="5"/>
    <n v="1"/>
    <n v="1"/>
  </r>
  <r>
    <d v="2022-06-15T00:00:00"/>
    <n v="16.100000000000001"/>
    <n v="0"/>
    <x v="5"/>
    <n v="2"/>
    <n v="1"/>
  </r>
  <r>
    <d v="2022-06-16T00:00:00"/>
    <n v="18.2"/>
    <n v="15"/>
    <x v="5"/>
    <n v="0"/>
    <n v="0"/>
  </r>
  <r>
    <d v="2022-06-17T00:00:00"/>
    <n v="17.899999999999999"/>
    <n v="0"/>
    <x v="5"/>
    <n v="1"/>
    <n v="1"/>
  </r>
  <r>
    <d v="2022-06-18T00:00:00"/>
    <n v="20.100000000000001"/>
    <n v="0"/>
    <x v="5"/>
    <n v="2"/>
    <n v="1"/>
  </r>
  <r>
    <d v="2022-06-19T00:00:00"/>
    <n v="24.6"/>
    <n v="0"/>
    <x v="5"/>
    <n v="3"/>
    <n v="1"/>
  </r>
  <r>
    <d v="2022-06-20T00:00:00"/>
    <n v="24.7"/>
    <n v="0"/>
    <x v="5"/>
    <n v="4"/>
    <n v="1"/>
  </r>
  <r>
    <d v="2022-06-21T00:00:00"/>
    <n v="16.399999999999999"/>
    <n v="0"/>
    <x v="5"/>
    <n v="5"/>
    <n v="1"/>
  </r>
  <r>
    <d v="2022-06-22T00:00:00"/>
    <n v="18.7"/>
    <n v="0"/>
    <x v="5"/>
    <n v="6"/>
    <n v="1"/>
  </r>
  <r>
    <d v="2022-06-23T00:00:00"/>
    <n v="19.100000000000001"/>
    <n v="0"/>
    <x v="5"/>
    <n v="7"/>
    <n v="1"/>
  </r>
  <r>
    <d v="2022-06-24T00:00:00"/>
    <n v="21.4"/>
    <n v="0"/>
    <x v="5"/>
    <n v="8"/>
    <n v="1"/>
  </r>
  <r>
    <d v="2022-06-25T00:00:00"/>
    <n v="24.4"/>
    <n v="0"/>
    <x v="5"/>
    <n v="9"/>
    <n v="1"/>
  </r>
  <r>
    <d v="2022-06-26T00:00:00"/>
    <n v="24.1"/>
    <n v="0"/>
    <x v="5"/>
    <n v="10"/>
    <n v="1"/>
  </r>
  <r>
    <d v="2022-06-27T00:00:00"/>
    <n v="26.1"/>
    <n v="0"/>
    <x v="5"/>
    <n v="11"/>
    <n v="1"/>
  </r>
  <r>
    <d v="2022-06-28T00:00:00"/>
    <n v="24.6"/>
    <n v="1"/>
    <x v="5"/>
    <n v="0"/>
    <n v="0"/>
  </r>
  <r>
    <d v="2022-06-29T00:00:00"/>
    <n v="24.9"/>
    <n v="0"/>
    <x v="5"/>
    <n v="1"/>
    <n v="1"/>
  </r>
  <r>
    <d v="2022-06-30T00:00:00"/>
    <n v="29"/>
    <n v="0"/>
    <x v="5"/>
    <n v="0"/>
    <n v="1"/>
  </r>
  <r>
    <d v="2022-07-01T00:00:00"/>
    <n v="29.9"/>
    <n v="0"/>
    <x v="6"/>
    <n v="1"/>
    <n v="1"/>
  </r>
  <r>
    <d v="2022-07-02T00:00:00"/>
    <n v="19.7"/>
    <n v="0"/>
    <x v="6"/>
    <n v="2"/>
    <n v="1"/>
  </r>
  <r>
    <d v="2022-07-03T00:00:00"/>
    <n v="21.6"/>
    <n v="0"/>
    <x v="6"/>
    <n v="3"/>
    <n v="1"/>
  </r>
  <r>
    <d v="2022-07-04T00:00:00"/>
    <n v="24.1"/>
    <n v="0"/>
    <x v="6"/>
    <n v="4"/>
    <n v="1"/>
  </r>
  <r>
    <d v="2022-07-05T00:00:00"/>
    <n v="19.8"/>
    <n v="17"/>
    <x v="6"/>
    <n v="0"/>
    <n v="0"/>
  </r>
  <r>
    <d v="2022-07-06T00:00:00"/>
    <n v="17.600000000000001"/>
    <n v="21"/>
    <x v="6"/>
    <n v="0"/>
    <n v="0"/>
  </r>
  <r>
    <d v="2022-07-07T00:00:00"/>
    <n v="18.2"/>
    <n v="0"/>
    <x v="6"/>
    <n v="1"/>
    <n v="1"/>
  </r>
  <r>
    <d v="2022-07-08T00:00:00"/>
    <n v="17.399999999999999"/>
    <n v="0"/>
    <x v="6"/>
    <n v="2"/>
    <n v="1"/>
  </r>
  <r>
    <d v="2022-07-09T00:00:00"/>
    <n v="17.899999999999999"/>
    <n v="0"/>
    <x v="6"/>
    <n v="3"/>
    <n v="1"/>
  </r>
  <r>
    <d v="2022-07-10T00:00:00"/>
    <n v="16.100000000000001"/>
    <n v="4"/>
    <x v="6"/>
    <n v="0"/>
    <n v="0"/>
  </r>
  <r>
    <d v="2022-07-11T00:00:00"/>
    <n v="14"/>
    <n v="3"/>
    <x v="6"/>
    <n v="0"/>
    <n v="0"/>
  </r>
  <r>
    <d v="2022-07-12T00:00:00"/>
    <n v="16.3"/>
    <n v="2"/>
    <x v="6"/>
    <n v="0"/>
    <n v="0"/>
  </r>
  <r>
    <d v="2022-07-13T00:00:00"/>
    <n v="21.7"/>
    <n v="0"/>
    <x v="6"/>
    <n v="1"/>
    <n v="1"/>
  </r>
  <r>
    <d v="2022-07-14T00:00:00"/>
    <n v="23.2"/>
    <n v="4"/>
    <x v="6"/>
    <n v="0"/>
    <n v="0"/>
  </r>
  <r>
    <d v="2022-07-15T00:00:00"/>
    <n v="19.100000000000001"/>
    <n v="2"/>
    <x v="6"/>
    <n v="0"/>
    <n v="0"/>
  </r>
  <r>
    <d v="2022-07-16T00:00:00"/>
    <n v="16.100000000000001"/>
    <n v="0"/>
    <x v="6"/>
    <n v="1"/>
    <n v="1"/>
  </r>
  <r>
    <d v="2022-07-17T00:00:00"/>
    <n v="17.100000000000001"/>
    <n v="0"/>
    <x v="6"/>
    <n v="2"/>
    <n v="1"/>
  </r>
  <r>
    <d v="2022-07-18T00:00:00"/>
    <n v="18.7"/>
    <n v="0"/>
    <x v="6"/>
    <n v="3"/>
    <n v="1"/>
  </r>
  <r>
    <d v="2022-07-19T00:00:00"/>
    <n v="22.1"/>
    <n v="0"/>
    <x v="6"/>
    <n v="4"/>
    <n v="1"/>
  </r>
  <r>
    <d v="2022-07-20T00:00:00"/>
    <n v="24.6"/>
    <n v="0"/>
    <x v="6"/>
    <n v="5"/>
    <n v="1"/>
  </r>
  <r>
    <d v="2022-07-21T00:00:00"/>
    <n v="24.1"/>
    <n v="0"/>
    <x v="6"/>
    <n v="6"/>
    <n v="1"/>
  </r>
  <r>
    <d v="2022-07-22T00:00:00"/>
    <n v="25.6"/>
    <n v="0"/>
    <x v="6"/>
    <n v="7"/>
    <n v="1"/>
  </r>
  <r>
    <d v="2022-07-23T00:00:00"/>
    <n v="25"/>
    <n v="0"/>
    <x v="6"/>
    <n v="8"/>
    <n v="1"/>
  </r>
  <r>
    <d v="2022-07-24T00:00:00"/>
    <n v="21.8"/>
    <n v="0"/>
    <x v="6"/>
    <n v="9"/>
    <n v="1"/>
  </r>
  <r>
    <d v="2022-07-25T00:00:00"/>
    <n v="21.9"/>
    <n v="0"/>
    <x v="6"/>
    <n v="10"/>
    <n v="1"/>
  </r>
  <r>
    <d v="2022-07-26T00:00:00"/>
    <n v="20.399999999999999"/>
    <n v="3"/>
    <x v="6"/>
    <n v="0"/>
    <n v="0"/>
  </r>
  <r>
    <d v="2022-07-27T00:00:00"/>
    <n v="19.899999999999999"/>
    <n v="0"/>
    <x v="6"/>
    <n v="1"/>
    <n v="1"/>
  </r>
  <r>
    <d v="2022-07-28T00:00:00"/>
    <n v="19.899999999999999"/>
    <n v="7"/>
    <x v="6"/>
    <n v="0"/>
    <n v="0"/>
  </r>
  <r>
    <d v="2022-07-29T00:00:00"/>
    <n v="21.1"/>
    <n v="0"/>
    <x v="6"/>
    <n v="1"/>
    <n v="1"/>
  </r>
  <r>
    <d v="2022-07-30T00:00:00"/>
    <n v="20.7"/>
    <n v="37"/>
    <x v="6"/>
    <n v="0"/>
    <n v="0"/>
  </r>
  <r>
    <d v="2022-07-31T00:00:00"/>
    <n v="16.600000000000001"/>
    <n v="0"/>
    <x v="6"/>
    <n v="0"/>
    <n v="1"/>
  </r>
  <r>
    <d v="2022-08-01T00:00:00"/>
    <n v="19.7"/>
    <n v="5"/>
    <x v="7"/>
    <n v="0"/>
    <n v="0"/>
  </r>
  <r>
    <d v="2022-08-02T00:00:00"/>
    <n v="21"/>
    <n v="1"/>
    <x v="7"/>
    <n v="0"/>
    <n v="0"/>
  </r>
  <r>
    <d v="2022-08-03T00:00:00"/>
    <n v="21.9"/>
    <n v="0"/>
    <x v="7"/>
    <n v="1"/>
    <n v="1"/>
  </r>
  <r>
    <d v="2022-08-04T00:00:00"/>
    <n v="22.6"/>
    <n v="0"/>
    <x v="7"/>
    <n v="2"/>
    <n v="1"/>
  </r>
  <r>
    <d v="2022-08-05T00:00:00"/>
    <n v="24.4"/>
    <n v="0"/>
    <x v="7"/>
    <n v="3"/>
    <n v="1"/>
  </r>
  <r>
    <d v="2022-08-06T00:00:00"/>
    <n v="20.100000000000001"/>
    <n v="0"/>
    <x v="7"/>
    <n v="4"/>
    <n v="1"/>
  </r>
  <r>
    <d v="2022-08-07T00:00:00"/>
    <n v="18.5"/>
    <n v="0"/>
    <x v="7"/>
    <n v="5"/>
    <n v="1"/>
  </r>
  <r>
    <d v="2022-08-08T00:00:00"/>
    <n v="17.100000000000001"/>
    <n v="0"/>
    <x v="7"/>
    <n v="6"/>
    <n v="1"/>
  </r>
  <r>
    <d v="2022-08-09T00:00:00"/>
    <n v="19.600000000000001"/>
    <n v="0"/>
    <x v="7"/>
    <n v="7"/>
    <n v="1"/>
  </r>
  <r>
    <d v="2022-08-10T00:00:00"/>
    <n v="19.2"/>
    <n v="0"/>
    <x v="7"/>
    <n v="8"/>
    <n v="1"/>
  </r>
  <r>
    <d v="2022-08-11T00:00:00"/>
    <n v="17.100000000000001"/>
    <n v="3"/>
    <x v="7"/>
    <n v="0"/>
    <n v="0"/>
  </r>
  <r>
    <d v="2022-08-12T00:00:00"/>
    <n v="17.600000000000001"/>
    <n v="0"/>
    <x v="7"/>
    <n v="1"/>
    <n v="1"/>
  </r>
  <r>
    <d v="2022-08-13T00:00:00"/>
    <n v="19.8"/>
    <n v="0"/>
    <x v="7"/>
    <n v="2"/>
    <n v="1"/>
  </r>
  <r>
    <d v="2022-08-14T00:00:00"/>
    <n v="22"/>
    <n v="4"/>
    <x v="7"/>
    <n v="0"/>
    <n v="0"/>
  </r>
  <r>
    <d v="2022-08-15T00:00:00"/>
    <n v="23"/>
    <n v="0"/>
    <x v="7"/>
    <n v="1"/>
    <n v="1"/>
  </r>
  <r>
    <d v="2022-08-16T00:00:00"/>
    <n v="22.2"/>
    <n v="0"/>
    <x v="7"/>
    <n v="2"/>
    <n v="1"/>
  </r>
  <r>
    <d v="2022-08-17T00:00:00"/>
    <n v="22.9"/>
    <n v="0"/>
    <x v="7"/>
    <n v="3"/>
    <n v="1"/>
  </r>
  <r>
    <d v="2022-08-18T00:00:00"/>
    <n v="24.1"/>
    <n v="0"/>
    <x v="7"/>
    <n v="4"/>
    <n v="1"/>
  </r>
  <r>
    <d v="2022-08-19T00:00:00"/>
    <n v="26.8"/>
    <n v="0"/>
    <x v="7"/>
    <n v="5"/>
    <n v="1"/>
  </r>
  <r>
    <d v="2022-08-20T00:00:00"/>
    <n v="24.5"/>
    <n v="0"/>
    <x v="7"/>
    <n v="6"/>
    <n v="1"/>
  </r>
  <r>
    <d v="2022-08-21T00:00:00"/>
    <n v="20.7"/>
    <n v="4"/>
    <x v="7"/>
    <n v="0"/>
    <n v="0"/>
  </r>
  <r>
    <d v="2022-08-22T00:00:00"/>
    <n v="20.100000000000001"/>
    <n v="11"/>
    <x v="7"/>
    <n v="0"/>
    <n v="0"/>
  </r>
  <r>
    <d v="2022-08-23T00:00:00"/>
    <n v="21.9"/>
    <n v="0"/>
    <x v="7"/>
    <n v="1"/>
    <n v="1"/>
  </r>
  <r>
    <d v="2022-08-24T00:00:00"/>
    <n v="21.2"/>
    <n v="4"/>
    <x v="7"/>
    <n v="0"/>
    <n v="0"/>
  </r>
  <r>
    <d v="2022-08-25T00:00:00"/>
    <n v="23.2"/>
    <n v="0"/>
    <x v="7"/>
    <n v="1"/>
    <n v="1"/>
  </r>
  <r>
    <d v="2022-08-26T00:00:00"/>
    <n v="22.9"/>
    <n v="0"/>
    <x v="7"/>
    <n v="2"/>
    <n v="1"/>
  </r>
  <r>
    <d v="2022-08-27T00:00:00"/>
    <n v="22.9"/>
    <n v="0"/>
    <x v="7"/>
    <n v="3"/>
    <n v="1"/>
  </r>
  <r>
    <d v="2022-08-28T00:00:00"/>
    <n v="22.7"/>
    <n v="0"/>
    <x v="7"/>
    <n v="4"/>
    <n v="1"/>
  </r>
  <r>
    <d v="2022-08-29T00:00:00"/>
    <n v="20.6"/>
    <n v="0"/>
    <x v="7"/>
    <n v="5"/>
    <n v="1"/>
  </r>
  <r>
    <d v="2022-08-30T00:00:00"/>
    <n v="18.600000000000001"/>
    <n v="0"/>
    <x v="7"/>
    <n v="6"/>
    <n v="1"/>
  </r>
  <r>
    <d v="2022-08-31T00:00:00"/>
    <n v="16.2"/>
    <n v="1"/>
    <x v="7"/>
    <n v="0"/>
    <n v="0"/>
  </r>
  <r>
    <d v="2022-09-01T00:00:00"/>
    <n v="15.5"/>
    <n v="0"/>
    <x v="8"/>
    <n v="1"/>
    <n v="1"/>
  </r>
  <r>
    <d v="2022-09-02T00:00:00"/>
    <n v="14.4"/>
    <n v="0"/>
    <x v="8"/>
    <n v="2"/>
    <n v="1"/>
  </r>
  <r>
    <d v="2022-09-03T00:00:00"/>
    <n v="14.3"/>
    <n v="0"/>
    <x v="8"/>
    <n v="3"/>
    <n v="1"/>
  </r>
  <r>
    <d v="2022-09-04T00:00:00"/>
    <n v="15.5"/>
    <n v="0"/>
    <x v="8"/>
    <n v="4"/>
    <n v="1"/>
  </r>
  <r>
    <d v="2022-09-05T00:00:00"/>
    <n v="16.5"/>
    <n v="0"/>
    <x v="8"/>
    <n v="5"/>
    <n v="1"/>
  </r>
  <r>
    <d v="2022-09-06T00:00:00"/>
    <n v="15.8"/>
    <n v="0"/>
    <x v="8"/>
    <n v="6"/>
    <n v="1"/>
  </r>
  <r>
    <d v="2022-09-07T00:00:00"/>
    <n v="16.399999999999999"/>
    <n v="0"/>
    <x v="8"/>
    <n v="7"/>
    <n v="1"/>
  </r>
  <r>
    <d v="2022-09-08T00:00:00"/>
    <n v="19.8"/>
    <n v="0"/>
    <x v="8"/>
    <n v="8"/>
    <n v="1"/>
  </r>
  <r>
    <d v="2022-09-09T00:00:00"/>
    <n v="19.399999999999999"/>
    <n v="0"/>
    <x v="8"/>
    <n v="9"/>
    <n v="1"/>
  </r>
  <r>
    <d v="2022-09-10T00:00:00"/>
    <n v="15.3"/>
    <n v="0"/>
    <x v="8"/>
    <n v="10"/>
    <n v="1"/>
  </r>
  <r>
    <d v="2022-09-11T00:00:00"/>
    <n v="14.3"/>
    <n v="0"/>
    <x v="8"/>
    <n v="11"/>
    <n v="1"/>
  </r>
  <r>
    <d v="2022-09-12T00:00:00"/>
    <n v="12.2"/>
    <n v="0"/>
    <x v="8"/>
    <n v="12"/>
    <n v="1"/>
  </r>
  <r>
    <d v="2022-09-13T00:00:00"/>
    <n v="14.7"/>
    <n v="0"/>
    <x v="8"/>
    <n v="13"/>
    <n v="1"/>
  </r>
  <r>
    <d v="2022-09-14T00:00:00"/>
    <n v="18.399999999999999"/>
    <n v="0"/>
    <x v="8"/>
    <n v="14"/>
    <n v="1"/>
  </r>
  <r>
    <d v="2022-09-15T00:00:00"/>
    <n v="16.600000000000001"/>
    <n v="6"/>
    <x v="8"/>
    <n v="0"/>
    <n v="0"/>
  </r>
  <r>
    <d v="2022-09-16T00:00:00"/>
    <n v="14.5"/>
    <n v="0"/>
    <x v="8"/>
    <n v="1"/>
    <n v="1"/>
  </r>
  <r>
    <d v="2022-09-17T00:00:00"/>
    <n v="12.6"/>
    <n v="0"/>
    <x v="8"/>
    <n v="2"/>
    <n v="1"/>
  </r>
  <r>
    <d v="2022-09-18T00:00:00"/>
    <n v="10.3"/>
    <n v="8"/>
    <x v="8"/>
    <n v="0"/>
    <n v="0"/>
  </r>
  <r>
    <d v="2022-09-19T00:00:00"/>
    <n v="9.3000000000000007"/>
    <n v="6"/>
    <x v="8"/>
    <n v="0"/>
    <n v="0"/>
  </r>
  <r>
    <d v="2022-09-20T00:00:00"/>
    <n v="10.3"/>
    <n v="6"/>
    <x v="8"/>
    <n v="0"/>
    <n v="0"/>
  </r>
  <r>
    <d v="2022-09-21T00:00:00"/>
    <n v="10.3"/>
    <n v="0"/>
    <x v="8"/>
    <n v="1"/>
    <n v="1"/>
  </r>
  <r>
    <d v="2022-09-22T00:00:00"/>
    <n v="10.1"/>
    <n v="2"/>
    <x v="8"/>
    <n v="0"/>
    <n v="0"/>
  </r>
  <r>
    <d v="2022-09-23T00:00:00"/>
    <n v="10.5"/>
    <n v="0"/>
    <x v="8"/>
    <n v="1"/>
    <n v="1"/>
  </r>
  <r>
    <d v="2022-09-24T00:00:00"/>
    <n v="10.4"/>
    <n v="0"/>
    <x v="8"/>
    <n v="2"/>
    <n v="1"/>
  </r>
  <r>
    <d v="2022-09-25T00:00:00"/>
    <n v="12.4"/>
    <n v="0"/>
    <x v="8"/>
    <n v="3"/>
    <n v="1"/>
  </r>
  <r>
    <d v="2022-09-26T00:00:00"/>
    <n v="12"/>
    <n v="3"/>
    <x v="8"/>
    <n v="0"/>
    <n v="0"/>
  </r>
  <r>
    <d v="2022-09-27T00:00:00"/>
    <n v="12.2"/>
    <n v="2"/>
    <x v="8"/>
    <n v="0"/>
    <n v="0"/>
  </r>
  <r>
    <d v="2022-09-28T00:00:00"/>
    <n v="13.3"/>
    <n v="0"/>
    <x v="8"/>
    <n v="1"/>
    <n v="1"/>
  </r>
  <r>
    <d v="2022-09-29T00:00:00"/>
    <n v="11"/>
    <n v="6"/>
    <x v="8"/>
    <n v="0"/>
    <n v="0"/>
  </r>
  <r>
    <d v="2022-09-30T00:00:00"/>
    <n v="11.8"/>
    <n v="10"/>
    <x v="8"/>
    <n v="0"/>
    <n v="0"/>
  </r>
  <r>
    <d v="2022-10-01T00:00:00"/>
    <n v="13"/>
    <n v="4"/>
    <x v="9"/>
    <n v="0"/>
    <n v="0"/>
  </r>
  <r>
    <d v="2022-10-02T00:00:00"/>
    <n v="12.1"/>
    <n v="8"/>
    <x v="9"/>
    <n v="0"/>
    <n v="0"/>
  </r>
  <r>
    <d v="2022-10-03T00:00:00"/>
    <n v="10.4"/>
    <n v="2"/>
    <x v="9"/>
    <n v="0"/>
    <n v="0"/>
  </r>
  <r>
    <d v="2022-10-04T00:00:00"/>
    <n v="10.5"/>
    <n v="0"/>
    <x v="9"/>
    <n v="1"/>
    <n v="1"/>
  </r>
  <r>
    <d v="2022-10-05T00:00:00"/>
    <n v="11.5"/>
    <n v="0"/>
    <x v="9"/>
    <n v="2"/>
    <n v="1"/>
  </r>
  <r>
    <d v="2022-10-06T00:00:00"/>
    <n v="15.4"/>
    <n v="0"/>
    <x v="9"/>
    <n v="3"/>
    <n v="1"/>
  </r>
  <r>
    <d v="2022-10-07T00:00:00"/>
    <n v="15.1"/>
    <n v="0"/>
    <x v="9"/>
    <n v="4"/>
    <n v="1"/>
  </r>
  <r>
    <d v="2022-10-08T00:00:00"/>
    <n v="15.3"/>
    <n v="0"/>
    <x v="9"/>
    <n v="5"/>
    <n v="1"/>
  </r>
  <r>
    <d v="2022-10-09T00:00:00"/>
    <n v="11.9"/>
    <n v="0"/>
    <x v="9"/>
    <n v="6"/>
    <n v="1"/>
  </r>
  <r>
    <d v="2022-10-10T00:00:00"/>
    <n v="10.199999999999999"/>
    <n v="0"/>
    <x v="9"/>
    <n v="7"/>
    <n v="1"/>
  </r>
  <r>
    <d v="2022-10-11T00:00:00"/>
    <n v="10.5"/>
    <n v="0"/>
    <x v="9"/>
    <n v="8"/>
    <n v="1"/>
  </r>
  <r>
    <d v="2022-10-12T00:00:00"/>
    <n v="7.5"/>
    <n v="0"/>
    <x v="9"/>
    <n v="9"/>
    <n v="1"/>
  </r>
  <r>
    <d v="2022-10-13T00:00:00"/>
    <n v="8.1999999999999993"/>
    <n v="0"/>
    <x v="9"/>
    <n v="10"/>
    <n v="1"/>
  </r>
  <r>
    <d v="2022-10-14T00:00:00"/>
    <n v="11.6"/>
    <n v="0"/>
    <x v="9"/>
    <n v="11"/>
    <n v="1"/>
  </r>
  <r>
    <d v="2022-10-15T00:00:00"/>
    <n v="14.9"/>
    <n v="0"/>
    <x v="9"/>
    <n v="12"/>
    <n v="1"/>
  </r>
  <r>
    <d v="2022-10-16T00:00:00"/>
    <n v="16.100000000000001"/>
    <n v="0"/>
    <x v="9"/>
    <n v="13"/>
    <n v="1"/>
  </r>
  <r>
    <d v="2022-10-17T00:00:00"/>
    <n v="16.600000000000001"/>
    <n v="0"/>
    <x v="9"/>
    <n v="14"/>
    <n v="1"/>
  </r>
  <r>
    <d v="2022-10-18T00:00:00"/>
    <n v="16.8"/>
    <n v="0"/>
    <x v="9"/>
    <n v="15"/>
    <n v="1"/>
  </r>
  <r>
    <d v="2022-10-19T00:00:00"/>
    <n v="11.6"/>
    <n v="2"/>
    <x v="9"/>
    <n v="0"/>
    <n v="0"/>
  </r>
  <r>
    <d v="2022-10-20T00:00:00"/>
    <n v="5.5"/>
    <n v="0"/>
    <x v="9"/>
    <n v="1"/>
    <n v="1"/>
  </r>
  <r>
    <d v="2022-10-21T00:00:00"/>
    <n v="7.5"/>
    <n v="0"/>
    <x v="9"/>
    <n v="2"/>
    <n v="1"/>
  </r>
  <r>
    <d v="2022-10-22T00:00:00"/>
    <n v="11.4"/>
    <n v="0"/>
    <x v="9"/>
    <n v="3"/>
    <n v="1"/>
  </r>
  <r>
    <d v="2022-10-23T00:00:00"/>
    <n v="14.2"/>
    <n v="0"/>
    <x v="9"/>
    <n v="4"/>
    <n v="1"/>
  </r>
  <r>
    <d v="2022-10-24T00:00:00"/>
    <n v="14.5"/>
    <n v="0"/>
    <x v="9"/>
    <n v="5"/>
    <n v="1"/>
  </r>
  <r>
    <d v="2022-10-25T00:00:00"/>
    <n v="14.3"/>
    <n v="12"/>
    <x v="9"/>
    <n v="0"/>
    <n v="0"/>
  </r>
  <r>
    <d v="2022-10-26T00:00:00"/>
    <n v="13.6"/>
    <n v="0"/>
    <x v="9"/>
    <n v="1"/>
    <n v="1"/>
  </r>
  <r>
    <d v="2022-10-27T00:00:00"/>
    <n v="12"/>
    <n v="0"/>
    <x v="9"/>
    <n v="2"/>
    <n v="1"/>
  </r>
  <r>
    <d v="2022-10-28T00:00:00"/>
    <n v="13.1"/>
    <n v="0"/>
    <x v="9"/>
    <n v="3"/>
    <n v="1"/>
  </r>
  <r>
    <d v="2022-10-29T00:00:00"/>
    <n v="14.3"/>
    <n v="0"/>
    <x v="9"/>
    <n v="4"/>
    <n v="1"/>
  </r>
  <r>
    <d v="2022-10-30T00:00:00"/>
    <n v="13.8"/>
    <n v="0"/>
    <x v="9"/>
    <n v="5"/>
    <n v="1"/>
  </r>
  <r>
    <d v="2022-10-31T00:00:00"/>
    <n v="13.4"/>
    <n v="0"/>
    <x v="9"/>
    <n v="0"/>
    <n v="1"/>
  </r>
  <r>
    <d v="2022-11-01T00:00:00"/>
    <n v="11.4"/>
    <n v="0"/>
    <x v="10"/>
    <n v="1"/>
    <n v="1"/>
  </r>
  <r>
    <d v="2022-11-02T00:00:00"/>
    <n v="13.2"/>
    <n v="0"/>
    <x v="10"/>
    <n v="2"/>
    <n v="1"/>
  </r>
  <r>
    <d v="2022-11-03T00:00:00"/>
    <n v="11"/>
    <n v="0"/>
    <x v="10"/>
    <n v="3"/>
    <n v="1"/>
  </r>
  <r>
    <d v="2022-11-04T00:00:00"/>
    <n v="12.4"/>
    <n v="0"/>
    <x v="10"/>
    <n v="4"/>
    <n v="1"/>
  </r>
  <r>
    <d v="2022-11-05T00:00:00"/>
    <n v="9.8000000000000007"/>
    <n v="9"/>
    <x v="10"/>
    <n v="0"/>
    <n v="0"/>
  </r>
  <r>
    <d v="2022-11-06T00:00:00"/>
    <n v="8.6"/>
    <n v="0"/>
    <x v="10"/>
    <n v="1"/>
    <n v="1"/>
  </r>
  <r>
    <d v="2022-11-07T00:00:00"/>
    <n v="9.3000000000000007"/>
    <n v="0"/>
    <x v="10"/>
    <n v="2"/>
    <n v="1"/>
  </r>
  <r>
    <d v="2022-11-08T00:00:00"/>
    <n v="9.3000000000000007"/>
    <n v="0"/>
    <x v="10"/>
    <n v="3"/>
    <n v="1"/>
  </r>
  <r>
    <d v="2022-11-09T00:00:00"/>
    <n v="10"/>
    <n v="0"/>
    <x v="10"/>
    <n v="4"/>
    <n v="1"/>
  </r>
  <r>
    <d v="2022-11-10T00:00:00"/>
    <n v="7.7"/>
    <n v="0"/>
    <x v="10"/>
    <n v="5"/>
    <n v="1"/>
  </r>
  <r>
    <d v="2022-11-11T00:00:00"/>
    <n v="9.8000000000000007"/>
    <n v="0"/>
    <x v="10"/>
    <n v="6"/>
    <n v="1"/>
  </r>
  <r>
    <d v="2022-11-12T00:00:00"/>
    <n v="9.1"/>
    <n v="0"/>
    <x v="10"/>
    <n v="7"/>
    <n v="1"/>
  </r>
  <r>
    <d v="2022-11-13T00:00:00"/>
    <n v="6.4"/>
    <n v="0"/>
    <x v="10"/>
    <n v="8"/>
    <n v="1"/>
  </r>
  <r>
    <d v="2022-11-14T00:00:00"/>
    <n v="6"/>
    <n v="0"/>
    <x v="10"/>
    <n v="9"/>
    <n v="1"/>
  </r>
  <r>
    <d v="2022-11-15T00:00:00"/>
    <n v="7.5"/>
    <n v="0"/>
    <x v="10"/>
    <n v="10"/>
    <n v="1"/>
  </r>
  <r>
    <d v="2022-11-16T00:00:00"/>
    <n v="5.9"/>
    <n v="7"/>
    <x v="10"/>
    <n v="0"/>
    <n v="0"/>
  </r>
  <r>
    <d v="2022-11-17T00:00:00"/>
    <n v="1.2"/>
    <n v="3"/>
    <x v="10"/>
    <n v="0"/>
    <n v="0"/>
  </r>
  <r>
    <d v="2022-11-18T00:00:00"/>
    <n v="-1"/>
    <n v="0"/>
    <x v="10"/>
    <n v="1"/>
    <n v="1"/>
  </r>
  <r>
    <d v="2022-11-19T00:00:00"/>
    <n v="-2.2999999999999998"/>
    <n v="0"/>
    <x v="10"/>
    <n v="2"/>
    <n v="1"/>
  </r>
  <r>
    <d v="2022-11-20T00:00:00"/>
    <n v="-2.8"/>
    <n v="0"/>
    <x v="10"/>
    <n v="3"/>
    <n v="1"/>
  </r>
  <r>
    <d v="2022-11-21T00:00:00"/>
    <n v="0.8"/>
    <n v="1"/>
    <x v="10"/>
    <n v="0"/>
    <n v="0"/>
  </r>
  <r>
    <d v="2022-11-22T00:00:00"/>
    <n v="2.8"/>
    <n v="0"/>
    <x v="10"/>
    <n v="1"/>
    <n v="1"/>
  </r>
  <r>
    <d v="2022-11-23T00:00:00"/>
    <n v="-0.1"/>
    <n v="0"/>
    <x v="10"/>
    <n v="2"/>
    <n v="1"/>
  </r>
  <r>
    <d v="2022-11-24T00:00:00"/>
    <n v="0.1"/>
    <n v="1"/>
    <x v="10"/>
    <n v="0"/>
    <n v="0"/>
  </r>
  <r>
    <d v="2022-11-25T00:00:00"/>
    <n v="1.3"/>
    <n v="0"/>
    <x v="10"/>
    <n v="1"/>
    <n v="1"/>
  </r>
  <r>
    <d v="2022-11-26T00:00:00"/>
    <n v="4.5"/>
    <n v="0"/>
    <x v="10"/>
    <n v="2"/>
    <n v="1"/>
  </r>
  <r>
    <d v="2022-11-27T00:00:00"/>
    <n v="2.2999999999999998"/>
    <n v="0"/>
    <x v="10"/>
    <n v="3"/>
    <n v="1"/>
  </r>
  <r>
    <d v="2022-11-28T00:00:00"/>
    <n v="2.1"/>
    <n v="0"/>
    <x v="10"/>
    <n v="4"/>
    <n v="1"/>
  </r>
  <r>
    <d v="2022-11-29T00:00:00"/>
    <n v="0.2"/>
    <n v="0"/>
    <x v="10"/>
    <n v="5"/>
    <n v="1"/>
  </r>
  <r>
    <d v="2022-11-30T00:00:00"/>
    <n v="-0.5"/>
    <n v="0"/>
    <x v="10"/>
    <n v="0"/>
    <n v="1"/>
  </r>
  <r>
    <d v="2022-12-01T00:00:00"/>
    <n v="0.9"/>
    <n v="0"/>
    <x v="11"/>
    <n v="1"/>
    <n v="1"/>
  </r>
  <r>
    <d v="2022-12-02T00:00:00"/>
    <n v="-1"/>
    <n v="0"/>
    <x v="11"/>
    <n v="2"/>
    <n v="1"/>
  </r>
  <r>
    <d v="2022-12-03T00:00:00"/>
    <n v="0.4"/>
    <n v="0"/>
    <x v="11"/>
    <n v="3"/>
    <n v="1"/>
  </r>
  <r>
    <d v="2022-12-04T00:00:00"/>
    <n v="2.1"/>
    <n v="0"/>
    <x v="11"/>
    <n v="4"/>
    <n v="1"/>
  </r>
  <r>
    <d v="2022-12-05T00:00:00"/>
    <n v="4.5"/>
    <n v="0"/>
    <x v="11"/>
    <n v="5"/>
    <n v="1"/>
  </r>
  <r>
    <d v="2022-12-06T00:00:00"/>
    <n v="2.8"/>
    <n v="7"/>
    <x v="11"/>
    <n v="0"/>
    <n v="0"/>
  </r>
  <r>
    <d v="2022-12-07T00:00:00"/>
    <n v="2.5"/>
    <n v="1"/>
    <x v="11"/>
    <n v="0"/>
    <n v="0"/>
  </r>
  <r>
    <d v="2022-12-08T00:00:00"/>
    <n v="2.2999999999999998"/>
    <n v="0"/>
    <x v="11"/>
    <n v="1"/>
    <n v="1"/>
  </r>
  <r>
    <d v="2022-12-09T00:00:00"/>
    <n v="2.2000000000000002"/>
    <n v="14"/>
    <x v="11"/>
    <n v="0"/>
    <n v="0"/>
  </r>
  <r>
    <d v="2022-12-10T00:00:00"/>
    <n v="0.6"/>
    <n v="0"/>
    <x v="11"/>
    <n v="1"/>
    <n v="1"/>
  </r>
  <r>
    <d v="2022-12-11T00:00:00"/>
    <n v="-1.9"/>
    <n v="0"/>
    <x v="11"/>
    <n v="2"/>
    <n v="1"/>
  </r>
  <r>
    <d v="2022-12-12T00:00:00"/>
    <n v="-2.6"/>
    <n v="0"/>
    <x v="11"/>
    <n v="3"/>
    <n v="1"/>
  </r>
  <r>
    <d v="2022-12-13T00:00:00"/>
    <n v="-3.1"/>
    <n v="0"/>
    <x v="11"/>
    <n v="4"/>
    <n v="1"/>
  </r>
  <r>
    <d v="2022-12-14T00:00:00"/>
    <n v="-4.5999999999999996"/>
    <n v="0"/>
    <x v="11"/>
    <n v="5"/>
    <n v="1"/>
  </r>
  <r>
    <d v="2022-12-15T00:00:00"/>
    <n v="-1.6"/>
    <n v="0"/>
    <x v="11"/>
    <n v="6"/>
    <n v="1"/>
  </r>
  <r>
    <d v="2022-12-16T00:00:00"/>
    <n v="-0.7"/>
    <n v="0"/>
    <x v="11"/>
    <n v="7"/>
    <n v="1"/>
  </r>
  <r>
    <d v="2022-12-17T00:00:00"/>
    <n v="-3.3"/>
    <n v="0"/>
    <x v="11"/>
    <n v="8"/>
    <n v="1"/>
  </r>
  <r>
    <d v="2022-12-18T00:00:00"/>
    <n v="-4.9000000000000004"/>
    <n v="0"/>
    <x v="11"/>
    <n v="9"/>
    <n v="1"/>
  </r>
  <r>
    <d v="2022-12-19T00:00:00"/>
    <n v="-5.6"/>
    <n v="0"/>
    <x v="11"/>
    <n v="10"/>
    <n v="1"/>
  </r>
  <r>
    <d v="2022-12-20T00:00:00"/>
    <n v="2.1"/>
    <n v="5"/>
    <x v="11"/>
    <n v="0"/>
    <n v="0"/>
  </r>
  <r>
    <d v="2022-12-21T00:00:00"/>
    <n v="1.9"/>
    <n v="8"/>
    <x v="11"/>
    <n v="0"/>
    <n v="0"/>
  </r>
  <r>
    <d v="2022-12-22T00:00:00"/>
    <n v="3.7"/>
    <n v="0"/>
    <x v="11"/>
    <n v="1"/>
    <n v="1"/>
  </r>
  <r>
    <d v="2022-12-23T00:00:00"/>
    <n v="4.4000000000000004"/>
    <n v="0"/>
    <x v="11"/>
    <n v="2"/>
    <n v="1"/>
  </r>
  <r>
    <d v="2022-12-24T00:00:00"/>
    <n v="5.8"/>
    <n v="8"/>
    <x v="11"/>
    <n v="0"/>
    <n v="0"/>
  </r>
  <r>
    <d v="2022-12-25T00:00:00"/>
    <n v="6.2"/>
    <n v="0"/>
    <x v="11"/>
    <n v="1"/>
    <n v="1"/>
  </r>
  <r>
    <d v="2022-12-26T00:00:00"/>
    <n v="8"/>
    <n v="0"/>
    <x v="11"/>
    <n v="2"/>
    <n v="1"/>
  </r>
  <r>
    <d v="2022-12-27T00:00:00"/>
    <n v="5.9"/>
    <n v="0"/>
    <x v="11"/>
    <n v="3"/>
    <n v="1"/>
  </r>
  <r>
    <d v="2022-12-28T00:00:00"/>
    <n v="3.2"/>
    <n v="0"/>
    <x v="11"/>
    <n v="4"/>
    <n v="1"/>
  </r>
  <r>
    <d v="2022-12-29T00:00:00"/>
    <n v="4.7"/>
    <n v="0"/>
    <x v="11"/>
    <n v="5"/>
    <n v="1"/>
  </r>
  <r>
    <d v="2022-12-30T00:00:00"/>
    <n v="5.0999999999999996"/>
    <n v="0"/>
    <x v="11"/>
    <n v="6"/>
    <n v="1"/>
  </r>
  <r>
    <d v="2022-12-31T00:00:00"/>
    <n v="9.3000000000000007"/>
    <n v="0"/>
    <x v="1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38E38-88A6-46FA-8F92-6A03361BAD00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A1:B15" firstHeaderRow="1" firstDataRow="1" firstDataCol="1"/>
  <pivotFields count="5">
    <pivotField numFmtId="14"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>
      <items count="14">
        <item x="0"/>
        <item x="11"/>
        <item x="2"/>
        <item x="1"/>
        <item x="10"/>
        <item x="3"/>
        <item x="9"/>
        <item x="8"/>
        <item x="4"/>
        <item x="6"/>
        <item x="5"/>
        <item x="7"/>
        <item x="1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Średnia temperatura" fld="4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3386E-BCB2-6440-94BD-45ED011EB24C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5:J18" firstHeaderRow="1" firstDataRow="1" firstDataCol="1"/>
  <pivotFields count="6"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aksimum z Ciąg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DB4754-CE17-4956-9546-658A334021CA}" autoFormatId="16" applyNumberFormats="0" applyBorderFormats="0" applyFontFormats="0" applyPatternFormats="0" applyAlignmentFormats="0" applyWidthHeightFormats="0">
  <queryTableRefresh nextId="10" unboundColumnsRight="5">
    <queryTableFields count="8">
      <queryTableField id="1" name="Data" tableColumnId="1"/>
      <queryTableField id="2" name="Temp" tableColumnId="2"/>
      <queryTableField id="3" name="Opady" tableColumnId="3"/>
      <queryTableField id="4" dataBound="0" tableColumnId="4"/>
      <queryTableField id="5" dataBound="0" tableColumnId="5"/>
      <queryTableField id="6" dataBound="0" tableColumnId="6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6CE8C9C-5EDE-9A48-ABC1-E7816F044334}" autoFormatId="16" applyNumberFormats="0" applyBorderFormats="0" applyFontFormats="0" applyPatternFormats="0" applyAlignmentFormats="0" applyWidthHeightFormats="0">
  <queryTableRefresh nextId="10" unboundColumnsRight="5">
    <queryTableFields count="8">
      <queryTableField id="1" name="Data" tableColumnId="1"/>
      <queryTableField id="2" name="Temp" tableColumnId="2"/>
      <queryTableField id="3" name="Opady" tableColumnId="3"/>
      <queryTableField id="4" dataBound="0" tableColumnId="4"/>
      <queryTableField id="5" dataBound="0" tableColumnId="5"/>
      <queryTableField id="6" dataBound="0" tableColumnId="6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88B2E-ADC5-4B2E-9031-49ABC8631F44}" name="staw" displayName="staw" ref="A1:H366" tableType="queryTable" totalsRowShown="0">
  <autoFilter ref="A1:H366" xr:uid="{AD788B2E-ADC5-4B2E-9031-49ABC8631F44}"/>
  <tableColumns count="8">
    <tableColumn id="1" xr3:uid="{16317A3D-A3C4-4CD3-A28B-74C509B8FC41}" uniqueName="1" name="Data" queryTableFieldId="1" dataDxfId="7"/>
    <tableColumn id="2" xr3:uid="{D107D83A-2387-4BCB-9966-A3D89CA9352C}" uniqueName="2" name="Temp" queryTableFieldId="2"/>
    <tableColumn id="3" xr3:uid="{A65C07D5-80B8-467F-B414-3F1055EB15E1}" uniqueName="3" name="Opady" queryTableFieldId="3"/>
    <tableColumn id="4" xr3:uid="{6334DBE4-A9AA-4D8A-90DB-124553D0D60E}" uniqueName="4" name="Miesiąc" queryTableFieldId="4">
      <calculatedColumnFormula>MONTH(A2)</calculatedColumnFormula>
    </tableColumn>
    <tableColumn id="5" xr3:uid="{47B10557-FD54-4782-9F88-F860335319FC}" uniqueName="5" name="Ciąg" queryTableFieldId="5" dataDxfId="6">
      <calculatedColumnFormula>IF(AND(D3=staw[[#This Row],[Miesiąc]],F2=1),E1+1,0)</calculatedColumnFormula>
    </tableColumn>
    <tableColumn id="6" xr3:uid="{097F5822-14CC-457C-A9C6-B16805656299}" uniqueName="6" name="Czy był opad" queryTableFieldId="6" dataDxfId="5">
      <calculatedColumnFormula>IF(C2=0,1,0)</calculatedColumnFormula>
    </tableColumn>
    <tableColumn id="8" xr3:uid="{13D03EB8-87F1-431D-B10D-DED8DAF9BAAD}" uniqueName="8" name="k1" queryTableFieldId="8"/>
    <tableColumn id="9" xr3:uid="{E321D66B-4F4C-460A-BCB7-0C45CB8B3E77}" uniqueName="9" name="k2" queryTableFieldId="9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1CBD50-7041-5949-AA2E-6F98981C1CD9}" name="staw3" displayName="staw3" ref="A1:H366" tableType="queryTable" totalsRowShown="0">
  <autoFilter ref="A1:H366" xr:uid="{AD788B2E-ADC5-4B2E-9031-49ABC8631F44}"/>
  <tableColumns count="8">
    <tableColumn id="1" xr3:uid="{50EAF7BD-E071-674A-B187-26B5F0CAA550}" uniqueName="1" name="Data" queryTableFieldId="1" dataDxfId="3"/>
    <tableColumn id="2" xr3:uid="{588BC36C-7762-FB4B-81E5-900074F46CFD}" uniqueName="2" name="Temp" queryTableFieldId="2"/>
    <tableColumn id="3" xr3:uid="{31A97F70-8E94-344E-90A5-DDE572C76B9A}" uniqueName="3" name="Opady" queryTableFieldId="3"/>
    <tableColumn id="4" xr3:uid="{40E51C74-43B2-D444-8C88-77358BF943A5}" uniqueName="4" name="Miesiąc" queryTableFieldId="4">
      <calculatedColumnFormula>MONTH(A2)</calculatedColumnFormula>
    </tableColumn>
    <tableColumn id="5" xr3:uid="{B23CF06F-AF88-B847-BED1-D504752884D4}" uniqueName="5" name="Ciąg" queryTableFieldId="5" dataDxfId="2">
      <calculatedColumnFormula>IF(AND(D3=staw3[[#This Row],[Miesiąc]],F2=1),E1+1,0)</calculatedColumnFormula>
    </tableColumn>
    <tableColumn id="6" xr3:uid="{595266A8-992C-B84E-8DD1-DAD5E3CBC56E}" uniqueName="6" name="Czy był opad" queryTableFieldId="6" dataDxfId="1">
      <calculatedColumnFormula>IF(C2=0,1,0)</calculatedColumnFormula>
    </tableColumn>
    <tableColumn id="8" xr3:uid="{1CACFFC7-7132-F344-9A22-14009A420F1F}" uniqueName="8" name="k1" queryTableFieldId="8"/>
    <tableColumn id="9" xr3:uid="{CDBFA696-8139-C140-AD9F-DD9469A8C624}" uniqueName="9" name="k2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D32C-970E-4713-919A-1B3F82ECE1BB}">
  <dimension ref="A1:F15"/>
  <sheetViews>
    <sheetView workbookViewId="0">
      <selection activeCell="E1" sqref="E1:F13"/>
    </sheetView>
  </sheetViews>
  <sheetFormatPr defaultColWidth="8.85546875" defaultRowHeight="15"/>
  <cols>
    <col min="1" max="1" width="17.85546875" bestFit="1" customWidth="1"/>
    <col min="2" max="2" width="26.7109375" bestFit="1" customWidth="1"/>
    <col min="3" max="3" width="12" bestFit="1" customWidth="1"/>
    <col min="4" max="4" width="11" bestFit="1" customWidth="1"/>
    <col min="5" max="5" width="13.28515625" customWidth="1"/>
    <col min="6" max="6" width="18.85546875" customWidth="1"/>
    <col min="9" max="9" width="6" bestFit="1" customWidth="1"/>
    <col min="10" max="13" width="12" bestFit="1" customWidth="1"/>
    <col min="14" max="14" width="7.42578125" bestFit="1" customWidth="1"/>
    <col min="15" max="15" width="14.42578125" bestFit="1" customWidth="1"/>
    <col min="16" max="16" width="7.85546875" bestFit="1" customWidth="1"/>
    <col min="17" max="17" width="11" bestFit="1" customWidth="1"/>
    <col min="18" max="18" width="13.85546875" bestFit="1" customWidth="1"/>
    <col min="19" max="19" width="22.42578125" bestFit="1" customWidth="1"/>
    <col min="20" max="20" width="13.85546875" bestFit="1" customWidth="1"/>
    <col min="21" max="21" width="22.42578125" bestFit="1" customWidth="1"/>
    <col min="22" max="22" width="13.85546875" bestFit="1" customWidth="1"/>
    <col min="23" max="23" width="22.42578125" bestFit="1" customWidth="1"/>
    <col min="24" max="24" width="13.85546875" bestFit="1" customWidth="1"/>
    <col min="25" max="25" width="22.42578125" bestFit="1" customWidth="1"/>
    <col min="26" max="26" width="9.42578125" bestFit="1" customWidth="1"/>
    <col min="27" max="27" width="13.140625" bestFit="1" customWidth="1"/>
    <col min="28" max="28" width="14.42578125" bestFit="1" customWidth="1"/>
  </cols>
  <sheetData>
    <row r="1" spans="1:6">
      <c r="A1" s="3" t="s">
        <v>0</v>
      </c>
      <c r="B1" t="s">
        <v>1</v>
      </c>
      <c r="E1" t="s">
        <v>2</v>
      </c>
      <c r="F1" t="s">
        <v>3</v>
      </c>
    </row>
    <row r="2" spans="1:6">
      <c r="A2" s="4">
        <v>1</v>
      </c>
      <c r="B2">
        <v>1.0838709677419358</v>
      </c>
      <c r="E2" s="4">
        <v>1</v>
      </c>
      <c r="F2">
        <v>1.1000000000000001</v>
      </c>
    </row>
    <row r="3" spans="1:6">
      <c r="A3" s="4">
        <v>2</v>
      </c>
      <c r="B3">
        <v>4.1392857142857142</v>
      </c>
      <c r="E3" s="4">
        <v>2</v>
      </c>
      <c r="F3">
        <v>4.0999999999999996</v>
      </c>
    </row>
    <row r="4" spans="1:6">
      <c r="A4" s="4">
        <v>3</v>
      </c>
      <c r="B4">
        <v>4.0548387096774201</v>
      </c>
      <c r="E4" s="4">
        <v>3</v>
      </c>
      <c r="F4">
        <v>4.0999999999999996</v>
      </c>
    </row>
    <row r="5" spans="1:6">
      <c r="A5" s="4">
        <v>4</v>
      </c>
      <c r="B5">
        <v>7.37</v>
      </c>
      <c r="E5" s="4">
        <v>4</v>
      </c>
      <c r="F5">
        <v>7.4</v>
      </c>
    </row>
    <row r="6" spans="1:6">
      <c r="A6" s="4">
        <v>5</v>
      </c>
      <c r="B6">
        <v>15.86451612903226</v>
      </c>
      <c r="E6" s="4">
        <v>5</v>
      </c>
      <c r="F6">
        <v>15.9</v>
      </c>
    </row>
    <row r="7" spans="1:6">
      <c r="A7" s="4">
        <v>6</v>
      </c>
      <c r="B7">
        <v>20.486666666666665</v>
      </c>
      <c r="E7" s="4">
        <v>6</v>
      </c>
      <c r="F7">
        <v>20.5</v>
      </c>
    </row>
    <row r="8" spans="1:6">
      <c r="A8" s="4">
        <v>7</v>
      </c>
      <c r="B8">
        <v>20.393548387096779</v>
      </c>
      <c r="E8" s="4">
        <v>7</v>
      </c>
      <c r="F8">
        <v>20.399999999999999</v>
      </c>
    </row>
    <row r="9" spans="1:6">
      <c r="A9" s="4">
        <v>8</v>
      </c>
      <c r="B9">
        <v>21.13225806451613</v>
      </c>
      <c r="E9" s="4">
        <v>8</v>
      </c>
      <c r="F9">
        <v>21.1</v>
      </c>
    </row>
    <row r="10" spans="1:6">
      <c r="A10" s="4">
        <v>9</v>
      </c>
      <c r="B10">
        <v>13.670000000000003</v>
      </c>
      <c r="E10" s="4">
        <v>9</v>
      </c>
      <c r="F10">
        <v>13.7</v>
      </c>
    </row>
    <row r="11" spans="1:6">
      <c r="A11" s="4">
        <v>10</v>
      </c>
      <c r="B11">
        <v>12.477419354838711</v>
      </c>
      <c r="E11" s="4">
        <v>10</v>
      </c>
      <c r="F11">
        <v>12.5</v>
      </c>
    </row>
    <row r="12" spans="1:6">
      <c r="A12" s="4">
        <v>11</v>
      </c>
      <c r="B12">
        <v>5.2</v>
      </c>
      <c r="E12" s="4">
        <v>11</v>
      </c>
      <c r="F12">
        <v>5.2</v>
      </c>
    </row>
    <row r="13" spans="1:6">
      <c r="A13" s="4">
        <v>12</v>
      </c>
      <c r="B13">
        <v>1.5903225806451613</v>
      </c>
      <c r="E13" s="4">
        <v>12</v>
      </c>
      <c r="F13">
        <v>1.6</v>
      </c>
    </row>
    <row r="14" spans="1:6">
      <c r="A14" s="4" t="s">
        <v>4</v>
      </c>
    </row>
    <row r="15" spans="1:6">
      <c r="A15" s="4" t="s">
        <v>5</v>
      </c>
      <c r="B15">
        <v>127.46272657450079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8C91-805C-7A44-B92D-8EBF5A3D72BE}">
  <dimension ref="E5:J18"/>
  <sheetViews>
    <sheetView workbookViewId="0">
      <selection activeCell="F17" sqref="E5:F17"/>
    </sheetView>
  </sheetViews>
  <sheetFormatPr defaultColWidth="11.42578125" defaultRowHeight="15"/>
  <cols>
    <col min="1" max="1" width="2.28515625" customWidth="1"/>
    <col min="2" max="2" width="2.85546875" customWidth="1"/>
    <col min="3" max="3" width="2.140625" bestFit="1" customWidth="1"/>
    <col min="4" max="4" width="3.140625" bestFit="1" customWidth="1"/>
    <col min="5" max="5" width="23.28515625" customWidth="1"/>
    <col min="6" max="6" width="33.140625" customWidth="1"/>
    <col min="7" max="8" width="3.140625" bestFit="1" customWidth="1"/>
    <col min="9" max="9" width="18.85546875" customWidth="1"/>
    <col min="10" max="10" width="23.42578125" customWidth="1"/>
    <col min="11" max="13" width="3.140625" bestFit="1" customWidth="1"/>
    <col min="14" max="14" width="12.7109375" bestFit="1" customWidth="1"/>
  </cols>
  <sheetData>
    <row r="5" spans="5:10">
      <c r="E5" t="s">
        <v>6</v>
      </c>
      <c r="F5" t="s">
        <v>7</v>
      </c>
      <c r="I5" s="3" t="s">
        <v>0</v>
      </c>
      <c r="J5" t="s">
        <v>8</v>
      </c>
    </row>
    <row r="6" spans="5:10">
      <c r="E6" s="4">
        <v>1</v>
      </c>
      <c r="F6">
        <v>11</v>
      </c>
      <c r="I6" s="4">
        <v>1</v>
      </c>
      <c r="J6">
        <v>11</v>
      </c>
    </row>
    <row r="7" spans="5:10">
      <c r="E7" s="4">
        <v>2</v>
      </c>
      <c r="F7">
        <v>7</v>
      </c>
      <c r="I7" s="4">
        <v>2</v>
      </c>
      <c r="J7">
        <v>7</v>
      </c>
    </row>
    <row r="8" spans="5:10">
      <c r="E8" s="4">
        <v>3</v>
      </c>
      <c r="F8">
        <v>20</v>
      </c>
      <c r="I8" s="4">
        <v>3</v>
      </c>
      <c r="J8">
        <v>20</v>
      </c>
    </row>
    <row r="9" spans="5:10">
      <c r="E9" s="4">
        <v>4</v>
      </c>
      <c r="F9">
        <v>8</v>
      </c>
      <c r="I9" s="4">
        <v>4</v>
      </c>
      <c r="J9">
        <v>8</v>
      </c>
    </row>
    <row r="10" spans="5:10">
      <c r="E10" s="4">
        <v>5</v>
      </c>
      <c r="F10">
        <v>20</v>
      </c>
      <c r="I10" s="4">
        <v>5</v>
      </c>
      <c r="J10">
        <v>20</v>
      </c>
    </row>
    <row r="11" spans="5:10">
      <c r="E11" s="4">
        <v>6</v>
      </c>
      <c r="F11">
        <v>11</v>
      </c>
      <c r="I11" s="4">
        <v>6</v>
      </c>
      <c r="J11">
        <v>11</v>
      </c>
    </row>
    <row r="12" spans="5:10">
      <c r="E12" s="4">
        <v>7</v>
      </c>
      <c r="F12">
        <v>10</v>
      </c>
      <c r="I12" s="4">
        <v>7</v>
      </c>
      <c r="J12">
        <v>10</v>
      </c>
    </row>
    <row r="13" spans="5:10">
      <c r="E13" s="4">
        <v>8</v>
      </c>
      <c r="F13">
        <v>8</v>
      </c>
      <c r="I13" s="4">
        <v>8</v>
      </c>
      <c r="J13">
        <v>8</v>
      </c>
    </row>
    <row r="14" spans="5:10">
      <c r="E14" s="4">
        <v>9</v>
      </c>
      <c r="F14">
        <v>14</v>
      </c>
      <c r="I14" s="4">
        <v>9</v>
      </c>
      <c r="J14">
        <v>14</v>
      </c>
    </row>
    <row r="15" spans="5:10">
      <c r="E15" s="4">
        <v>10</v>
      </c>
      <c r="F15">
        <v>15</v>
      </c>
      <c r="I15" s="4">
        <v>10</v>
      </c>
      <c r="J15">
        <v>15</v>
      </c>
    </row>
    <row r="16" spans="5:10">
      <c r="E16" s="4">
        <v>11</v>
      </c>
      <c r="F16">
        <v>10</v>
      </c>
      <c r="I16" s="4">
        <v>11</v>
      </c>
      <c r="J16">
        <v>10</v>
      </c>
    </row>
    <row r="17" spans="5:10">
      <c r="E17" s="4">
        <v>12</v>
      </c>
      <c r="F17">
        <v>10</v>
      </c>
      <c r="I17" s="4">
        <v>12</v>
      </c>
      <c r="J17">
        <v>10</v>
      </c>
    </row>
    <row r="18" spans="5:10">
      <c r="I18" s="4" t="s">
        <v>5</v>
      </c>
      <c r="J18">
        <v>20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0DF7-2326-48D6-AD68-DED16BE09523}">
  <dimension ref="A1:Q366"/>
  <sheetViews>
    <sheetView topLeftCell="A138" workbookViewId="0">
      <selection activeCell="L168" sqref="L168"/>
    </sheetView>
  </sheetViews>
  <sheetFormatPr defaultColWidth="8.85546875" defaultRowHeight="15"/>
  <cols>
    <col min="1" max="1" width="10.140625" bestFit="1" customWidth="1"/>
    <col min="2" max="2" width="8.28515625" bestFit="1" customWidth="1"/>
    <col min="3" max="3" width="9" bestFit="1" customWidth="1"/>
    <col min="6" max="6" width="13.140625" bestFit="1" customWidth="1"/>
    <col min="8" max="8" width="12.85546875" bestFit="1" customWidth="1"/>
    <col min="9" max="9" width="22" bestFit="1" customWidth="1"/>
    <col min="10" max="10" width="36.28515625" bestFit="1" customWidth="1"/>
    <col min="12" max="12" width="10.140625" bestFit="1" customWidth="1"/>
    <col min="13" max="13" width="13.42578125" bestFit="1" customWidth="1"/>
    <col min="14" max="14" width="9.42578125" bestFit="1" customWidth="1"/>
    <col min="16" max="16" width="9.42578125" customWidth="1"/>
    <col min="17" max="17" width="12.85546875" style="5" bestFit="1" customWidth="1"/>
  </cols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6">
      <c r="A2" s="1">
        <v>44562</v>
      </c>
      <c r="B2">
        <v>9.8000000000000007</v>
      </c>
      <c r="C2">
        <v>5</v>
      </c>
      <c r="D2">
        <f>MONTH(A2)</f>
        <v>1</v>
      </c>
      <c r="E2">
        <f>IF(AND(D3=staw[[#This Row],[Miesiąc]],F2=1),E1+1,0)</f>
        <v>0</v>
      </c>
      <c r="F2">
        <f t="shared" ref="F2:F65" si="0">IF(C2=0,1,0)</f>
        <v>0</v>
      </c>
      <c r="G2">
        <v>1</v>
      </c>
      <c r="H2">
        <v>1</v>
      </c>
      <c r="I2" s="2">
        <f>AVERAGE(B2:B32)</f>
        <v>1.0838709677419358</v>
      </c>
      <c r="K2">
        <v>1</v>
      </c>
      <c r="L2" s="1">
        <v>44986</v>
      </c>
      <c r="M2">
        <v>2000</v>
      </c>
      <c r="N2">
        <f>M2/10000</f>
        <v>0.2</v>
      </c>
    </row>
    <row r="3" spans="1:16">
      <c r="A3" s="1">
        <v>44563</v>
      </c>
      <c r="B3">
        <v>8.1</v>
      </c>
      <c r="C3">
        <v>1</v>
      </c>
      <c r="D3">
        <f t="shared" ref="D3:D66" si="1">MONTH(A3)</f>
        <v>1</v>
      </c>
      <c r="E3">
        <f>IF(AND(D4=staw[[#This Row],[Miesiąc]],F3=1),E2+1,0)</f>
        <v>0</v>
      </c>
      <c r="F3">
        <f t="shared" si="0"/>
        <v>0</v>
      </c>
      <c r="G3">
        <v>2</v>
      </c>
      <c r="H3">
        <v>2</v>
      </c>
      <c r="I3" s="2">
        <f>AVERAGE(B33:B60)</f>
        <v>4.1392857142857142</v>
      </c>
      <c r="K3">
        <f>K2+1</f>
        <v>2</v>
      </c>
      <c r="L3" s="1">
        <f>L2+1</f>
        <v>44987</v>
      </c>
      <c r="M3">
        <f>(M2-20-IF(WEEKDAY(L2,2)=5,60,0))*1.0175</f>
        <v>2014.65</v>
      </c>
      <c r="N3">
        <f>M3/10000</f>
        <v>0.20146500000000001</v>
      </c>
      <c r="P3" s="10"/>
    </row>
    <row r="4" spans="1:16">
      <c r="A4" s="1">
        <v>44564</v>
      </c>
      <c r="B4">
        <v>9</v>
      </c>
      <c r="C4">
        <v>2</v>
      </c>
      <c r="D4">
        <f t="shared" si="1"/>
        <v>1</v>
      </c>
      <c r="E4">
        <f>IF(AND(D5=staw[[#This Row],[Miesiąc]],F4=1),E3+1,0)</f>
        <v>0</v>
      </c>
      <c r="F4">
        <f t="shared" si="0"/>
        <v>0</v>
      </c>
      <c r="G4">
        <v>3</v>
      </c>
      <c r="H4">
        <v>3</v>
      </c>
      <c r="I4" s="2">
        <f>AVERAGE(B61:B91)</f>
        <v>4.0548387096774201</v>
      </c>
      <c r="K4">
        <f t="shared" ref="K4:K67" si="2">K3+1</f>
        <v>3</v>
      </c>
      <c r="L4" s="1">
        <f t="shared" ref="L4:L67" si="3">L3+1</f>
        <v>44988</v>
      </c>
      <c r="M4">
        <f t="shared" ref="M4:M67" si="4">(M3-20-IF(WEEKDAY(L3,2)=5,60,0))*1.0175</f>
        <v>2029.5563750000003</v>
      </c>
      <c r="N4">
        <f t="shared" ref="N4:N67" si="5">M4/10000</f>
        <v>0.20295563750000004</v>
      </c>
      <c r="P4" s="11"/>
    </row>
    <row r="5" spans="1:16">
      <c r="A5" s="1">
        <v>44565</v>
      </c>
      <c r="B5">
        <v>7.3</v>
      </c>
      <c r="C5">
        <v>1</v>
      </c>
      <c r="D5">
        <f t="shared" si="1"/>
        <v>1</v>
      </c>
      <c r="E5">
        <f>IF(AND(D6=staw[[#This Row],[Miesiąc]],F5=1),E4+1,0)</f>
        <v>0</v>
      </c>
      <c r="F5">
        <f t="shared" si="0"/>
        <v>0</v>
      </c>
      <c r="G5">
        <v>4</v>
      </c>
      <c r="H5">
        <v>4</v>
      </c>
      <c r="I5" s="2">
        <f>AVERAGE(B92:B121)</f>
        <v>7.37</v>
      </c>
      <c r="K5">
        <f t="shared" si="2"/>
        <v>4</v>
      </c>
      <c r="L5" s="1">
        <f t="shared" si="3"/>
        <v>44989</v>
      </c>
      <c r="M5">
        <f t="shared" si="4"/>
        <v>1983.6736115625006</v>
      </c>
      <c r="N5">
        <f t="shared" si="5"/>
        <v>0.19836736115625006</v>
      </c>
    </row>
    <row r="6" spans="1:16">
      <c r="A6" s="1">
        <v>44566</v>
      </c>
      <c r="B6">
        <v>5.7</v>
      </c>
      <c r="C6">
        <v>5</v>
      </c>
      <c r="D6">
        <f t="shared" si="1"/>
        <v>1</v>
      </c>
      <c r="E6">
        <f>IF(AND(D7=staw[[#This Row],[Miesiąc]],F6=1),E5+1,0)</f>
        <v>0</v>
      </c>
      <c r="F6">
        <f t="shared" si="0"/>
        <v>0</v>
      </c>
      <c r="G6">
        <v>5</v>
      </c>
      <c r="H6">
        <v>5</v>
      </c>
      <c r="I6" s="2">
        <f>AVERAGE(B122:B152)</f>
        <v>15.86451612903226</v>
      </c>
      <c r="K6">
        <f t="shared" si="2"/>
        <v>5</v>
      </c>
      <c r="L6" s="1">
        <f t="shared" si="3"/>
        <v>44990</v>
      </c>
      <c r="M6">
        <f t="shared" si="4"/>
        <v>1998.0378997648445</v>
      </c>
      <c r="N6">
        <f t="shared" si="5"/>
        <v>0.19980378997648446</v>
      </c>
    </row>
    <row r="7" spans="1:16">
      <c r="A7" s="1">
        <v>44567</v>
      </c>
      <c r="B7">
        <v>1.7</v>
      </c>
      <c r="C7">
        <v>0</v>
      </c>
      <c r="D7">
        <f t="shared" si="1"/>
        <v>1</v>
      </c>
      <c r="E7">
        <f>IF(AND(D8=staw[[#This Row],[Miesiąc]],F7=1),E6+1,0)</f>
        <v>1</v>
      </c>
      <c r="F7">
        <f t="shared" si="0"/>
        <v>1</v>
      </c>
      <c r="G7">
        <v>6</v>
      </c>
      <c r="H7">
        <v>6</v>
      </c>
      <c r="I7" s="2">
        <f>AVERAGE(B153:B182)</f>
        <v>20.486666666666665</v>
      </c>
      <c r="K7">
        <f t="shared" si="2"/>
        <v>6</v>
      </c>
      <c r="L7" s="1">
        <f t="shared" si="3"/>
        <v>44991</v>
      </c>
      <c r="M7">
        <f t="shared" si="4"/>
        <v>2012.6535630107294</v>
      </c>
      <c r="N7">
        <f t="shared" si="5"/>
        <v>0.20126535630107295</v>
      </c>
    </row>
    <row r="8" spans="1:16">
      <c r="A8" s="1">
        <v>44568</v>
      </c>
      <c r="B8">
        <v>-1.4</v>
      </c>
      <c r="C8">
        <v>0</v>
      </c>
      <c r="D8">
        <f t="shared" si="1"/>
        <v>1</v>
      </c>
      <c r="E8">
        <f>IF(AND(D9=staw[[#This Row],[Miesiąc]],F8=1),E7+1,0)</f>
        <v>2</v>
      </c>
      <c r="F8">
        <f t="shared" si="0"/>
        <v>1</v>
      </c>
      <c r="G8">
        <v>7</v>
      </c>
      <c r="H8">
        <v>7</v>
      </c>
      <c r="I8" s="2">
        <f>AVERAGE(B183:B213)</f>
        <v>20.393548387096779</v>
      </c>
      <c r="K8">
        <f t="shared" si="2"/>
        <v>7</v>
      </c>
      <c r="L8" s="1">
        <f t="shared" si="3"/>
        <v>44992</v>
      </c>
      <c r="M8">
        <f t="shared" si="4"/>
        <v>2027.5250003634173</v>
      </c>
      <c r="N8">
        <f t="shared" si="5"/>
        <v>0.20275250003634174</v>
      </c>
    </row>
    <row r="9" spans="1:16">
      <c r="A9" s="1">
        <v>44569</v>
      </c>
      <c r="B9">
        <v>-1.5</v>
      </c>
      <c r="C9">
        <v>0</v>
      </c>
      <c r="D9">
        <f t="shared" si="1"/>
        <v>1</v>
      </c>
      <c r="E9">
        <f>IF(AND(D10=staw[[#This Row],[Miesiąc]],F9=1),E8+1,0)</f>
        <v>3</v>
      </c>
      <c r="F9">
        <f t="shared" si="0"/>
        <v>1</v>
      </c>
      <c r="G9">
        <v>8</v>
      </c>
      <c r="H9">
        <v>8</v>
      </c>
      <c r="I9" s="2">
        <f>AVERAGE(B214:B244)</f>
        <v>21.13225806451613</v>
      </c>
      <c r="K9">
        <f t="shared" si="2"/>
        <v>8</v>
      </c>
      <c r="L9" s="1">
        <f t="shared" si="3"/>
        <v>44993</v>
      </c>
      <c r="M9">
        <f t="shared" si="4"/>
        <v>2042.6566878697772</v>
      </c>
      <c r="N9">
        <f t="shared" si="5"/>
        <v>0.20426566878697772</v>
      </c>
    </row>
    <row r="10" spans="1:16">
      <c r="A10" s="1">
        <v>44570</v>
      </c>
      <c r="B10">
        <v>-1.2</v>
      </c>
      <c r="C10">
        <v>0</v>
      </c>
      <c r="D10">
        <f t="shared" si="1"/>
        <v>1</v>
      </c>
      <c r="E10">
        <f>IF(AND(D11=staw[[#This Row],[Miesiąc]],F10=1),E9+1,0)</f>
        <v>4</v>
      </c>
      <c r="F10">
        <f t="shared" si="0"/>
        <v>1</v>
      </c>
      <c r="G10">
        <v>9</v>
      </c>
      <c r="H10">
        <v>9</v>
      </c>
      <c r="I10" s="2">
        <f>AVERAGE(B245:B274)</f>
        <v>13.670000000000003</v>
      </c>
      <c r="K10">
        <f t="shared" si="2"/>
        <v>9</v>
      </c>
      <c r="L10" s="1">
        <f t="shared" si="3"/>
        <v>44994</v>
      </c>
      <c r="M10">
        <f t="shared" si="4"/>
        <v>2058.0531799074984</v>
      </c>
      <c r="N10">
        <f t="shared" si="5"/>
        <v>0.20580531799074983</v>
      </c>
    </row>
    <row r="11" spans="1:16">
      <c r="A11" s="1">
        <v>44571</v>
      </c>
      <c r="B11">
        <v>-3.8</v>
      </c>
      <c r="C11">
        <v>0</v>
      </c>
      <c r="D11">
        <f t="shared" si="1"/>
        <v>1</v>
      </c>
      <c r="E11">
        <f>IF(AND(D12=staw[[#This Row],[Miesiąc]],F11=1),E10+1,0)</f>
        <v>5</v>
      </c>
      <c r="F11">
        <f t="shared" si="0"/>
        <v>1</v>
      </c>
      <c r="G11">
        <v>10</v>
      </c>
      <c r="H11">
        <v>10</v>
      </c>
      <c r="I11" s="2">
        <f>AVERAGE(B275:B305)</f>
        <v>12.477419354838711</v>
      </c>
      <c r="K11">
        <f t="shared" si="2"/>
        <v>10</v>
      </c>
      <c r="L11" s="1">
        <f t="shared" si="3"/>
        <v>44995</v>
      </c>
      <c r="M11">
        <f t="shared" si="4"/>
        <v>2073.7191105558795</v>
      </c>
      <c r="N11">
        <f t="shared" si="5"/>
        <v>0.20737191105558794</v>
      </c>
    </row>
    <row r="12" spans="1:16">
      <c r="A12" s="1">
        <v>44572</v>
      </c>
      <c r="B12">
        <v>-2.7</v>
      </c>
      <c r="C12">
        <v>0</v>
      </c>
      <c r="D12">
        <f t="shared" si="1"/>
        <v>1</v>
      </c>
      <c r="E12">
        <f>IF(AND(D13=staw[[#This Row],[Miesiąc]],F12=1),E11+1,0)</f>
        <v>6</v>
      </c>
      <c r="F12">
        <f t="shared" si="0"/>
        <v>1</v>
      </c>
      <c r="G12">
        <v>11</v>
      </c>
      <c r="H12">
        <v>11</v>
      </c>
      <c r="I12" s="2">
        <f>AVERAGE(B306:B335)</f>
        <v>5.2</v>
      </c>
      <c r="K12">
        <f t="shared" si="2"/>
        <v>11</v>
      </c>
      <c r="L12" s="1">
        <f t="shared" si="3"/>
        <v>44996</v>
      </c>
      <c r="M12">
        <f t="shared" si="4"/>
        <v>2028.6091949906076</v>
      </c>
      <c r="N12">
        <f t="shared" si="5"/>
        <v>0.20286091949906077</v>
      </c>
    </row>
    <row r="13" spans="1:16">
      <c r="A13" s="1">
        <v>44573</v>
      </c>
      <c r="B13">
        <v>-3.9</v>
      </c>
      <c r="C13">
        <v>0</v>
      </c>
      <c r="D13">
        <f t="shared" si="1"/>
        <v>1</v>
      </c>
      <c r="E13">
        <f>IF(AND(D14=staw[[#This Row],[Miesiąc]],F13=1),E12+1,0)</f>
        <v>7</v>
      </c>
      <c r="F13">
        <f t="shared" si="0"/>
        <v>1</v>
      </c>
      <c r="G13">
        <v>12</v>
      </c>
      <c r="H13">
        <v>12</v>
      </c>
      <c r="I13" s="2">
        <f>AVERAGE(B336:B366)</f>
        <v>1.5903225806451613</v>
      </c>
      <c r="K13">
        <f t="shared" si="2"/>
        <v>12</v>
      </c>
      <c r="L13" s="1">
        <f t="shared" si="3"/>
        <v>44997</v>
      </c>
      <c r="M13">
        <f t="shared" si="4"/>
        <v>2043.7598559029434</v>
      </c>
      <c r="N13">
        <f t="shared" si="5"/>
        <v>0.20437598559029435</v>
      </c>
    </row>
    <row r="14" spans="1:16">
      <c r="A14" s="1">
        <v>44574</v>
      </c>
      <c r="B14">
        <v>1.6</v>
      </c>
      <c r="C14">
        <v>0</v>
      </c>
      <c r="D14">
        <f t="shared" si="1"/>
        <v>1</v>
      </c>
      <c r="E14">
        <f>IF(AND(D15=staw[[#This Row],[Miesiąc]],F14=1),E13+1,0)</f>
        <v>8</v>
      </c>
      <c r="F14">
        <f t="shared" si="0"/>
        <v>1</v>
      </c>
      <c r="G14">
        <v>13</v>
      </c>
      <c r="K14">
        <f t="shared" si="2"/>
        <v>13</v>
      </c>
      <c r="L14" s="1">
        <f t="shared" si="3"/>
        <v>44998</v>
      </c>
      <c r="M14">
        <f t="shared" si="4"/>
        <v>2059.175653381245</v>
      </c>
      <c r="N14">
        <f t="shared" si="5"/>
        <v>0.2059175653381245</v>
      </c>
    </row>
    <row r="15" spans="1:16">
      <c r="A15" s="1">
        <v>44575</v>
      </c>
      <c r="B15">
        <v>3.1</v>
      </c>
      <c r="C15">
        <v>0</v>
      </c>
      <c r="D15">
        <f t="shared" si="1"/>
        <v>1</v>
      </c>
      <c r="E15">
        <f>IF(AND(D16=staw[[#This Row],[Miesiąc]],F15=1),E14+1,0)</f>
        <v>9</v>
      </c>
      <c r="F15">
        <f t="shared" si="0"/>
        <v>1</v>
      </c>
      <c r="G15">
        <v>14</v>
      </c>
      <c r="K15">
        <f t="shared" si="2"/>
        <v>14</v>
      </c>
      <c r="L15" s="1">
        <f t="shared" si="3"/>
        <v>44999</v>
      </c>
      <c r="M15">
        <f t="shared" si="4"/>
        <v>2074.8612273154167</v>
      </c>
      <c r="N15">
        <f t="shared" si="5"/>
        <v>0.20748612273154168</v>
      </c>
    </row>
    <row r="16" spans="1:16">
      <c r="A16" s="1">
        <v>44576</v>
      </c>
      <c r="B16">
        <v>1.2</v>
      </c>
      <c r="C16">
        <v>0</v>
      </c>
      <c r="D16">
        <f t="shared" si="1"/>
        <v>1</v>
      </c>
      <c r="E16">
        <f>IF(AND(D17=staw[[#This Row],[Miesiąc]],F16=1),E15+1,0)</f>
        <v>10</v>
      </c>
      <c r="F16">
        <f t="shared" si="0"/>
        <v>1</v>
      </c>
      <c r="G16">
        <v>15</v>
      </c>
      <c r="K16">
        <f t="shared" si="2"/>
        <v>15</v>
      </c>
      <c r="L16" s="1">
        <f t="shared" si="3"/>
        <v>45000</v>
      </c>
      <c r="M16">
        <f t="shared" si="4"/>
        <v>2090.8212987934367</v>
      </c>
      <c r="N16">
        <f t="shared" si="5"/>
        <v>0.20908212987934366</v>
      </c>
    </row>
    <row r="17" spans="1:14">
      <c r="A17" s="1">
        <v>44577</v>
      </c>
      <c r="B17">
        <v>-0.8</v>
      </c>
      <c r="C17">
        <v>0</v>
      </c>
      <c r="D17">
        <f t="shared" si="1"/>
        <v>1</v>
      </c>
      <c r="E17">
        <f>IF(AND(D18=staw[[#This Row],[Miesiąc]],F17=1),E16+1,0)</f>
        <v>11</v>
      </c>
      <c r="F17">
        <f t="shared" si="0"/>
        <v>1</v>
      </c>
      <c r="G17">
        <v>16</v>
      </c>
      <c r="K17">
        <f t="shared" si="2"/>
        <v>16</v>
      </c>
      <c r="L17" s="1">
        <f t="shared" si="3"/>
        <v>45001</v>
      </c>
      <c r="M17">
        <f t="shared" si="4"/>
        <v>2107.0606715223221</v>
      </c>
      <c r="N17">
        <f t="shared" si="5"/>
        <v>0.2107060671522322</v>
      </c>
    </row>
    <row r="18" spans="1:14">
      <c r="A18" s="1">
        <v>44578</v>
      </c>
      <c r="B18">
        <v>1.8</v>
      </c>
      <c r="C18">
        <v>1</v>
      </c>
      <c r="D18">
        <f t="shared" si="1"/>
        <v>1</v>
      </c>
      <c r="E18">
        <f>IF(AND(D19=staw[[#This Row],[Miesiąc]],F18=1),E17+1,0)</f>
        <v>0</v>
      </c>
      <c r="F18">
        <f t="shared" si="0"/>
        <v>0</v>
      </c>
      <c r="G18">
        <v>17</v>
      </c>
      <c r="K18">
        <f t="shared" si="2"/>
        <v>17</v>
      </c>
      <c r="L18" s="1">
        <f t="shared" si="3"/>
        <v>45002</v>
      </c>
      <c r="M18">
        <f t="shared" si="4"/>
        <v>2123.584233273963</v>
      </c>
      <c r="N18">
        <f t="shared" si="5"/>
        <v>0.2123584233273963</v>
      </c>
    </row>
    <row r="19" spans="1:14">
      <c r="A19" s="1">
        <v>44579</v>
      </c>
      <c r="B19">
        <v>-0.2</v>
      </c>
      <c r="C19">
        <v>0</v>
      </c>
      <c r="D19">
        <f t="shared" si="1"/>
        <v>1</v>
      </c>
      <c r="E19">
        <f>IF(AND(D20=staw[[#This Row],[Miesiąc]],F19=1),E18+1,0)</f>
        <v>1</v>
      </c>
      <c r="F19">
        <f t="shared" si="0"/>
        <v>1</v>
      </c>
      <c r="G19">
        <v>18</v>
      </c>
      <c r="K19">
        <f t="shared" si="2"/>
        <v>18</v>
      </c>
      <c r="L19" s="1">
        <f t="shared" si="3"/>
        <v>45003</v>
      </c>
      <c r="M19">
        <f t="shared" si="4"/>
        <v>2079.3469573562575</v>
      </c>
      <c r="N19">
        <f t="shared" si="5"/>
        <v>0.20793469573562576</v>
      </c>
    </row>
    <row r="20" spans="1:14">
      <c r="A20" s="1">
        <v>44580</v>
      </c>
      <c r="B20">
        <v>1</v>
      </c>
      <c r="C20">
        <v>0</v>
      </c>
      <c r="D20">
        <f t="shared" si="1"/>
        <v>1</v>
      </c>
      <c r="E20">
        <f>IF(AND(D21=staw[[#This Row],[Miesiąc]],F20=1),E19+1,0)</f>
        <v>2</v>
      </c>
      <c r="F20">
        <f t="shared" si="0"/>
        <v>1</v>
      </c>
      <c r="G20">
        <v>19</v>
      </c>
      <c r="K20">
        <f t="shared" si="2"/>
        <v>19</v>
      </c>
      <c r="L20" s="1">
        <f t="shared" si="3"/>
        <v>45004</v>
      </c>
      <c r="M20">
        <f t="shared" si="4"/>
        <v>2095.3855291099921</v>
      </c>
      <c r="N20">
        <f t="shared" si="5"/>
        <v>0.20953855291099921</v>
      </c>
    </row>
    <row r="21" spans="1:14">
      <c r="A21" s="1">
        <v>44581</v>
      </c>
      <c r="B21">
        <v>0.5</v>
      </c>
      <c r="C21">
        <v>1</v>
      </c>
      <c r="D21">
        <f t="shared" si="1"/>
        <v>1</v>
      </c>
      <c r="E21">
        <f>IF(AND(D22=staw[[#This Row],[Miesiąc]],F21=1),E20+1,0)</f>
        <v>0</v>
      </c>
      <c r="F21">
        <f t="shared" si="0"/>
        <v>0</v>
      </c>
      <c r="G21">
        <v>20</v>
      </c>
      <c r="K21">
        <f t="shared" si="2"/>
        <v>20</v>
      </c>
      <c r="L21" s="1">
        <f t="shared" si="3"/>
        <v>45005</v>
      </c>
      <c r="M21">
        <f t="shared" si="4"/>
        <v>2111.7047758694171</v>
      </c>
      <c r="N21">
        <f t="shared" si="5"/>
        <v>0.21117047758694171</v>
      </c>
    </row>
    <row r="22" spans="1:14">
      <c r="A22" s="1">
        <v>44582</v>
      </c>
      <c r="B22">
        <v>-2.4</v>
      </c>
      <c r="C22">
        <v>0</v>
      </c>
      <c r="D22">
        <f t="shared" si="1"/>
        <v>1</v>
      </c>
      <c r="E22">
        <f>IF(AND(D23=staw[[#This Row],[Miesiąc]],F22=1),E21+1,0)</f>
        <v>1</v>
      </c>
      <c r="F22">
        <f t="shared" si="0"/>
        <v>1</v>
      </c>
      <c r="G22">
        <v>21</v>
      </c>
      <c r="K22">
        <f t="shared" si="2"/>
        <v>21</v>
      </c>
      <c r="L22" s="1">
        <f t="shared" si="3"/>
        <v>45006</v>
      </c>
      <c r="M22">
        <f t="shared" si="4"/>
        <v>2128.3096094471321</v>
      </c>
      <c r="N22">
        <f t="shared" si="5"/>
        <v>0.21283096094471321</v>
      </c>
    </row>
    <row r="23" spans="1:14">
      <c r="A23" s="1">
        <v>44583</v>
      </c>
      <c r="B23">
        <v>-2.5</v>
      </c>
      <c r="C23">
        <v>0</v>
      </c>
      <c r="D23">
        <f t="shared" si="1"/>
        <v>1</v>
      </c>
      <c r="E23">
        <f>IF(AND(D24=staw[[#This Row],[Miesiąc]],F23=1),E22+1,0)</f>
        <v>2</v>
      </c>
      <c r="F23">
        <f t="shared" si="0"/>
        <v>1</v>
      </c>
      <c r="G23">
        <v>22</v>
      </c>
      <c r="K23">
        <f t="shared" si="2"/>
        <v>22</v>
      </c>
      <c r="L23" s="1">
        <f t="shared" si="3"/>
        <v>45007</v>
      </c>
      <c r="M23">
        <f t="shared" si="4"/>
        <v>2145.2050276124569</v>
      </c>
      <c r="N23">
        <f t="shared" si="5"/>
        <v>0.21452050276124568</v>
      </c>
    </row>
    <row r="24" spans="1:14">
      <c r="A24" s="1">
        <v>44584</v>
      </c>
      <c r="B24">
        <v>-3.1</v>
      </c>
      <c r="C24">
        <v>0</v>
      </c>
      <c r="D24">
        <f t="shared" si="1"/>
        <v>1</v>
      </c>
      <c r="E24">
        <f>IF(AND(D25=staw[[#This Row],[Miesiąc]],F24=1),E23+1,0)</f>
        <v>3</v>
      </c>
      <c r="F24">
        <f t="shared" si="0"/>
        <v>1</v>
      </c>
      <c r="G24">
        <v>23</v>
      </c>
      <c r="K24">
        <f t="shared" si="2"/>
        <v>23</v>
      </c>
      <c r="L24" s="1">
        <f t="shared" si="3"/>
        <v>45008</v>
      </c>
      <c r="M24">
        <f t="shared" si="4"/>
        <v>2162.3961155956749</v>
      </c>
      <c r="N24">
        <f t="shared" si="5"/>
        <v>0.2162396115595675</v>
      </c>
    </row>
    <row r="25" spans="1:14">
      <c r="A25" s="1">
        <v>44585</v>
      </c>
      <c r="B25">
        <v>-6.6</v>
      </c>
      <c r="C25">
        <v>0</v>
      </c>
      <c r="D25">
        <f t="shared" si="1"/>
        <v>1</v>
      </c>
      <c r="E25">
        <f>IF(AND(D26=staw[[#This Row],[Miesiąc]],F25=1),E24+1,0)</f>
        <v>4</v>
      </c>
      <c r="F25">
        <f t="shared" si="0"/>
        <v>1</v>
      </c>
      <c r="G25">
        <v>24</v>
      </c>
      <c r="K25">
        <f t="shared" si="2"/>
        <v>24</v>
      </c>
      <c r="L25" s="1">
        <f t="shared" si="3"/>
        <v>45009</v>
      </c>
      <c r="M25">
        <f t="shared" si="4"/>
        <v>2179.8880476185996</v>
      </c>
      <c r="N25">
        <f t="shared" si="5"/>
        <v>0.21798880476185994</v>
      </c>
    </row>
    <row r="26" spans="1:14">
      <c r="A26" s="1">
        <v>44586</v>
      </c>
      <c r="B26">
        <v>0.2</v>
      </c>
      <c r="C26">
        <v>0</v>
      </c>
      <c r="D26">
        <f t="shared" si="1"/>
        <v>1</v>
      </c>
      <c r="E26">
        <f>IF(AND(D27=staw[[#This Row],[Miesiąc]],F26=1),E25+1,0)</f>
        <v>5</v>
      </c>
      <c r="F26">
        <f t="shared" si="0"/>
        <v>1</v>
      </c>
      <c r="G26">
        <v>25</v>
      </c>
      <c r="K26">
        <f t="shared" si="2"/>
        <v>25</v>
      </c>
      <c r="L26" s="1">
        <f t="shared" si="3"/>
        <v>45010</v>
      </c>
      <c r="M26">
        <f t="shared" si="4"/>
        <v>2136.6360884519254</v>
      </c>
      <c r="N26">
        <f t="shared" si="5"/>
        <v>0.21366360884519253</v>
      </c>
    </row>
    <row r="27" spans="1:14">
      <c r="A27" s="1">
        <v>44587</v>
      </c>
      <c r="B27">
        <v>1.6</v>
      </c>
      <c r="C27">
        <v>1</v>
      </c>
      <c r="D27">
        <f t="shared" si="1"/>
        <v>1</v>
      </c>
      <c r="E27">
        <f>IF(AND(D28=staw[[#This Row],[Miesiąc]],F27=1),E26+1,0)</f>
        <v>0</v>
      </c>
      <c r="F27">
        <f t="shared" si="0"/>
        <v>0</v>
      </c>
      <c r="G27">
        <v>26</v>
      </c>
      <c r="K27">
        <f t="shared" si="2"/>
        <v>26</v>
      </c>
      <c r="L27" s="1">
        <f t="shared" si="3"/>
        <v>45011</v>
      </c>
      <c r="M27">
        <f t="shared" si="4"/>
        <v>2153.6772199998341</v>
      </c>
      <c r="N27">
        <f t="shared" si="5"/>
        <v>0.21536772199998341</v>
      </c>
    </row>
    <row r="28" spans="1:14">
      <c r="A28" s="1">
        <v>44588</v>
      </c>
      <c r="B28">
        <v>1.6</v>
      </c>
      <c r="C28">
        <v>2</v>
      </c>
      <c r="D28">
        <f t="shared" si="1"/>
        <v>1</v>
      </c>
      <c r="E28">
        <f>IF(AND(D29=staw[[#This Row],[Miesiąc]],F28=1),E27+1,0)</f>
        <v>0</v>
      </c>
      <c r="F28">
        <f t="shared" si="0"/>
        <v>0</v>
      </c>
      <c r="G28">
        <v>27</v>
      </c>
      <c r="K28">
        <f t="shared" si="2"/>
        <v>27</v>
      </c>
      <c r="L28" s="1">
        <f t="shared" si="3"/>
        <v>45012</v>
      </c>
      <c r="M28">
        <f t="shared" si="4"/>
        <v>2171.0165713498313</v>
      </c>
      <c r="N28">
        <f t="shared" si="5"/>
        <v>0.21710165713498314</v>
      </c>
    </row>
    <row r="29" spans="1:14">
      <c r="A29" s="1">
        <v>44589</v>
      </c>
      <c r="B29">
        <v>2.2000000000000002</v>
      </c>
      <c r="C29">
        <v>3</v>
      </c>
      <c r="D29">
        <f t="shared" si="1"/>
        <v>1</v>
      </c>
      <c r="E29">
        <f>IF(AND(D30=staw[[#This Row],[Miesiąc]],F29=1),E28+1,0)</f>
        <v>0</v>
      </c>
      <c r="F29">
        <f t="shared" si="0"/>
        <v>0</v>
      </c>
      <c r="G29">
        <v>28</v>
      </c>
      <c r="K29">
        <f t="shared" si="2"/>
        <v>28</v>
      </c>
      <c r="L29" s="1">
        <f t="shared" si="3"/>
        <v>45013</v>
      </c>
      <c r="M29">
        <f t="shared" si="4"/>
        <v>2188.6593613484533</v>
      </c>
      <c r="N29">
        <f t="shared" si="5"/>
        <v>0.21886593613484534</v>
      </c>
    </row>
    <row r="30" spans="1:14">
      <c r="A30" s="1">
        <v>44590</v>
      </c>
      <c r="B30">
        <v>1.6</v>
      </c>
      <c r="C30">
        <v>0</v>
      </c>
      <c r="D30">
        <f t="shared" si="1"/>
        <v>1</v>
      </c>
      <c r="E30">
        <f>IF(AND(D31=staw[[#This Row],[Miesiąc]],F30=1),E29+1,0)</f>
        <v>1</v>
      </c>
      <c r="F30">
        <f t="shared" si="0"/>
        <v>1</v>
      </c>
      <c r="G30">
        <v>29</v>
      </c>
      <c r="K30">
        <f t="shared" si="2"/>
        <v>29</v>
      </c>
      <c r="L30" s="1">
        <f t="shared" si="3"/>
        <v>45014</v>
      </c>
      <c r="M30">
        <f t="shared" si="4"/>
        <v>2206.6109001720515</v>
      </c>
      <c r="N30">
        <f t="shared" si="5"/>
        <v>0.22066109001720516</v>
      </c>
    </row>
    <row r="31" spans="1:14">
      <c r="A31" s="1">
        <v>44591</v>
      </c>
      <c r="B31">
        <v>4</v>
      </c>
      <c r="C31">
        <v>6</v>
      </c>
      <c r="D31">
        <f t="shared" si="1"/>
        <v>1</v>
      </c>
      <c r="E31">
        <f>IF(AND(D32=staw[[#This Row],[Miesiąc]],F31=1),E30+1,0)</f>
        <v>0</v>
      </c>
      <c r="F31">
        <f t="shared" si="0"/>
        <v>0</v>
      </c>
      <c r="G31">
        <v>30</v>
      </c>
      <c r="K31">
        <f t="shared" si="2"/>
        <v>30</v>
      </c>
      <c r="L31" s="1">
        <f t="shared" si="3"/>
        <v>45015</v>
      </c>
      <c r="M31">
        <f t="shared" si="4"/>
        <v>2224.8765909250624</v>
      </c>
      <c r="N31">
        <f t="shared" si="5"/>
        <v>0.22248765909250623</v>
      </c>
    </row>
    <row r="32" spans="1:14">
      <c r="A32" s="1">
        <v>44592</v>
      </c>
      <c r="B32">
        <v>1.7</v>
      </c>
      <c r="C32">
        <v>0</v>
      </c>
      <c r="D32">
        <f t="shared" si="1"/>
        <v>1</v>
      </c>
      <c r="E32">
        <f>IF(AND(D33=staw[[#This Row],[Miesiąc]],F32=1),E31+1,0)</f>
        <v>0</v>
      </c>
      <c r="F32">
        <f t="shared" si="0"/>
        <v>1</v>
      </c>
      <c r="G32">
        <v>31</v>
      </c>
      <c r="K32">
        <f t="shared" si="2"/>
        <v>31</v>
      </c>
      <c r="L32" s="1">
        <f t="shared" si="3"/>
        <v>45016</v>
      </c>
      <c r="M32">
        <f t="shared" si="4"/>
        <v>2243.4619312662512</v>
      </c>
      <c r="N32">
        <f t="shared" si="5"/>
        <v>0.22434619312662513</v>
      </c>
    </row>
    <row r="33" spans="1:14">
      <c r="A33" s="1">
        <v>44593</v>
      </c>
      <c r="B33">
        <v>0.8</v>
      </c>
      <c r="C33">
        <v>0</v>
      </c>
      <c r="D33">
        <f t="shared" si="1"/>
        <v>2</v>
      </c>
      <c r="E33">
        <f>IF(AND(D34=staw[[#This Row],[Miesiąc]],F33=1),E32+1,0)</f>
        <v>1</v>
      </c>
      <c r="F33">
        <f t="shared" si="0"/>
        <v>1</v>
      </c>
      <c r="G33">
        <v>32</v>
      </c>
      <c r="K33">
        <f t="shared" si="2"/>
        <v>32</v>
      </c>
      <c r="L33" s="1">
        <f t="shared" si="3"/>
        <v>45017</v>
      </c>
      <c r="M33">
        <f t="shared" si="4"/>
        <v>2201.3225150634107</v>
      </c>
      <c r="N33">
        <f t="shared" si="5"/>
        <v>0.22013225150634108</v>
      </c>
    </row>
    <row r="34" spans="1:14">
      <c r="A34" s="1">
        <v>44594</v>
      </c>
      <c r="B34">
        <v>2</v>
      </c>
      <c r="C34">
        <v>8</v>
      </c>
      <c r="D34">
        <f t="shared" si="1"/>
        <v>2</v>
      </c>
      <c r="E34">
        <f>IF(AND(D35=staw[[#This Row],[Miesiąc]],F34=1),E33+1,0)</f>
        <v>0</v>
      </c>
      <c r="F34">
        <f t="shared" si="0"/>
        <v>0</v>
      </c>
      <c r="G34">
        <v>33</v>
      </c>
      <c r="K34">
        <f t="shared" si="2"/>
        <v>33</v>
      </c>
      <c r="L34" s="1">
        <f t="shared" si="3"/>
        <v>45018</v>
      </c>
      <c r="M34">
        <f t="shared" si="4"/>
        <v>2219.4956590770207</v>
      </c>
      <c r="N34">
        <f t="shared" si="5"/>
        <v>0.22194956590770207</v>
      </c>
    </row>
    <row r="35" spans="1:14">
      <c r="A35" s="1">
        <v>44595</v>
      </c>
      <c r="B35">
        <v>0.4</v>
      </c>
      <c r="C35">
        <v>1</v>
      </c>
      <c r="D35">
        <f t="shared" si="1"/>
        <v>2</v>
      </c>
      <c r="E35">
        <f>IF(AND(D36=staw[[#This Row],[Miesiąc]],F35=1),E34+1,0)</f>
        <v>0</v>
      </c>
      <c r="F35">
        <f t="shared" si="0"/>
        <v>0</v>
      </c>
      <c r="G35">
        <v>34</v>
      </c>
      <c r="K35">
        <f t="shared" si="2"/>
        <v>34</v>
      </c>
      <c r="L35" s="1">
        <f t="shared" si="3"/>
        <v>45019</v>
      </c>
      <c r="M35">
        <f t="shared" si="4"/>
        <v>2237.9868331108687</v>
      </c>
      <c r="N35">
        <f t="shared" si="5"/>
        <v>0.22379868331108688</v>
      </c>
    </row>
    <row r="36" spans="1:14">
      <c r="A36" s="1">
        <v>44596</v>
      </c>
      <c r="B36">
        <v>2.1</v>
      </c>
      <c r="C36">
        <v>1</v>
      </c>
      <c r="D36">
        <f t="shared" si="1"/>
        <v>2</v>
      </c>
      <c r="E36">
        <f>IF(AND(D37=staw[[#This Row],[Miesiąc]],F36=1),E35+1,0)</f>
        <v>0</v>
      </c>
      <c r="F36">
        <f t="shared" si="0"/>
        <v>0</v>
      </c>
      <c r="G36">
        <v>35</v>
      </c>
      <c r="K36">
        <f t="shared" si="2"/>
        <v>35</v>
      </c>
      <c r="L36" s="1">
        <f t="shared" si="3"/>
        <v>45020</v>
      </c>
      <c r="M36">
        <f t="shared" si="4"/>
        <v>2256.8016026903092</v>
      </c>
      <c r="N36">
        <f t="shared" si="5"/>
        <v>0.22568016026903093</v>
      </c>
    </row>
    <row r="37" spans="1:14">
      <c r="A37" s="1">
        <v>44597</v>
      </c>
      <c r="B37">
        <v>3.4</v>
      </c>
      <c r="C37">
        <v>0</v>
      </c>
      <c r="D37">
        <f t="shared" si="1"/>
        <v>2</v>
      </c>
      <c r="E37">
        <f>IF(AND(D38=staw[[#This Row],[Miesiąc]],F37=1),E36+1,0)</f>
        <v>1</v>
      </c>
      <c r="F37">
        <f t="shared" si="0"/>
        <v>1</v>
      </c>
      <c r="G37">
        <v>36</v>
      </c>
      <c r="K37">
        <f t="shared" si="2"/>
        <v>36</v>
      </c>
      <c r="L37" s="1">
        <f t="shared" si="3"/>
        <v>45021</v>
      </c>
      <c r="M37">
        <f t="shared" si="4"/>
        <v>2275.9456307373898</v>
      </c>
      <c r="N37">
        <f t="shared" si="5"/>
        <v>0.22759456307373899</v>
      </c>
    </row>
    <row r="38" spans="1:14">
      <c r="A38" s="1">
        <v>44598</v>
      </c>
      <c r="B38">
        <v>4.5</v>
      </c>
      <c r="C38">
        <v>0</v>
      </c>
      <c r="D38">
        <f t="shared" si="1"/>
        <v>2</v>
      </c>
      <c r="E38">
        <f>IF(AND(D39=staw[[#This Row],[Miesiąc]],F38=1),E37+1,0)</f>
        <v>2</v>
      </c>
      <c r="F38">
        <f t="shared" si="0"/>
        <v>1</v>
      </c>
      <c r="G38">
        <v>37</v>
      </c>
      <c r="K38">
        <f t="shared" si="2"/>
        <v>37</v>
      </c>
      <c r="L38" s="1">
        <f t="shared" si="3"/>
        <v>45022</v>
      </c>
      <c r="M38">
        <f t="shared" si="4"/>
        <v>2295.4246792752942</v>
      </c>
      <c r="N38">
        <f t="shared" si="5"/>
        <v>0.22954246792752941</v>
      </c>
    </row>
    <row r="39" spans="1:14">
      <c r="A39" s="1">
        <v>44599</v>
      </c>
      <c r="B39">
        <v>3.6</v>
      </c>
      <c r="C39">
        <v>0</v>
      </c>
      <c r="D39">
        <f t="shared" si="1"/>
        <v>2</v>
      </c>
      <c r="E39">
        <f>IF(AND(D40=staw[[#This Row],[Miesiąc]],F39=1),E38+1,0)</f>
        <v>3</v>
      </c>
      <c r="F39">
        <f t="shared" si="0"/>
        <v>1</v>
      </c>
      <c r="G39">
        <v>38</v>
      </c>
      <c r="K39">
        <f t="shared" si="2"/>
        <v>38</v>
      </c>
      <c r="L39" s="1">
        <f t="shared" si="3"/>
        <v>45023</v>
      </c>
      <c r="M39">
        <f t="shared" si="4"/>
        <v>2315.2446111626123</v>
      </c>
      <c r="N39">
        <f t="shared" si="5"/>
        <v>0.23152446111626124</v>
      </c>
    </row>
    <row r="40" spans="1:14">
      <c r="A40" s="1">
        <v>44600</v>
      </c>
      <c r="B40">
        <v>3.6</v>
      </c>
      <c r="C40">
        <v>1</v>
      </c>
      <c r="D40">
        <f t="shared" si="1"/>
        <v>2</v>
      </c>
      <c r="E40">
        <f>IF(AND(D41=staw[[#This Row],[Miesiąc]],F40=1),E39+1,0)</f>
        <v>0</v>
      </c>
      <c r="F40">
        <f t="shared" si="0"/>
        <v>0</v>
      </c>
      <c r="G40">
        <v>39</v>
      </c>
      <c r="K40">
        <f t="shared" si="2"/>
        <v>39</v>
      </c>
      <c r="L40" s="1">
        <f t="shared" si="3"/>
        <v>45024</v>
      </c>
      <c r="M40">
        <f t="shared" si="4"/>
        <v>2274.3613918579581</v>
      </c>
      <c r="N40">
        <f t="shared" si="5"/>
        <v>0.2274361391857958</v>
      </c>
    </row>
    <row r="41" spans="1:14">
      <c r="A41" s="1">
        <v>44601</v>
      </c>
      <c r="B41">
        <v>6.8</v>
      </c>
      <c r="C41">
        <v>2</v>
      </c>
      <c r="D41">
        <f t="shared" si="1"/>
        <v>2</v>
      </c>
      <c r="E41">
        <f>IF(AND(D42=staw[[#This Row],[Miesiąc]],F41=1),E40+1,0)</f>
        <v>0</v>
      </c>
      <c r="F41">
        <f t="shared" si="0"/>
        <v>0</v>
      </c>
      <c r="G41">
        <v>40</v>
      </c>
      <c r="K41">
        <f t="shared" si="2"/>
        <v>40</v>
      </c>
      <c r="L41" s="1">
        <f t="shared" si="3"/>
        <v>45025</v>
      </c>
      <c r="M41">
        <f t="shared" si="4"/>
        <v>2293.8127162154724</v>
      </c>
      <c r="N41">
        <f t="shared" si="5"/>
        <v>0.22938127162154723</v>
      </c>
    </row>
    <row r="42" spans="1:14">
      <c r="A42" s="1">
        <v>44602</v>
      </c>
      <c r="B42">
        <v>6.8</v>
      </c>
      <c r="C42">
        <v>0</v>
      </c>
      <c r="D42">
        <f t="shared" si="1"/>
        <v>2</v>
      </c>
      <c r="E42">
        <f>IF(AND(D43=staw[[#This Row],[Miesiąc]],F42=1),E41+1,0)</f>
        <v>1</v>
      </c>
      <c r="F42">
        <f t="shared" si="0"/>
        <v>1</v>
      </c>
      <c r="G42">
        <v>41</v>
      </c>
      <c r="K42">
        <f t="shared" si="2"/>
        <v>41</v>
      </c>
      <c r="L42" s="1">
        <f t="shared" si="3"/>
        <v>45026</v>
      </c>
      <c r="M42">
        <f t="shared" si="4"/>
        <v>2313.6044387492434</v>
      </c>
      <c r="N42">
        <f t="shared" si="5"/>
        <v>0.23136044387492433</v>
      </c>
    </row>
    <row r="43" spans="1:14">
      <c r="A43" s="1">
        <v>44603</v>
      </c>
      <c r="B43">
        <v>5.8</v>
      </c>
      <c r="C43">
        <v>0</v>
      </c>
      <c r="D43">
        <f t="shared" si="1"/>
        <v>2</v>
      </c>
      <c r="E43">
        <f>IF(AND(D44=staw[[#This Row],[Miesiąc]],F43=1),E42+1,0)</f>
        <v>2</v>
      </c>
      <c r="F43">
        <f t="shared" si="0"/>
        <v>1</v>
      </c>
      <c r="G43">
        <v>42</v>
      </c>
      <c r="K43">
        <f t="shared" si="2"/>
        <v>42</v>
      </c>
      <c r="L43" s="1">
        <f t="shared" si="3"/>
        <v>45027</v>
      </c>
      <c r="M43">
        <f t="shared" si="4"/>
        <v>2333.7425164273554</v>
      </c>
      <c r="N43">
        <f t="shared" si="5"/>
        <v>0.23337425164273554</v>
      </c>
    </row>
    <row r="44" spans="1:14">
      <c r="A44" s="1">
        <v>44604</v>
      </c>
      <c r="B44">
        <v>1.3</v>
      </c>
      <c r="C44">
        <v>0</v>
      </c>
      <c r="D44">
        <f t="shared" si="1"/>
        <v>2</v>
      </c>
      <c r="E44">
        <f>IF(AND(D45=staw[[#This Row],[Miesiąc]],F44=1),E43+1,0)</f>
        <v>3</v>
      </c>
      <c r="F44">
        <f t="shared" si="0"/>
        <v>1</v>
      </c>
      <c r="G44">
        <v>43</v>
      </c>
      <c r="K44">
        <f t="shared" si="2"/>
        <v>43</v>
      </c>
      <c r="L44" s="1">
        <f t="shared" si="3"/>
        <v>45028</v>
      </c>
      <c r="M44">
        <f t="shared" si="4"/>
        <v>2354.2330104648345</v>
      </c>
      <c r="N44">
        <f t="shared" si="5"/>
        <v>0.23542330104648346</v>
      </c>
    </row>
    <row r="45" spans="1:14">
      <c r="A45" s="1">
        <v>44605</v>
      </c>
      <c r="B45">
        <v>2.2999999999999998</v>
      </c>
      <c r="C45">
        <v>0</v>
      </c>
      <c r="D45">
        <f t="shared" si="1"/>
        <v>2</v>
      </c>
      <c r="E45">
        <f>IF(AND(D46=staw[[#This Row],[Miesiąc]],F45=1),E44+1,0)</f>
        <v>4</v>
      </c>
      <c r="F45">
        <f t="shared" si="0"/>
        <v>1</v>
      </c>
      <c r="G45">
        <v>44</v>
      </c>
      <c r="K45">
        <f t="shared" si="2"/>
        <v>44</v>
      </c>
      <c r="L45" s="1">
        <f t="shared" si="3"/>
        <v>45029</v>
      </c>
      <c r="M45">
        <f t="shared" si="4"/>
        <v>2375.0820881479694</v>
      </c>
      <c r="N45">
        <f t="shared" si="5"/>
        <v>0.23750820881479695</v>
      </c>
    </row>
    <row r="46" spans="1:14">
      <c r="A46" s="1">
        <v>44606</v>
      </c>
      <c r="B46">
        <v>4.5</v>
      </c>
      <c r="C46">
        <v>0</v>
      </c>
      <c r="D46">
        <f t="shared" si="1"/>
        <v>2</v>
      </c>
      <c r="E46">
        <f>IF(AND(D47=staw[[#This Row],[Miesiąc]],F46=1),E45+1,0)</f>
        <v>5</v>
      </c>
      <c r="F46">
        <f t="shared" si="0"/>
        <v>1</v>
      </c>
      <c r="G46">
        <v>45</v>
      </c>
      <c r="K46">
        <f t="shared" si="2"/>
        <v>45</v>
      </c>
      <c r="L46" s="1">
        <f t="shared" si="3"/>
        <v>45030</v>
      </c>
      <c r="M46">
        <f t="shared" si="4"/>
        <v>2396.2960246905591</v>
      </c>
      <c r="N46">
        <f t="shared" si="5"/>
        <v>0.2396296024690559</v>
      </c>
    </row>
    <row r="47" spans="1:14">
      <c r="A47" s="1">
        <v>44607</v>
      </c>
      <c r="B47">
        <v>5.6</v>
      </c>
      <c r="C47">
        <v>0</v>
      </c>
      <c r="D47">
        <f t="shared" si="1"/>
        <v>2</v>
      </c>
      <c r="E47">
        <f>IF(AND(D48=staw[[#This Row],[Miesiąc]],F47=1),E46+1,0)</f>
        <v>6</v>
      </c>
      <c r="F47">
        <f t="shared" si="0"/>
        <v>1</v>
      </c>
      <c r="G47">
        <v>46</v>
      </c>
      <c r="K47">
        <f t="shared" si="2"/>
        <v>46</v>
      </c>
      <c r="L47" s="1">
        <f t="shared" si="3"/>
        <v>45031</v>
      </c>
      <c r="M47">
        <f t="shared" si="4"/>
        <v>2356.831205122644</v>
      </c>
      <c r="N47">
        <f t="shared" si="5"/>
        <v>0.23568312051226439</v>
      </c>
    </row>
    <row r="48" spans="1:14">
      <c r="A48" s="1">
        <v>44608</v>
      </c>
      <c r="B48">
        <v>6.4</v>
      </c>
      <c r="C48">
        <v>0</v>
      </c>
      <c r="D48">
        <f t="shared" si="1"/>
        <v>2</v>
      </c>
      <c r="E48">
        <f>IF(AND(D49=staw[[#This Row],[Miesiąc]],F48=1),E47+1,0)</f>
        <v>7</v>
      </c>
      <c r="F48">
        <f t="shared" si="0"/>
        <v>1</v>
      </c>
      <c r="G48">
        <v>47</v>
      </c>
      <c r="K48">
        <f t="shared" si="2"/>
        <v>47</v>
      </c>
      <c r="L48" s="1">
        <f t="shared" si="3"/>
        <v>45032</v>
      </c>
      <c r="M48">
        <f t="shared" si="4"/>
        <v>2377.7257512122906</v>
      </c>
      <c r="N48">
        <f t="shared" si="5"/>
        <v>0.23777257512122907</v>
      </c>
    </row>
    <row r="49" spans="1:14">
      <c r="A49" s="1">
        <v>44609</v>
      </c>
      <c r="B49">
        <v>7.4</v>
      </c>
      <c r="C49">
        <v>9</v>
      </c>
      <c r="D49">
        <f t="shared" si="1"/>
        <v>2</v>
      </c>
      <c r="E49">
        <f>IF(AND(D50=staw[[#This Row],[Miesiąc]],F49=1),E48+1,0)</f>
        <v>0</v>
      </c>
      <c r="F49">
        <f t="shared" si="0"/>
        <v>0</v>
      </c>
      <c r="G49">
        <v>48</v>
      </c>
      <c r="K49">
        <f t="shared" si="2"/>
        <v>48</v>
      </c>
      <c r="L49" s="1">
        <f t="shared" si="3"/>
        <v>45033</v>
      </c>
      <c r="M49">
        <f t="shared" si="4"/>
        <v>2398.9859518585058</v>
      </c>
      <c r="N49">
        <f t="shared" si="5"/>
        <v>0.23989859518585058</v>
      </c>
    </row>
    <row r="50" spans="1:14">
      <c r="A50" s="1">
        <v>44610</v>
      </c>
      <c r="B50">
        <v>6.9</v>
      </c>
      <c r="C50">
        <v>0</v>
      </c>
      <c r="D50">
        <f t="shared" si="1"/>
        <v>2</v>
      </c>
      <c r="E50">
        <f>IF(AND(D51=staw[[#This Row],[Miesiąc]],F50=1),E49+1,0)</f>
        <v>1</v>
      </c>
      <c r="F50">
        <f t="shared" si="0"/>
        <v>1</v>
      </c>
      <c r="G50">
        <v>49</v>
      </c>
      <c r="K50">
        <f t="shared" si="2"/>
        <v>49</v>
      </c>
      <c r="L50" s="1">
        <f t="shared" si="3"/>
        <v>45034</v>
      </c>
      <c r="M50">
        <f t="shared" si="4"/>
        <v>2420.6182060160299</v>
      </c>
      <c r="N50">
        <f t="shared" si="5"/>
        <v>0.242061820601603</v>
      </c>
    </row>
    <row r="51" spans="1:14">
      <c r="A51" s="1">
        <v>44611</v>
      </c>
      <c r="B51">
        <v>8.8000000000000007</v>
      </c>
      <c r="C51">
        <v>0</v>
      </c>
      <c r="D51">
        <f t="shared" si="1"/>
        <v>2</v>
      </c>
      <c r="E51">
        <f>IF(AND(D52=staw[[#This Row],[Miesiąc]],F51=1),E50+1,0)</f>
        <v>2</v>
      </c>
      <c r="F51">
        <f t="shared" si="0"/>
        <v>1</v>
      </c>
      <c r="G51">
        <v>50</v>
      </c>
      <c r="K51">
        <f t="shared" si="2"/>
        <v>50</v>
      </c>
      <c r="L51" s="1">
        <f t="shared" si="3"/>
        <v>45035</v>
      </c>
      <c r="M51">
        <f t="shared" si="4"/>
        <v>2442.6290246213107</v>
      </c>
      <c r="N51">
        <f t="shared" si="5"/>
        <v>0.24426290246213106</v>
      </c>
    </row>
    <row r="52" spans="1:14">
      <c r="A52" s="1">
        <v>44612</v>
      </c>
      <c r="B52">
        <v>5.2</v>
      </c>
      <c r="C52">
        <v>0</v>
      </c>
      <c r="D52">
        <f t="shared" si="1"/>
        <v>2</v>
      </c>
      <c r="E52">
        <f>IF(AND(D53=staw[[#This Row],[Miesiąc]],F52=1),E51+1,0)</f>
        <v>3</v>
      </c>
      <c r="F52">
        <f t="shared" si="0"/>
        <v>1</v>
      </c>
      <c r="G52">
        <v>51</v>
      </c>
      <c r="K52">
        <f t="shared" si="2"/>
        <v>51</v>
      </c>
      <c r="L52" s="1">
        <f t="shared" si="3"/>
        <v>45036</v>
      </c>
      <c r="M52">
        <f t="shared" si="4"/>
        <v>2465.0250325521838</v>
      </c>
      <c r="N52">
        <f t="shared" si="5"/>
        <v>0.24650250325521839</v>
      </c>
    </row>
    <row r="53" spans="1:14">
      <c r="A53" s="1">
        <v>44613</v>
      </c>
      <c r="B53">
        <v>7.2</v>
      </c>
      <c r="C53">
        <v>1</v>
      </c>
      <c r="D53">
        <f t="shared" si="1"/>
        <v>2</v>
      </c>
      <c r="E53">
        <f>IF(AND(D54=staw[[#This Row],[Miesiąc]],F53=1),E52+1,0)</f>
        <v>0</v>
      </c>
      <c r="F53">
        <f t="shared" si="0"/>
        <v>0</v>
      </c>
      <c r="G53">
        <v>52</v>
      </c>
      <c r="K53">
        <f t="shared" si="2"/>
        <v>52</v>
      </c>
      <c r="L53" s="1">
        <f t="shared" si="3"/>
        <v>45037</v>
      </c>
      <c r="M53">
        <f t="shared" si="4"/>
        <v>2487.8129706218474</v>
      </c>
      <c r="N53">
        <f t="shared" si="5"/>
        <v>0.24878129706218474</v>
      </c>
    </row>
    <row r="54" spans="1:14">
      <c r="A54" s="1">
        <v>44614</v>
      </c>
      <c r="B54">
        <v>4.5999999999999996</v>
      </c>
      <c r="C54">
        <v>0</v>
      </c>
      <c r="D54">
        <f t="shared" si="1"/>
        <v>2</v>
      </c>
      <c r="E54">
        <f>IF(AND(D55=staw[[#This Row],[Miesiąc]],F54=1),E53+1,0)</f>
        <v>1</v>
      </c>
      <c r="F54">
        <f t="shared" si="0"/>
        <v>1</v>
      </c>
      <c r="G54">
        <v>53</v>
      </c>
      <c r="K54">
        <f t="shared" si="2"/>
        <v>53</v>
      </c>
      <c r="L54" s="1">
        <f t="shared" si="3"/>
        <v>45038</v>
      </c>
      <c r="M54">
        <f t="shared" si="4"/>
        <v>2449.9496976077298</v>
      </c>
      <c r="N54">
        <f t="shared" si="5"/>
        <v>0.24499496976077298</v>
      </c>
    </row>
    <row r="55" spans="1:14">
      <c r="A55" s="1">
        <v>44615</v>
      </c>
      <c r="B55">
        <v>4.5999999999999996</v>
      </c>
      <c r="C55">
        <v>0</v>
      </c>
      <c r="D55">
        <f t="shared" si="1"/>
        <v>2</v>
      </c>
      <c r="E55">
        <f>IF(AND(D56=staw[[#This Row],[Miesiąc]],F55=1),E54+1,0)</f>
        <v>2</v>
      </c>
      <c r="F55">
        <f t="shared" si="0"/>
        <v>1</v>
      </c>
      <c r="G55">
        <v>54</v>
      </c>
      <c r="K55">
        <f t="shared" si="2"/>
        <v>54</v>
      </c>
      <c r="L55" s="1">
        <f t="shared" si="3"/>
        <v>45039</v>
      </c>
      <c r="M55">
        <f t="shared" si="4"/>
        <v>2472.4738173158653</v>
      </c>
      <c r="N55">
        <f t="shared" si="5"/>
        <v>0.24724738173158653</v>
      </c>
    </row>
    <row r="56" spans="1:14">
      <c r="A56" s="1">
        <v>44616</v>
      </c>
      <c r="B56">
        <v>5.2</v>
      </c>
      <c r="C56">
        <v>0</v>
      </c>
      <c r="D56">
        <f t="shared" si="1"/>
        <v>2</v>
      </c>
      <c r="E56">
        <f>IF(AND(D57=staw[[#This Row],[Miesiąc]],F56=1),E55+1,0)</f>
        <v>3</v>
      </c>
      <c r="F56">
        <f t="shared" si="0"/>
        <v>1</v>
      </c>
      <c r="G56">
        <v>55</v>
      </c>
      <c r="K56">
        <f t="shared" si="2"/>
        <v>55</v>
      </c>
      <c r="L56" s="1">
        <f t="shared" si="3"/>
        <v>45040</v>
      </c>
      <c r="M56">
        <f t="shared" si="4"/>
        <v>2495.3921091188931</v>
      </c>
      <c r="N56">
        <f t="shared" si="5"/>
        <v>0.24953921091188933</v>
      </c>
    </row>
    <row r="57" spans="1:14">
      <c r="A57" s="1">
        <v>44617</v>
      </c>
      <c r="B57">
        <v>3.9</v>
      </c>
      <c r="C57">
        <v>0</v>
      </c>
      <c r="D57">
        <f t="shared" si="1"/>
        <v>2</v>
      </c>
      <c r="E57">
        <f>IF(AND(D58=staw[[#This Row],[Miesiąc]],F57=1),E56+1,0)</f>
        <v>4</v>
      </c>
      <c r="F57">
        <f t="shared" si="0"/>
        <v>1</v>
      </c>
      <c r="G57">
        <v>56</v>
      </c>
      <c r="K57">
        <f t="shared" si="2"/>
        <v>56</v>
      </c>
      <c r="L57" s="1">
        <f t="shared" si="3"/>
        <v>45041</v>
      </c>
      <c r="M57">
        <f t="shared" si="4"/>
        <v>2518.7114710284741</v>
      </c>
      <c r="N57">
        <f t="shared" si="5"/>
        <v>0.25187114710284741</v>
      </c>
    </row>
    <row r="58" spans="1:14">
      <c r="A58" s="1">
        <v>44618</v>
      </c>
      <c r="B58">
        <v>1.9</v>
      </c>
      <c r="C58">
        <v>0</v>
      </c>
      <c r="D58">
        <f t="shared" si="1"/>
        <v>2</v>
      </c>
      <c r="E58">
        <f>IF(AND(D59=staw[[#This Row],[Miesiąc]],F58=1),E57+1,0)</f>
        <v>5</v>
      </c>
      <c r="F58">
        <f t="shared" si="0"/>
        <v>1</v>
      </c>
      <c r="G58">
        <v>57</v>
      </c>
      <c r="K58">
        <f t="shared" si="2"/>
        <v>57</v>
      </c>
      <c r="L58" s="1">
        <f t="shared" si="3"/>
        <v>45042</v>
      </c>
      <c r="M58">
        <f t="shared" si="4"/>
        <v>2542.4389217714725</v>
      </c>
      <c r="N58">
        <f t="shared" si="5"/>
        <v>0.25424389217714727</v>
      </c>
    </row>
    <row r="59" spans="1:14">
      <c r="A59" s="1">
        <v>44619</v>
      </c>
      <c r="B59">
        <v>1.2</v>
      </c>
      <c r="C59">
        <v>0</v>
      </c>
      <c r="D59">
        <f t="shared" si="1"/>
        <v>2</v>
      </c>
      <c r="E59">
        <f>IF(AND(D60=staw[[#This Row],[Miesiąc]],F59=1),E58+1,0)</f>
        <v>6</v>
      </c>
      <c r="F59">
        <f t="shared" si="0"/>
        <v>1</v>
      </c>
      <c r="G59">
        <v>58</v>
      </c>
      <c r="K59">
        <f t="shared" si="2"/>
        <v>58</v>
      </c>
      <c r="L59" s="1">
        <f t="shared" si="3"/>
        <v>45043</v>
      </c>
      <c r="M59">
        <f t="shared" si="4"/>
        <v>2566.5816029024736</v>
      </c>
      <c r="N59">
        <f t="shared" si="5"/>
        <v>0.25665816029024735</v>
      </c>
    </row>
    <row r="60" spans="1:14">
      <c r="A60" s="1">
        <v>44620</v>
      </c>
      <c r="B60">
        <v>-0.9</v>
      </c>
      <c r="C60">
        <v>0</v>
      </c>
      <c r="D60">
        <f t="shared" si="1"/>
        <v>2</v>
      </c>
      <c r="E60">
        <f>IF(AND(D61=staw[[#This Row],[Miesiąc]],F60=1),E59+1,0)</f>
        <v>0</v>
      </c>
      <c r="F60">
        <f t="shared" si="0"/>
        <v>1</v>
      </c>
      <c r="G60">
        <v>59</v>
      </c>
      <c r="K60">
        <f t="shared" si="2"/>
        <v>59</v>
      </c>
      <c r="L60" s="1">
        <f t="shared" si="3"/>
        <v>45044</v>
      </c>
      <c r="M60">
        <f t="shared" si="4"/>
        <v>2591.1467809532669</v>
      </c>
      <c r="N60">
        <f t="shared" si="5"/>
        <v>0.25911467809532668</v>
      </c>
    </row>
    <row r="61" spans="1:14">
      <c r="A61" s="1">
        <v>44621</v>
      </c>
      <c r="B61">
        <v>-1.4</v>
      </c>
      <c r="C61">
        <v>0</v>
      </c>
      <c r="D61">
        <f t="shared" si="1"/>
        <v>3</v>
      </c>
      <c r="E61">
        <f>IF(AND(D62=staw[[#This Row],[Miesiąc]],F61=1),E60+1,0)</f>
        <v>1</v>
      </c>
      <c r="F61">
        <f t="shared" si="0"/>
        <v>1</v>
      </c>
      <c r="G61">
        <v>60</v>
      </c>
      <c r="K61">
        <f t="shared" si="2"/>
        <v>60</v>
      </c>
      <c r="L61" s="1">
        <f t="shared" si="3"/>
        <v>45045</v>
      </c>
      <c r="M61">
        <f t="shared" si="4"/>
        <v>2555.0918496199492</v>
      </c>
      <c r="N61">
        <f t="shared" si="5"/>
        <v>0.25550918496199493</v>
      </c>
    </row>
    <row r="62" spans="1:14">
      <c r="A62" s="1">
        <v>44622</v>
      </c>
      <c r="B62">
        <v>0.3</v>
      </c>
      <c r="C62">
        <v>0</v>
      </c>
      <c r="D62">
        <f t="shared" si="1"/>
        <v>3</v>
      </c>
      <c r="E62">
        <f>IF(AND(D63=staw[[#This Row],[Miesiąc]],F62=1),E61+1,0)</f>
        <v>2</v>
      </c>
      <c r="F62">
        <f t="shared" si="0"/>
        <v>1</v>
      </c>
      <c r="G62">
        <v>61</v>
      </c>
      <c r="K62">
        <f t="shared" si="2"/>
        <v>61</v>
      </c>
      <c r="L62" s="1">
        <f t="shared" si="3"/>
        <v>45046</v>
      </c>
      <c r="M62">
        <f t="shared" si="4"/>
        <v>2579.4559569882986</v>
      </c>
      <c r="N62">
        <f t="shared" si="5"/>
        <v>0.25794559569882985</v>
      </c>
    </row>
    <row r="63" spans="1:14">
      <c r="A63" s="1">
        <v>44623</v>
      </c>
      <c r="B63">
        <v>2</v>
      </c>
      <c r="C63">
        <v>0</v>
      </c>
      <c r="D63">
        <f t="shared" si="1"/>
        <v>3</v>
      </c>
      <c r="E63">
        <f>IF(AND(D64=staw[[#This Row],[Miesiąc]],F63=1),E62+1,0)</f>
        <v>3</v>
      </c>
      <c r="F63">
        <f t="shared" si="0"/>
        <v>1</v>
      </c>
      <c r="G63">
        <v>62</v>
      </c>
      <c r="K63">
        <f t="shared" si="2"/>
        <v>62</v>
      </c>
      <c r="L63" s="1">
        <f t="shared" si="3"/>
        <v>45047</v>
      </c>
      <c r="M63">
        <f t="shared" si="4"/>
        <v>2604.246436235594</v>
      </c>
      <c r="N63">
        <f t="shared" si="5"/>
        <v>0.26042464362355938</v>
      </c>
    </row>
    <row r="64" spans="1:14">
      <c r="A64" s="1">
        <v>44624</v>
      </c>
      <c r="B64">
        <v>0.6</v>
      </c>
      <c r="C64">
        <v>0</v>
      </c>
      <c r="D64">
        <f t="shared" si="1"/>
        <v>3</v>
      </c>
      <c r="E64">
        <f>IF(AND(D65=staw[[#This Row],[Miesiąc]],F64=1),E63+1,0)</f>
        <v>4</v>
      </c>
      <c r="F64">
        <f t="shared" si="0"/>
        <v>1</v>
      </c>
      <c r="G64">
        <v>63</v>
      </c>
      <c r="K64">
        <f t="shared" si="2"/>
        <v>63</v>
      </c>
      <c r="L64" s="1">
        <f t="shared" si="3"/>
        <v>45048</v>
      </c>
      <c r="M64">
        <f t="shared" si="4"/>
        <v>2629.4707488697172</v>
      </c>
      <c r="N64">
        <f t="shared" si="5"/>
        <v>0.26294707488697172</v>
      </c>
    </row>
    <row r="65" spans="1:14">
      <c r="A65" s="1">
        <v>44625</v>
      </c>
      <c r="B65">
        <v>0.7</v>
      </c>
      <c r="C65">
        <v>0</v>
      </c>
      <c r="D65">
        <f t="shared" si="1"/>
        <v>3</v>
      </c>
      <c r="E65">
        <f>IF(AND(D66=staw[[#This Row],[Miesiąc]],F65=1),E64+1,0)</f>
        <v>5</v>
      </c>
      <c r="F65">
        <f t="shared" si="0"/>
        <v>1</v>
      </c>
      <c r="G65">
        <v>64</v>
      </c>
      <c r="K65">
        <f t="shared" si="2"/>
        <v>64</v>
      </c>
      <c r="L65" s="1">
        <f t="shared" si="3"/>
        <v>45049</v>
      </c>
      <c r="M65">
        <f t="shared" si="4"/>
        <v>2655.1364869749373</v>
      </c>
      <c r="N65">
        <f t="shared" si="5"/>
        <v>0.26551364869749372</v>
      </c>
    </row>
    <row r="66" spans="1:14">
      <c r="A66" s="1">
        <v>44626</v>
      </c>
      <c r="B66">
        <v>0</v>
      </c>
      <c r="C66">
        <v>0</v>
      </c>
      <c r="D66">
        <f t="shared" si="1"/>
        <v>3</v>
      </c>
      <c r="E66">
        <f>IF(AND(D67=staw[[#This Row],[Miesiąc]],F66=1),E65+1,0)</f>
        <v>6</v>
      </c>
      <c r="F66">
        <f t="shared" ref="F66:F129" si="6">IF(C66=0,1,0)</f>
        <v>1</v>
      </c>
      <c r="G66">
        <v>65</v>
      </c>
      <c r="K66">
        <f t="shared" si="2"/>
        <v>65</v>
      </c>
      <c r="L66" s="1">
        <f t="shared" si="3"/>
        <v>45050</v>
      </c>
      <c r="M66">
        <f t="shared" si="4"/>
        <v>2681.2513754969987</v>
      </c>
      <c r="N66">
        <f t="shared" si="5"/>
        <v>0.26812513754969985</v>
      </c>
    </row>
    <row r="67" spans="1:14">
      <c r="A67" s="1">
        <v>44627</v>
      </c>
      <c r="B67">
        <v>0</v>
      </c>
      <c r="C67">
        <v>0</v>
      </c>
      <c r="D67">
        <f t="shared" ref="D67:D130" si="7">MONTH(A67)</f>
        <v>3</v>
      </c>
      <c r="E67">
        <f>IF(AND(D68=staw[[#This Row],[Miesiąc]],F67=1),E66+1,0)</f>
        <v>7</v>
      </c>
      <c r="F67">
        <f t="shared" si="6"/>
        <v>1</v>
      </c>
      <c r="G67">
        <v>66</v>
      </c>
      <c r="K67">
        <f t="shared" si="2"/>
        <v>66</v>
      </c>
      <c r="L67" s="1">
        <f t="shared" si="3"/>
        <v>45051</v>
      </c>
      <c r="M67">
        <f t="shared" si="4"/>
        <v>2707.8232745681962</v>
      </c>
      <c r="N67">
        <f t="shared" si="5"/>
        <v>0.27078232745681963</v>
      </c>
    </row>
    <row r="68" spans="1:14">
      <c r="A68" s="1">
        <v>44628</v>
      </c>
      <c r="B68">
        <v>1.3</v>
      </c>
      <c r="C68">
        <v>0</v>
      </c>
      <c r="D68">
        <f t="shared" si="7"/>
        <v>3</v>
      </c>
      <c r="E68">
        <f>IF(AND(D69=staw[[#This Row],[Miesiąc]],F68=1),E67+1,0)</f>
        <v>8</v>
      </c>
      <c r="F68">
        <f t="shared" si="6"/>
        <v>1</v>
      </c>
      <c r="G68">
        <v>67</v>
      </c>
      <c r="K68">
        <f t="shared" ref="K68:K131" si="8">K67+1</f>
        <v>67</v>
      </c>
      <c r="L68" s="1">
        <f t="shared" ref="L68:L131" si="9">L67+1</f>
        <v>45052</v>
      </c>
      <c r="M68">
        <f t="shared" ref="M68:M131" si="10">(M67-20-IF(WEEKDAY(L67,2)=5,60,0))*1.0175</f>
        <v>2673.8101818731398</v>
      </c>
      <c r="N68">
        <f t="shared" ref="N68:N131" si="11">M68/10000</f>
        <v>0.26738101818731397</v>
      </c>
    </row>
    <row r="69" spans="1:14">
      <c r="A69" s="1">
        <v>44629</v>
      </c>
      <c r="B69">
        <v>2</v>
      </c>
      <c r="C69">
        <v>2</v>
      </c>
      <c r="D69">
        <f t="shared" si="7"/>
        <v>3</v>
      </c>
      <c r="E69">
        <f>IF(AND(D70=staw[[#This Row],[Miesiąc]],F69=1),E68+1,0)</f>
        <v>0</v>
      </c>
      <c r="F69">
        <f t="shared" si="6"/>
        <v>0</v>
      </c>
      <c r="G69">
        <v>68</v>
      </c>
      <c r="K69">
        <f t="shared" si="8"/>
        <v>68</v>
      </c>
      <c r="L69" s="1">
        <f t="shared" si="9"/>
        <v>45053</v>
      </c>
      <c r="M69">
        <f t="shared" si="10"/>
        <v>2700.2518600559197</v>
      </c>
      <c r="N69">
        <f t="shared" si="11"/>
        <v>0.27002518600559194</v>
      </c>
    </row>
    <row r="70" spans="1:14">
      <c r="A70" s="1">
        <v>44630</v>
      </c>
      <c r="B70">
        <v>-1.6</v>
      </c>
      <c r="C70">
        <v>0</v>
      </c>
      <c r="D70">
        <f t="shared" si="7"/>
        <v>3</v>
      </c>
      <c r="E70">
        <f>IF(AND(D71=staw[[#This Row],[Miesiąc]],F70=1),E69+1,0)</f>
        <v>1</v>
      </c>
      <c r="F70">
        <f t="shared" si="6"/>
        <v>1</v>
      </c>
      <c r="G70">
        <v>69</v>
      </c>
      <c r="K70">
        <f t="shared" si="8"/>
        <v>69</v>
      </c>
      <c r="L70" s="1">
        <f t="shared" si="9"/>
        <v>45054</v>
      </c>
      <c r="M70">
        <f t="shared" si="10"/>
        <v>2727.1562676068984</v>
      </c>
      <c r="N70">
        <f t="shared" si="11"/>
        <v>0.27271562676068983</v>
      </c>
    </row>
    <row r="71" spans="1:14">
      <c r="A71" s="1">
        <v>44631</v>
      </c>
      <c r="B71">
        <v>-2.6</v>
      </c>
      <c r="C71">
        <v>0</v>
      </c>
      <c r="D71">
        <f t="shared" si="7"/>
        <v>3</v>
      </c>
      <c r="E71">
        <f>IF(AND(D72=staw[[#This Row],[Miesiąc]],F71=1),E70+1,0)</f>
        <v>2</v>
      </c>
      <c r="F71">
        <f t="shared" si="6"/>
        <v>1</v>
      </c>
      <c r="G71">
        <v>70</v>
      </c>
      <c r="K71">
        <f t="shared" si="8"/>
        <v>70</v>
      </c>
      <c r="L71" s="1">
        <f t="shared" si="9"/>
        <v>45055</v>
      </c>
      <c r="M71">
        <f t="shared" si="10"/>
        <v>2754.5315022900195</v>
      </c>
      <c r="N71">
        <f t="shared" si="11"/>
        <v>0.27545315022900196</v>
      </c>
    </row>
    <row r="72" spans="1:14">
      <c r="A72" s="1">
        <v>44632</v>
      </c>
      <c r="B72">
        <v>-0.2</v>
      </c>
      <c r="C72">
        <v>0</v>
      </c>
      <c r="D72">
        <f t="shared" si="7"/>
        <v>3</v>
      </c>
      <c r="E72">
        <f>IF(AND(D73=staw[[#This Row],[Miesiąc]],F72=1),E71+1,0)</f>
        <v>3</v>
      </c>
      <c r="F72">
        <f t="shared" si="6"/>
        <v>1</v>
      </c>
      <c r="G72">
        <v>71</v>
      </c>
      <c r="K72">
        <f t="shared" si="8"/>
        <v>71</v>
      </c>
      <c r="L72" s="1">
        <f t="shared" si="9"/>
        <v>45056</v>
      </c>
      <c r="M72">
        <f t="shared" si="10"/>
        <v>2782.3858035800949</v>
      </c>
      <c r="N72">
        <f t="shared" si="11"/>
        <v>0.27823858035800947</v>
      </c>
    </row>
    <row r="73" spans="1:14">
      <c r="A73" s="1">
        <v>44633</v>
      </c>
      <c r="B73">
        <v>3.1</v>
      </c>
      <c r="C73">
        <v>0</v>
      </c>
      <c r="D73">
        <f t="shared" si="7"/>
        <v>3</v>
      </c>
      <c r="E73">
        <f>IF(AND(D74=staw[[#This Row],[Miesiąc]],F73=1),E72+1,0)</f>
        <v>4</v>
      </c>
      <c r="F73">
        <f t="shared" si="6"/>
        <v>1</v>
      </c>
      <c r="G73">
        <v>72</v>
      </c>
      <c r="K73">
        <f t="shared" si="8"/>
        <v>72</v>
      </c>
      <c r="L73" s="1">
        <f t="shared" si="9"/>
        <v>45057</v>
      </c>
      <c r="M73">
        <f t="shared" si="10"/>
        <v>2810.727555142747</v>
      </c>
      <c r="N73">
        <f t="shared" si="11"/>
        <v>0.28107275551427469</v>
      </c>
    </row>
    <row r="74" spans="1:14">
      <c r="A74" s="1">
        <v>44634</v>
      </c>
      <c r="B74">
        <v>5.5</v>
      </c>
      <c r="C74">
        <v>0</v>
      </c>
      <c r="D74">
        <f t="shared" si="7"/>
        <v>3</v>
      </c>
      <c r="E74">
        <f>IF(AND(D75=staw[[#This Row],[Miesiąc]],F74=1),E73+1,0)</f>
        <v>5</v>
      </c>
      <c r="F74">
        <f t="shared" si="6"/>
        <v>1</v>
      </c>
      <c r="G74">
        <v>73</v>
      </c>
      <c r="K74">
        <f t="shared" si="8"/>
        <v>73</v>
      </c>
      <c r="L74" s="1">
        <f t="shared" si="9"/>
        <v>45058</v>
      </c>
      <c r="M74">
        <f t="shared" si="10"/>
        <v>2839.5652873577451</v>
      </c>
      <c r="N74">
        <f t="shared" si="11"/>
        <v>0.28395652873577448</v>
      </c>
    </row>
    <row r="75" spans="1:14">
      <c r="A75" s="1">
        <v>44635</v>
      </c>
      <c r="B75">
        <v>8.6</v>
      </c>
      <c r="C75">
        <v>0</v>
      </c>
      <c r="D75">
        <f t="shared" si="7"/>
        <v>3</v>
      </c>
      <c r="E75">
        <f>IF(AND(D76=staw[[#This Row],[Miesiąc]],F75=1),E74+1,0)</f>
        <v>6</v>
      </c>
      <c r="F75">
        <f t="shared" si="6"/>
        <v>1</v>
      </c>
      <c r="G75">
        <v>74</v>
      </c>
      <c r="K75">
        <f t="shared" si="8"/>
        <v>74</v>
      </c>
      <c r="L75" s="1">
        <f t="shared" si="9"/>
        <v>45059</v>
      </c>
      <c r="M75">
        <f t="shared" si="10"/>
        <v>2807.857679886506</v>
      </c>
      <c r="N75">
        <f t="shared" si="11"/>
        <v>0.28078576798865063</v>
      </c>
    </row>
    <row r="76" spans="1:14">
      <c r="A76" s="1">
        <v>44636</v>
      </c>
      <c r="B76">
        <v>7.8</v>
      </c>
      <c r="C76">
        <v>0</v>
      </c>
      <c r="D76">
        <f t="shared" si="7"/>
        <v>3</v>
      </c>
      <c r="E76">
        <f>IF(AND(D77=staw[[#This Row],[Miesiąc]],F76=1),E75+1,0)</f>
        <v>7</v>
      </c>
      <c r="F76">
        <f t="shared" si="6"/>
        <v>1</v>
      </c>
      <c r="G76">
        <v>75</v>
      </c>
      <c r="K76">
        <f t="shared" si="8"/>
        <v>75</v>
      </c>
      <c r="L76" s="1">
        <f t="shared" si="9"/>
        <v>45060</v>
      </c>
      <c r="M76">
        <f t="shared" si="10"/>
        <v>2836.6451892845203</v>
      </c>
      <c r="N76">
        <f t="shared" si="11"/>
        <v>0.28366451892845201</v>
      </c>
    </row>
    <row r="77" spans="1:14">
      <c r="A77" s="1">
        <v>44637</v>
      </c>
      <c r="B77">
        <v>3.7</v>
      </c>
      <c r="C77">
        <v>0</v>
      </c>
      <c r="D77">
        <f t="shared" si="7"/>
        <v>3</v>
      </c>
      <c r="E77">
        <f>IF(AND(D78=staw[[#This Row],[Miesiąc]],F77=1),E76+1,0)</f>
        <v>8</v>
      </c>
      <c r="F77">
        <f t="shared" si="6"/>
        <v>1</v>
      </c>
      <c r="G77">
        <v>76</v>
      </c>
      <c r="K77">
        <f t="shared" si="8"/>
        <v>76</v>
      </c>
      <c r="L77" s="1">
        <f t="shared" si="9"/>
        <v>45061</v>
      </c>
      <c r="M77">
        <f t="shared" si="10"/>
        <v>2865.9364800969997</v>
      </c>
      <c r="N77">
        <f t="shared" si="11"/>
        <v>0.2865936480097</v>
      </c>
    </row>
    <row r="78" spans="1:14">
      <c r="A78" s="1">
        <v>44638</v>
      </c>
      <c r="B78">
        <v>3</v>
      </c>
      <c r="C78">
        <v>0</v>
      </c>
      <c r="D78">
        <f t="shared" si="7"/>
        <v>3</v>
      </c>
      <c r="E78">
        <f>IF(AND(D79=staw[[#This Row],[Miesiąc]],F78=1),E77+1,0)</f>
        <v>9</v>
      </c>
      <c r="F78">
        <f t="shared" si="6"/>
        <v>1</v>
      </c>
      <c r="G78">
        <v>77</v>
      </c>
      <c r="K78">
        <f t="shared" si="8"/>
        <v>77</v>
      </c>
      <c r="L78" s="1">
        <f t="shared" si="9"/>
        <v>45062</v>
      </c>
      <c r="M78">
        <f t="shared" si="10"/>
        <v>2895.7403684986975</v>
      </c>
      <c r="N78">
        <f t="shared" si="11"/>
        <v>0.28957403684986976</v>
      </c>
    </row>
    <row r="79" spans="1:14">
      <c r="A79" s="1">
        <v>44639</v>
      </c>
      <c r="B79">
        <v>2.1</v>
      </c>
      <c r="C79">
        <v>0</v>
      </c>
      <c r="D79">
        <f t="shared" si="7"/>
        <v>3</v>
      </c>
      <c r="E79">
        <f>IF(AND(D80=staw[[#This Row],[Miesiąc]],F79=1),E78+1,0)</f>
        <v>10</v>
      </c>
      <c r="F79">
        <f t="shared" si="6"/>
        <v>1</v>
      </c>
      <c r="G79">
        <v>78</v>
      </c>
      <c r="K79">
        <f t="shared" si="8"/>
        <v>78</v>
      </c>
      <c r="L79" s="1">
        <f t="shared" si="9"/>
        <v>45063</v>
      </c>
      <c r="M79">
        <f t="shared" si="10"/>
        <v>2926.065824947425</v>
      </c>
      <c r="N79">
        <f t="shared" si="11"/>
        <v>0.29260658249474247</v>
      </c>
    </row>
    <row r="80" spans="1:14">
      <c r="A80" s="1">
        <v>44640</v>
      </c>
      <c r="B80">
        <v>3.2</v>
      </c>
      <c r="C80">
        <v>0</v>
      </c>
      <c r="D80">
        <f t="shared" si="7"/>
        <v>3</v>
      </c>
      <c r="E80">
        <f>IF(AND(D81=staw[[#This Row],[Miesiąc]],F80=1),E79+1,0)</f>
        <v>11</v>
      </c>
      <c r="F80">
        <f t="shared" si="6"/>
        <v>1</v>
      </c>
      <c r="G80">
        <v>79</v>
      </c>
      <c r="K80">
        <f t="shared" si="8"/>
        <v>79</v>
      </c>
      <c r="L80" s="1">
        <f t="shared" si="9"/>
        <v>45064</v>
      </c>
      <c r="M80">
        <f t="shared" si="10"/>
        <v>2956.9219768840053</v>
      </c>
      <c r="N80">
        <f t="shared" si="11"/>
        <v>0.29569219768840055</v>
      </c>
    </row>
    <row r="81" spans="1:14">
      <c r="A81" s="1">
        <v>44641</v>
      </c>
      <c r="B81">
        <v>4.9000000000000004</v>
      </c>
      <c r="C81">
        <v>0</v>
      </c>
      <c r="D81">
        <f t="shared" si="7"/>
        <v>3</v>
      </c>
      <c r="E81">
        <f>IF(AND(D82=staw[[#This Row],[Miesiąc]],F81=1),E80+1,0)</f>
        <v>12</v>
      </c>
      <c r="F81">
        <f t="shared" si="6"/>
        <v>1</v>
      </c>
      <c r="G81">
        <v>80</v>
      </c>
      <c r="K81">
        <f t="shared" si="8"/>
        <v>80</v>
      </c>
      <c r="L81" s="1">
        <f t="shared" si="9"/>
        <v>45065</v>
      </c>
      <c r="M81">
        <f t="shared" si="10"/>
        <v>2988.3181114794756</v>
      </c>
      <c r="N81">
        <f t="shared" si="11"/>
        <v>0.29883181114794755</v>
      </c>
    </row>
    <row r="82" spans="1:14">
      <c r="A82" s="1">
        <v>44642</v>
      </c>
      <c r="B82">
        <v>7.8</v>
      </c>
      <c r="C82">
        <v>0</v>
      </c>
      <c r="D82">
        <f t="shared" si="7"/>
        <v>3</v>
      </c>
      <c r="E82">
        <f>IF(AND(D83=staw[[#This Row],[Miesiąc]],F82=1),E81+1,0)</f>
        <v>13</v>
      </c>
      <c r="F82">
        <f t="shared" si="6"/>
        <v>1</v>
      </c>
      <c r="G82">
        <v>81</v>
      </c>
      <c r="K82">
        <f t="shared" si="8"/>
        <v>81</v>
      </c>
      <c r="L82" s="1">
        <f t="shared" si="9"/>
        <v>45066</v>
      </c>
      <c r="M82">
        <f t="shared" si="10"/>
        <v>2959.2136784303666</v>
      </c>
      <c r="N82">
        <f t="shared" si="11"/>
        <v>0.29592136784303669</v>
      </c>
    </row>
    <row r="83" spans="1:14">
      <c r="A83" s="1">
        <v>44643</v>
      </c>
      <c r="B83">
        <v>9.1999999999999993</v>
      </c>
      <c r="C83">
        <v>0</v>
      </c>
      <c r="D83">
        <f t="shared" si="7"/>
        <v>3</v>
      </c>
      <c r="E83">
        <f>IF(AND(D84=staw[[#This Row],[Miesiąc]],F83=1),E82+1,0)</f>
        <v>14</v>
      </c>
      <c r="F83">
        <f t="shared" si="6"/>
        <v>1</v>
      </c>
      <c r="G83">
        <v>82</v>
      </c>
      <c r="K83">
        <f t="shared" si="8"/>
        <v>82</v>
      </c>
      <c r="L83" s="1">
        <f t="shared" si="9"/>
        <v>45067</v>
      </c>
      <c r="M83">
        <f t="shared" si="10"/>
        <v>2990.649917802898</v>
      </c>
      <c r="N83">
        <f t="shared" si="11"/>
        <v>0.29906499178028978</v>
      </c>
    </row>
    <row r="84" spans="1:14">
      <c r="A84" s="1">
        <v>44644</v>
      </c>
      <c r="B84">
        <v>7.2</v>
      </c>
      <c r="C84">
        <v>0</v>
      </c>
      <c r="D84">
        <f t="shared" si="7"/>
        <v>3</v>
      </c>
      <c r="E84">
        <f>IF(AND(D85=staw[[#This Row],[Miesiąc]],F84=1),E83+1,0)</f>
        <v>15</v>
      </c>
      <c r="F84">
        <f t="shared" si="6"/>
        <v>1</v>
      </c>
      <c r="G84">
        <v>83</v>
      </c>
      <c r="K84">
        <f t="shared" si="8"/>
        <v>83</v>
      </c>
      <c r="L84" s="1">
        <f t="shared" si="9"/>
        <v>45068</v>
      </c>
      <c r="M84">
        <f t="shared" si="10"/>
        <v>3022.6362913644489</v>
      </c>
      <c r="N84">
        <f t="shared" si="11"/>
        <v>0.30226362913644489</v>
      </c>
    </row>
    <row r="85" spans="1:14">
      <c r="A85" s="1">
        <v>44645</v>
      </c>
      <c r="B85">
        <v>8.5</v>
      </c>
      <c r="C85">
        <v>0</v>
      </c>
      <c r="D85">
        <f t="shared" si="7"/>
        <v>3</v>
      </c>
      <c r="E85">
        <f>IF(AND(D86=staw[[#This Row],[Miesiąc]],F85=1),E84+1,0)</f>
        <v>16</v>
      </c>
      <c r="F85">
        <f t="shared" si="6"/>
        <v>1</v>
      </c>
      <c r="G85">
        <v>84</v>
      </c>
      <c r="K85">
        <f t="shared" si="8"/>
        <v>84</v>
      </c>
      <c r="L85" s="1">
        <f t="shared" si="9"/>
        <v>45069</v>
      </c>
      <c r="M85">
        <f t="shared" si="10"/>
        <v>3055.1824264633269</v>
      </c>
      <c r="N85">
        <f t="shared" si="11"/>
        <v>0.30551824264633271</v>
      </c>
    </row>
    <row r="86" spans="1:14">
      <c r="A86" s="1">
        <v>44646</v>
      </c>
      <c r="B86">
        <v>10.199999999999999</v>
      </c>
      <c r="C86">
        <v>0</v>
      </c>
      <c r="D86">
        <f t="shared" si="7"/>
        <v>3</v>
      </c>
      <c r="E86">
        <f>IF(AND(D87=staw[[#This Row],[Miesiąc]],F86=1),E85+1,0)</f>
        <v>17</v>
      </c>
      <c r="F86">
        <f t="shared" si="6"/>
        <v>1</v>
      </c>
      <c r="G86">
        <v>85</v>
      </c>
      <c r="K86">
        <f t="shared" si="8"/>
        <v>85</v>
      </c>
      <c r="L86" s="1">
        <f t="shared" si="9"/>
        <v>45070</v>
      </c>
      <c r="M86">
        <f t="shared" si="10"/>
        <v>3088.2981189264356</v>
      </c>
      <c r="N86">
        <f t="shared" si="11"/>
        <v>0.30882981189264358</v>
      </c>
    </row>
    <row r="87" spans="1:14">
      <c r="A87" s="1">
        <v>44647</v>
      </c>
      <c r="B87">
        <v>5.7</v>
      </c>
      <c r="C87">
        <v>0</v>
      </c>
      <c r="D87">
        <f t="shared" si="7"/>
        <v>3</v>
      </c>
      <c r="E87">
        <f>IF(AND(D88=staw[[#This Row],[Miesiąc]],F87=1),E86+1,0)</f>
        <v>18</v>
      </c>
      <c r="F87">
        <f t="shared" si="6"/>
        <v>1</v>
      </c>
      <c r="G87">
        <v>86</v>
      </c>
      <c r="K87">
        <f t="shared" si="8"/>
        <v>86</v>
      </c>
      <c r="L87" s="1">
        <f t="shared" si="9"/>
        <v>45071</v>
      </c>
      <c r="M87">
        <f t="shared" si="10"/>
        <v>3121.9933360076484</v>
      </c>
      <c r="N87">
        <f t="shared" si="11"/>
        <v>0.31219933360076485</v>
      </c>
    </row>
    <row r="88" spans="1:14">
      <c r="A88" s="1">
        <v>44648</v>
      </c>
      <c r="B88">
        <v>10.3</v>
      </c>
      <c r="C88">
        <v>0</v>
      </c>
      <c r="D88">
        <f t="shared" si="7"/>
        <v>3</v>
      </c>
      <c r="E88">
        <f>IF(AND(D89=staw[[#This Row],[Miesiąc]],F88=1),E87+1,0)</f>
        <v>19</v>
      </c>
      <c r="F88">
        <f t="shared" si="6"/>
        <v>1</v>
      </c>
      <c r="G88">
        <v>87</v>
      </c>
      <c r="K88">
        <f t="shared" si="8"/>
        <v>87</v>
      </c>
      <c r="L88" s="1">
        <f t="shared" si="9"/>
        <v>45072</v>
      </c>
      <c r="M88">
        <f t="shared" si="10"/>
        <v>3156.2782193877824</v>
      </c>
      <c r="N88">
        <f t="shared" si="11"/>
        <v>0.31562782193877825</v>
      </c>
    </row>
    <row r="89" spans="1:14">
      <c r="A89" s="1">
        <v>44649</v>
      </c>
      <c r="B89">
        <v>11.4</v>
      </c>
      <c r="C89">
        <v>0</v>
      </c>
      <c r="D89">
        <f t="shared" si="7"/>
        <v>3</v>
      </c>
      <c r="E89">
        <f>IF(AND(D90=staw[[#This Row],[Miesiąc]],F89=1),E88+1,0)</f>
        <v>20</v>
      </c>
      <c r="F89">
        <f t="shared" si="6"/>
        <v>1</v>
      </c>
      <c r="G89">
        <v>88</v>
      </c>
      <c r="K89">
        <f t="shared" si="8"/>
        <v>88</v>
      </c>
      <c r="L89" s="1">
        <f t="shared" si="9"/>
        <v>45073</v>
      </c>
      <c r="M89">
        <f t="shared" si="10"/>
        <v>3130.1130882270691</v>
      </c>
      <c r="N89">
        <f t="shared" si="11"/>
        <v>0.31301130882270689</v>
      </c>
    </row>
    <row r="90" spans="1:14">
      <c r="A90" s="1">
        <v>44650</v>
      </c>
      <c r="B90">
        <v>8.5</v>
      </c>
      <c r="C90">
        <v>3</v>
      </c>
      <c r="D90">
        <f t="shared" si="7"/>
        <v>3</v>
      </c>
      <c r="E90">
        <f>IF(AND(D91=staw[[#This Row],[Miesiąc]],F90=1),E89+1,0)</f>
        <v>0</v>
      </c>
      <c r="F90">
        <f t="shared" si="6"/>
        <v>0</v>
      </c>
      <c r="G90">
        <v>89</v>
      </c>
      <c r="K90">
        <f t="shared" si="8"/>
        <v>89</v>
      </c>
      <c r="L90" s="1">
        <f t="shared" si="9"/>
        <v>45074</v>
      </c>
      <c r="M90">
        <f t="shared" si="10"/>
        <v>3164.540067271043</v>
      </c>
      <c r="N90">
        <f t="shared" si="11"/>
        <v>0.31645400672710428</v>
      </c>
    </row>
    <row r="91" spans="1:14">
      <c r="A91" s="1">
        <v>44651</v>
      </c>
      <c r="B91">
        <v>3.9</v>
      </c>
      <c r="C91">
        <v>11</v>
      </c>
      <c r="D91">
        <f t="shared" si="7"/>
        <v>3</v>
      </c>
      <c r="E91">
        <f>IF(AND(D92=staw[[#This Row],[Miesiąc]],F91=1),E90+1,0)</f>
        <v>0</v>
      </c>
      <c r="F91">
        <f t="shared" si="6"/>
        <v>0</v>
      </c>
      <c r="G91">
        <v>90</v>
      </c>
      <c r="K91">
        <f t="shared" si="8"/>
        <v>90</v>
      </c>
      <c r="L91" s="1">
        <f t="shared" si="9"/>
        <v>45075</v>
      </c>
      <c r="M91">
        <f t="shared" si="10"/>
        <v>3199.5695184482865</v>
      </c>
      <c r="N91">
        <f t="shared" si="11"/>
        <v>0.31995695184482864</v>
      </c>
    </row>
    <row r="92" spans="1:14">
      <c r="A92" s="1">
        <v>44652</v>
      </c>
      <c r="B92">
        <v>1</v>
      </c>
      <c r="C92">
        <v>13</v>
      </c>
      <c r="D92">
        <f t="shared" si="7"/>
        <v>4</v>
      </c>
      <c r="E92">
        <f>IF(AND(D93=staw[[#This Row],[Miesiąc]],F92=1),E91+1,0)</f>
        <v>0</v>
      </c>
      <c r="F92">
        <f t="shared" si="6"/>
        <v>0</v>
      </c>
      <c r="G92">
        <v>91</v>
      </c>
      <c r="K92">
        <f t="shared" si="8"/>
        <v>91</v>
      </c>
      <c r="L92" s="1">
        <f t="shared" si="9"/>
        <v>45076</v>
      </c>
      <c r="M92">
        <f t="shared" si="10"/>
        <v>3235.2119850211316</v>
      </c>
      <c r="N92">
        <f t="shared" si="11"/>
        <v>0.32352119850211314</v>
      </c>
    </row>
    <row r="93" spans="1:14">
      <c r="A93" s="1">
        <v>44653</v>
      </c>
      <c r="B93">
        <v>-0.1</v>
      </c>
      <c r="C93">
        <v>0</v>
      </c>
      <c r="D93">
        <f t="shared" si="7"/>
        <v>4</v>
      </c>
      <c r="E93">
        <f>IF(AND(D94=staw[[#This Row],[Miesiąc]],F93=1),E92+1,0)</f>
        <v>1</v>
      </c>
      <c r="F93">
        <f t="shared" si="6"/>
        <v>1</v>
      </c>
      <c r="G93">
        <v>92</v>
      </c>
      <c r="K93">
        <f t="shared" si="8"/>
        <v>92</v>
      </c>
      <c r="L93" s="1">
        <f t="shared" si="9"/>
        <v>45077</v>
      </c>
      <c r="M93">
        <f t="shared" si="10"/>
        <v>3271.4781947590018</v>
      </c>
      <c r="N93">
        <f t="shared" si="11"/>
        <v>0.32714781947590016</v>
      </c>
    </row>
    <row r="94" spans="1:14">
      <c r="A94" s="1">
        <v>44654</v>
      </c>
      <c r="B94">
        <v>0.2</v>
      </c>
      <c r="C94">
        <v>2</v>
      </c>
      <c r="D94">
        <f t="shared" si="7"/>
        <v>4</v>
      </c>
      <c r="E94">
        <f>IF(AND(D95=staw[[#This Row],[Miesiąc]],F94=1),E93+1,0)</f>
        <v>0</v>
      </c>
      <c r="F94">
        <f t="shared" si="6"/>
        <v>0</v>
      </c>
      <c r="G94">
        <v>93</v>
      </c>
      <c r="K94">
        <f t="shared" si="8"/>
        <v>93</v>
      </c>
      <c r="L94" s="1">
        <f t="shared" si="9"/>
        <v>45078</v>
      </c>
      <c r="M94">
        <f t="shared" si="10"/>
        <v>3308.3790631672846</v>
      </c>
      <c r="N94">
        <f t="shared" si="11"/>
        <v>0.33083790631672844</v>
      </c>
    </row>
    <row r="95" spans="1:14">
      <c r="A95" s="1">
        <v>44655</v>
      </c>
      <c r="B95">
        <v>2.8</v>
      </c>
      <c r="C95">
        <v>0</v>
      </c>
      <c r="D95">
        <f t="shared" si="7"/>
        <v>4</v>
      </c>
      <c r="E95">
        <f>IF(AND(D96=staw[[#This Row],[Miesiąc]],F95=1),E94+1,0)</f>
        <v>1</v>
      </c>
      <c r="F95">
        <f t="shared" si="6"/>
        <v>1</v>
      </c>
      <c r="G95">
        <v>94</v>
      </c>
      <c r="K95">
        <f t="shared" si="8"/>
        <v>94</v>
      </c>
      <c r="L95" s="1">
        <f t="shared" si="9"/>
        <v>45079</v>
      </c>
      <c r="M95">
        <f t="shared" si="10"/>
        <v>3345.9256967727124</v>
      </c>
      <c r="N95">
        <f t="shared" si="11"/>
        <v>0.33459256967727125</v>
      </c>
    </row>
    <row r="96" spans="1:14">
      <c r="A96" s="1">
        <v>44656</v>
      </c>
      <c r="B96">
        <v>5.7</v>
      </c>
      <c r="C96">
        <v>1</v>
      </c>
      <c r="D96">
        <f t="shared" si="7"/>
        <v>4</v>
      </c>
      <c r="E96">
        <f>IF(AND(D97=staw[[#This Row],[Miesiąc]],F96=1),E95+1,0)</f>
        <v>0</v>
      </c>
      <c r="F96">
        <f t="shared" si="6"/>
        <v>0</v>
      </c>
      <c r="G96">
        <v>95</v>
      </c>
      <c r="K96">
        <f t="shared" si="8"/>
        <v>95</v>
      </c>
      <c r="L96" s="1">
        <f t="shared" si="9"/>
        <v>45080</v>
      </c>
      <c r="M96">
        <f t="shared" si="10"/>
        <v>3323.0793964662353</v>
      </c>
      <c r="N96">
        <f t="shared" si="11"/>
        <v>0.33230793964662353</v>
      </c>
    </row>
    <row r="97" spans="1:14">
      <c r="A97" s="1">
        <v>44657</v>
      </c>
      <c r="B97">
        <v>11.6</v>
      </c>
      <c r="C97">
        <v>0</v>
      </c>
      <c r="D97">
        <f t="shared" si="7"/>
        <v>4</v>
      </c>
      <c r="E97">
        <f>IF(AND(D98=staw[[#This Row],[Miesiąc]],F97=1),E96+1,0)</f>
        <v>1</v>
      </c>
      <c r="F97">
        <f t="shared" si="6"/>
        <v>1</v>
      </c>
      <c r="G97">
        <v>96</v>
      </c>
      <c r="K97">
        <f t="shared" si="8"/>
        <v>96</v>
      </c>
      <c r="L97" s="1">
        <f t="shared" si="9"/>
        <v>45081</v>
      </c>
      <c r="M97">
        <f t="shared" si="10"/>
        <v>3360.8832859043946</v>
      </c>
      <c r="N97">
        <f t="shared" si="11"/>
        <v>0.33608832859043947</v>
      </c>
    </row>
    <row r="98" spans="1:14">
      <c r="A98" s="1">
        <v>44658</v>
      </c>
      <c r="B98">
        <v>14.3</v>
      </c>
      <c r="C98">
        <v>0</v>
      </c>
      <c r="D98">
        <f t="shared" si="7"/>
        <v>4</v>
      </c>
      <c r="E98">
        <f>IF(AND(D99=staw[[#This Row],[Miesiąc]],F98=1),E97+1,0)</f>
        <v>2</v>
      </c>
      <c r="F98">
        <f t="shared" si="6"/>
        <v>1</v>
      </c>
      <c r="G98">
        <v>97</v>
      </c>
      <c r="K98">
        <f t="shared" si="8"/>
        <v>97</v>
      </c>
      <c r="L98" s="1">
        <f t="shared" si="9"/>
        <v>45082</v>
      </c>
      <c r="M98">
        <f t="shared" si="10"/>
        <v>3399.3487434077219</v>
      </c>
      <c r="N98">
        <f t="shared" si="11"/>
        <v>0.33993487434077219</v>
      </c>
    </row>
    <row r="99" spans="1:14">
      <c r="A99" s="1">
        <v>44659</v>
      </c>
      <c r="B99">
        <v>11.3</v>
      </c>
      <c r="C99">
        <v>4</v>
      </c>
      <c r="D99">
        <f t="shared" si="7"/>
        <v>4</v>
      </c>
      <c r="E99">
        <f>IF(AND(D100=staw[[#This Row],[Miesiąc]],F99=1),E98+1,0)</f>
        <v>0</v>
      </c>
      <c r="F99">
        <f t="shared" si="6"/>
        <v>0</v>
      </c>
      <c r="G99">
        <v>98</v>
      </c>
      <c r="K99">
        <f t="shared" si="8"/>
        <v>98</v>
      </c>
      <c r="L99" s="1">
        <f t="shared" si="9"/>
        <v>45083</v>
      </c>
      <c r="M99">
        <f t="shared" si="10"/>
        <v>3438.4873464173575</v>
      </c>
      <c r="N99">
        <f t="shared" si="11"/>
        <v>0.34384873464173576</v>
      </c>
    </row>
    <row r="100" spans="1:14">
      <c r="A100" s="1">
        <v>44660</v>
      </c>
      <c r="B100">
        <v>5.8</v>
      </c>
      <c r="C100">
        <v>1</v>
      </c>
      <c r="D100">
        <f t="shared" si="7"/>
        <v>4</v>
      </c>
      <c r="E100">
        <f>IF(AND(D101=staw[[#This Row],[Miesiąc]],F100=1),E99+1,0)</f>
        <v>0</v>
      </c>
      <c r="F100">
        <f t="shared" si="6"/>
        <v>0</v>
      </c>
      <c r="G100">
        <v>99</v>
      </c>
      <c r="K100">
        <f t="shared" si="8"/>
        <v>99</v>
      </c>
      <c r="L100" s="1">
        <f t="shared" si="9"/>
        <v>45084</v>
      </c>
      <c r="M100">
        <f t="shared" si="10"/>
        <v>3478.3108749796615</v>
      </c>
      <c r="N100">
        <f t="shared" si="11"/>
        <v>0.34783108749796615</v>
      </c>
    </row>
    <row r="101" spans="1:14">
      <c r="A101" s="1">
        <v>44661</v>
      </c>
      <c r="B101">
        <v>4.3</v>
      </c>
      <c r="C101">
        <v>0</v>
      </c>
      <c r="D101">
        <f t="shared" si="7"/>
        <v>4</v>
      </c>
      <c r="E101">
        <f>IF(AND(D102=staw[[#This Row],[Miesiąc]],F101=1),E100+1,0)</f>
        <v>1</v>
      </c>
      <c r="F101">
        <f t="shared" si="6"/>
        <v>1</v>
      </c>
      <c r="G101">
        <v>100</v>
      </c>
      <c r="K101">
        <f t="shared" si="8"/>
        <v>100</v>
      </c>
      <c r="L101" s="1">
        <f t="shared" si="9"/>
        <v>45085</v>
      </c>
      <c r="M101">
        <f t="shared" si="10"/>
        <v>3518.8313152918058</v>
      </c>
      <c r="N101">
        <f t="shared" si="11"/>
        <v>0.3518831315291806</v>
      </c>
    </row>
    <row r="102" spans="1:14">
      <c r="A102" s="1">
        <v>44662</v>
      </c>
      <c r="B102">
        <v>3.6</v>
      </c>
      <c r="C102">
        <v>0</v>
      </c>
      <c r="D102">
        <f t="shared" si="7"/>
        <v>4</v>
      </c>
      <c r="E102">
        <f>IF(AND(D103=staw[[#This Row],[Miesiąc]],F102=1),E101+1,0)</f>
        <v>2</v>
      </c>
      <c r="F102">
        <f t="shared" si="6"/>
        <v>1</v>
      </c>
      <c r="G102">
        <v>101</v>
      </c>
      <c r="K102">
        <f t="shared" si="8"/>
        <v>101</v>
      </c>
      <c r="L102" s="1">
        <f t="shared" si="9"/>
        <v>45086</v>
      </c>
      <c r="M102">
        <f t="shared" si="10"/>
        <v>3560.0608633094125</v>
      </c>
      <c r="N102">
        <f t="shared" si="11"/>
        <v>0.35600608633094127</v>
      </c>
    </row>
    <row r="103" spans="1:14">
      <c r="A103" s="1">
        <v>44663</v>
      </c>
      <c r="B103">
        <v>6.8</v>
      </c>
      <c r="C103">
        <v>0</v>
      </c>
      <c r="D103">
        <f t="shared" si="7"/>
        <v>4</v>
      </c>
      <c r="E103">
        <f>IF(AND(D104=staw[[#This Row],[Miesiąc]],F103=1),E102+1,0)</f>
        <v>3</v>
      </c>
      <c r="F103">
        <f t="shared" si="6"/>
        <v>1</v>
      </c>
      <c r="G103">
        <v>102</v>
      </c>
      <c r="K103">
        <f t="shared" si="8"/>
        <v>102</v>
      </c>
      <c r="L103" s="1">
        <f t="shared" si="9"/>
        <v>45087</v>
      </c>
      <c r="M103">
        <f t="shared" si="10"/>
        <v>3540.9619284173273</v>
      </c>
      <c r="N103">
        <f t="shared" si="11"/>
        <v>0.35409619284173272</v>
      </c>
    </row>
    <row r="104" spans="1:14">
      <c r="A104" s="1">
        <v>44664</v>
      </c>
      <c r="B104">
        <v>9.1999999999999993</v>
      </c>
      <c r="C104">
        <v>0</v>
      </c>
      <c r="D104">
        <f t="shared" si="7"/>
        <v>4</v>
      </c>
      <c r="E104">
        <f>IF(AND(D105=staw[[#This Row],[Miesiąc]],F104=1),E103+1,0)</f>
        <v>4</v>
      </c>
      <c r="F104">
        <f t="shared" si="6"/>
        <v>1</v>
      </c>
      <c r="G104">
        <v>103</v>
      </c>
      <c r="K104">
        <f t="shared" si="8"/>
        <v>103</v>
      </c>
      <c r="L104" s="1">
        <f t="shared" si="9"/>
        <v>45088</v>
      </c>
      <c r="M104">
        <f t="shared" si="10"/>
        <v>3582.5787621646309</v>
      </c>
      <c r="N104">
        <f t="shared" si="11"/>
        <v>0.3582578762164631</v>
      </c>
    </row>
    <row r="105" spans="1:14">
      <c r="A105" s="1">
        <v>44665</v>
      </c>
      <c r="B105">
        <v>13.9</v>
      </c>
      <c r="C105">
        <v>0</v>
      </c>
      <c r="D105">
        <f t="shared" si="7"/>
        <v>4</v>
      </c>
      <c r="E105">
        <f>IF(AND(D106=staw[[#This Row],[Miesiąc]],F105=1),E104+1,0)</f>
        <v>5</v>
      </c>
      <c r="F105">
        <f t="shared" si="6"/>
        <v>1</v>
      </c>
      <c r="G105">
        <v>104</v>
      </c>
      <c r="K105">
        <f t="shared" si="8"/>
        <v>104</v>
      </c>
      <c r="L105" s="1">
        <f t="shared" si="9"/>
        <v>45089</v>
      </c>
      <c r="M105">
        <f t="shared" si="10"/>
        <v>3624.9238905025122</v>
      </c>
      <c r="N105">
        <f t="shared" si="11"/>
        <v>0.36249238905025122</v>
      </c>
    </row>
    <row r="106" spans="1:14">
      <c r="A106" s="1">
        <v>44666</v>
      </c>
      <c r="B106">
        <v>11.3</v>
      </c>
      <c r="C106">
        <v>2</v>
      </c>
      <c r="D106">
        <f t="shared" si="7"/>
        <v>4</v>
      </c>
      <c r="E106">
        <f>IF(AND(D107=staw[[#This Row],[Miesiąc]],F106=1),E105+1,0)</f>
        <v>0</v>
      </c>
      <c r="F106">
        <f t="shared" si="6"/>
        <v>0</v>
      </c>
      <c r="G106">
        <v>105</v>
      </c>
      <c r="K106">
        <f t="shared" si="8"/>
        <v>105</v>
      </c>
      <c r="L106" s="1">
        <f t="shared" si="9"/>
        <v>45090</v>
      </c>
      <c r="M106">
        <f t="shared" si="10"/>
        <v>3668.0100585863065</v>
      </c>
      <c r="N106">
        <f t="shared" si="11"/>
        <v>0.36680100585863062</v>
      </c>
    </row>
    <row r="107" spans="1:14">
      <c r="A107" s="1">
        <v>44667</v>
      </c>
      <c r="B107">
        <v>6.9</v>
      </c>
      <c r="C107">
        <v>4</v>
      </c>
      <c r="D107">
        <f t="shared" si="7"/>
        <v>4</v>
      </c>
      <c r="E107">
        <f>IF(AND(D108=staw[[#This Row],[Miesiąc]],F107=1),E106+1,0)</f>
        <v>0</v>
      </c>
      <c r="F107">
        <f t="shared" si="6"/>
        <v>0</v>
      </c>
      <c r="G107">
        <v>106</v>
      </c>
      <c r="K107">
        <f t="shared" si="8"/>
        <v>106</v>
      </c>
      <c r="L107" s="1">
        <f t="shared" si="9"/>
        <v>45091</v>
      </c>
      <c r="M107">
        <f t="shared" si="10"/>
        <v>3711.850234611567</v>
      </c>
      <c r="N107">
        <f t="shared" si="11"/>
        <v>0.37118502346115667</v>
      </c>
    </row>
    <row r="108" spans="1:14">
      <c r="A108" s="1">
        <v>44668</v>
      </c>
      <c r="B108">
        <v>6.2</v>
      </c>
      <c r="C108">
        <v>0</v>
      </c>
      <c r="D108">
        <f t="shared" si="7"/>
        <v>4</v>
      </c>
      <c r="E108">
        <f>IF(AND(D109=staw[[#This Row],[Miesiąc]],F108=1),E107+1,0)</f>
        <v>1</v>
      </c>
      <c r="F108">
        <f t="shared" si="6"/>
        <v>1</v>
      </c>
      <c r="G108">
        <v>107</v>
      </c>
      <c r="K108">
        <f t="shared" si="8"/>
        <v>107</v>
      </c>
      <c r="L108" s="1">
        <f t="shared" si="9"/>
        <v>45092</v>
      </c>
      <c r="M108">
        <f t="shared" si="10"/>
        <v>3756.4576137172699</v>
      </c>
      <c r="N108">
        <f t="shared" si="11"/>
        <v>0.375645761371727</v>
      </c>
    </row>
    <row r="109" spans="1:14">
      <c r="A109" s="1">
        <v>44669</v>
      </c>
      <c r="B109">
        <v>5.4</v>
      </c>
      <c r="C109">
        <v>0</v>
      </c>
      <c r="D109">
        <f t="shared" si="7"/>
        <v>4</v>
      </c>
      <c r="E109">
        <f>IF(AND(D110=staw[[#This Row],[Miesiąc]],F109=1),E108+1,0)</f>
        <v>2</v>
      </c>
      <c r="F109">
        <f t="shared" si="6"/>
        <v>1</v>
      </c>
      <c r="G109">
        <v>108</v>
      </c>
      <c r="K109">
        <f t="shared" si="8"/>
        <v>108</v>
      </c>
      <c r="L109" s="1">
        <f t="shared" si="9"/>
        <v>45093</v>
      </c>
      <c r="M109">
        <f t="shared" si="10"/>
        <v>3801.8456219573222</v>
      </c>
      <c r="N109">
        <f t="shared" si="11"/>
        <v>0.38018456219573221</v>
      </c>
    </row>
    <row r="110" spans="1:14">
      <c r="A110" s="1">
        <v>44670</v>
      </c>
      <c r="B110">
        <v>5.3</v>
      </c>
      <c r="C110">
        <v>0</v>
      </c>
      <c r="D110">
        <f t="shared" si="7"/>
        <v>4</v>
      </c>
      <c r="E110">
        <f>IF(AND(D111=staw[[#This Row],[Miesiąc]],F110=1),E109+1,0)</f>
        <v>3</v>
      </c>
      <c r="F110">
        <f t="shared" si="6"/>
        <v>1</v>
      </c>
      <c r="G110">
        <v>109</v>
      </c>
      <c r="K110">
        <f t="shared" si="8"/>
        <v>109</v>
      </c>
      <c r="L110" s="1">
        <f t="shared" si="9"/>
        <v>45094</v>
      </c>
      <c r="M110">
        <f t="shared" si="10"/>
        <v>3786.9779203415756</v>
      </c>
      <c r="N110">
        <f t="shared" si="11"/>
        <v>0.37869779203415754</v>
      </c>
    </row>
    <row r="111" spans="1:14">
      <c r="A111" s="1">
        <v>44671</v>
      </c>
      <c r="B111">
        <v>4.7</v>
      </c>
      <c r="C111">
        <v>0</v>
      </c>
      <c r="D111">
        <f t="shared" si="7"/>
        <v>4</v>
      </c>
      <c r="E111">
        <f>IF(AND(D112=staw[[#This Row],[Miesiąc]],F111=1),E110+1,0)</f>
        <v>4</v>
      </c>
      <c r="F111">
        <f t="shared" si="6"/>
        <v>1</v>
      </c>
      <c r="G111">
        <v>110</v>
      </c>
      <c r="K111">
        <f t="shared" si="8"/>
        <v>110</v>
      </c>
      <c r="L111" s="1">
        <f t="shared" si="9"/>
        <v>45095</v>
      </c>
      <c r="M111">
        <f t="shared" si="10"/>
        <v>3832.9000339475533</v>
      </c>
      <c r="N111">
        <f t="shared" si="11"/>
        <v>0.38329000339475533</v>
      </c>
    </row>
    <row r="112" spans="1:14">
      <c r="A112" s="1">
        <v>44672</v>
      </c>
      <c r="B112">
        <v>7.7</v>
      </c>
      <c r="C112">
        <v>0</v>
      </c>
      <c r="D112">
        <f t="shared" si="7"/>
        <v>4</v>
      </c>
      <c r="E112">
        <f>IF(AND(D113=staw[[#This Row],[Miesiąc]],F112=1),E111+1,0)</f>
        <v>5</v>
      </c>
      <c r="F112">
        <f t="shared" si="6"/>
        <v>1</v>
      </c>
      <c r="G112">
        <v>111</v>
      </c>
      <c r="K112">
        <f t="shared" si="8"/>
        <v>111</v>
      </c>
      <c r="L112" s="1">
        <f t="shared" si="9"/>
        <v>45096</v>
      </c>
      <c r="M112">
        <f t="shared" si="10"/>
        <v>3879.6257845416358</v>
      </c>
      <c r="N112">
        <f t="shared" si="11"/>
        <v>0.3879625784541636</v>
      </c>
    </row>
    <row r="113" spans="1:14">
      <c r="A113" s="1">
        <v>44673</v>
      </c>
      <c r="B113">
        <v>7.7</v>
      </c>
      <c r="C113">
        <v>0</v>
      </c>
      <c r="D113">
        <f t="shared" si="7"/>
        <v>4</v>
      </c>
      <c r="E113">
        <f>IF(AND(D114=staw[[#This Row],[Miesiąc]],F113=1),E112+1,0)</f>
        <v>6</v>
      </c>
      <c r="F113">
        <f t="shared" si="6"/>
        <v>1</v>
      </c>
      <c r="G113">
        <v>112</v>
      </c>
      <c r="K113">
        <f t="shared" si="8"/>
        <v>112</v>
      </c>
      <c r="L113" s="1">
        <f t="shared" si="9"/>
        <v>45097</v>
      </c>
      <c r="M113">
        <f t="shared" si="10"/>
        <v>3927.1692357711145</v>
      </c>
      <c r="N113">
        <f t="shared" si="11"/>
        <v>0.39271692357711147</v>
      </c>
    </row>
    <row r="114" spans="1:14">
      <c r="A114" s="1">
        <v>44674</v>
      </c>
      <c r="B114">
        <v>8.6</v>
      </c>
      <c r="C114">
        <v>0</v>
      </c>
      <c r="D114">
        <f t="shared" si="7"/>
        <v>4</v>
      </c>
      <c r="E114">
        <f>IF(AND(D115=staw[[#This Row],[Miesiąc]],F114=1),E113+1,0)</f>
        <v>7</v>
      </c>
      <c r="F114">
        <f t="shared" si="6"/>
        <v>1</v>
      </c>
      <c r="G114">
        <v>113</v>
      </c>
      <c r="K114">
        <f t="shared" si="8"/>
        <v>113</v>
      </c>
      <c r="L114" s="1">
        <f t="shared" si="9"/>
        <v>45098</v>
      </c>
      <c r="M114">
        <f t="shared" si="10"/>
        <v>3975.5446973971093</v>
      </c>
      <c r="N114">
        <f t="shared" si="11"/>
        <v>0.39755446973971093</v>
      </c>
    </row>
    <row r="115" spans="1:14">
      <c r="A115" s="1">
        <v>44675</v>
      </c>
      <c r="B115">
        <v>9.4</v>
      </c>
      <c r="C115">
        <v>0</v>
      </c>
      <c r="D115">
        <f t="shared" si="7"/>
        <v>4</v>
      </c>
      <c r="E115">
        <f>IF(AND(D116=staw[[#This Row],[Miesiąc]],F115=1),E114+1,0)</f>
        <v>8</v>
      </c>
      <c r="F115">
        <f t="shared" si="6"/>
        <v>1</v>
      </c>
      <c r="G115">
        <v>114</v>
      </c>
      <c r="K115">
        <f t="shared" si="8"/>
        <v>114</v>
      </c>
      <c r="L115" s="1">
        <f t="shared" si="9"/>
        <v>45099</v>
      </c>
      <c r="M115">
        <f t="shared" si="10"/>
        <v>4024.7667296015588</v>
      </c>
      <c r="N115">
        <f t="shared" si="11"/>
        <v>0.40247667296015588</v>
      </c>
    </row>
    <row r="116" spans="1:14">
      <c r="A116" s="1">
        <v>44676</v>
      </c>
      <c r="B116">
        <v>11.1</v>
      </c>
      <c r="C116">
        <v>18</v>
      </c>
      <c r="D116">
        <f t="shared" si="7"/>
        <v>4</v>
      </c>
      <c r="E116">
        <f>IF(AND(D117=staw[[#This Row],[Miesiąc]],F116=1),E115+1,0)</f>
        <v>0</v>
      </c>
      <c r="F116">
        <f t="shared" si="6"/>
        <v>0</v>
      </c>
      <c r="G116">
        <v>115</v>
      </c>
      <c r="K116">
        <f t="shared" si="8"/>
        <v>115</v>
      </c>
      <c r="L116" s="1">
        <f t="shared" si="9"/>
        <v>45100</v>
      </c>
      <c r="M116">
        <f t="shared" si="10"/>
        <v>4074.8501473695865</v>
      </c>
      <c r="N116">
        <f t="shared" si="11"/>
        <v>0.40748501473695864</v>
      </c>
    </row>
    <row r="117" spans="1:14">
      <c r="A117" s="1">
        <v>44677</v>
      </c>
      <c r="B117">
        <v>9.5</v>
      </c>
      <c r="C117">
        <v>0</v>
      </c>
      <c r="D117">
        <f t="shared" si="7"/>
        <v>4</v>
      </c>
      <c r="E117">
        <f>IF(AND(D118=staw[[#This Row],[Miesiąc]],F117=1),E116+1,0)</f>
        <v>1</v>
      </c>
      <c r="F117">
        <f t="shared" si="6"/>
        <v>1</v>
      </c>
      <c r="G117">
        <v>116</v>
      </c>
      <c r="K117">
        <f t="shared" si="8"/>
        <v>116</v>
      </c>
      <c r="L117" s="1">
        <f t="shared" si="9"/>
        <v>45101</v>
      </c>
      <c r="M117">
        <f t="shared" si="10"/>
        <v>4064.7600249485545</v>
      </c>
      <c r="N117">
        <f t="shared" si="11"/>
        <v>0.40647600249485544</v>
      </c>
    </row>
    <row r="118" spans="1:14">
      <c r="A118" s="1">
        <v>44678</v>
      </c>
      <c r="B118">
        <v>9.8000000000000007</v>
      </c>
      <c r="C118">
        <v>0</v>
      </c>
      <c r="D118">
        <f t="shared" si="7"/>
        <v>4</v>
      </c>
      <c r="E118">
        <f>IF(AND(D119=staw[[#This Row],[Miesiąc]],F118=1),E117+1,0)</f>
        <v>2</v>
      </c>
      <c r="F118">
        <f t="shared" si="6"/>
        <v>1</v>
      </c>
      <c r="G118">
        <v>117</v>
      </c>
      <c r="K118">
        <f t="shared" si="8"/>
        <v>117</v>
      </c>
      <c r="L118" s="1">
        <f t="shared" si="9"/>
        <v>45102</v>
      </c>
      <c r="M118">
        <f t="shared" si="10"/>
        <v>4115.5433253851543</v>
      </c>
      <c r="N118">
        <f t="shared" si="11"/>
        <v>0.41155433253851542</v>
      </c>
    </row>
    <row r="119" spans="1:14">
      <c r="A119" s="1">
        <v>44679</v>
      </c>
      <c r="B119">
        <v>12.1</v>
      </c>
      <c r="C119">
        <v>0</v>
      </c>
      <c r="D119">
        <f t="shared" si="7"/>
        <v>4</v>
      </c>
      <c r="E119">
        <f>IF(AND(D120=staw[[#This Row],[Miesiąc]],F119=1),E118+1,0)</f>
        <v>3</v>
      </c>
      <c r="F119">
        <f t="shared" si="6"/>
        <v>1</v>
      </c>
      <c r="G119">
        <v>118</v>
      </c>
      <c r="K119">
        <f t="shared" si="8"/>
        <v>118</v>
      </c>
      <c r="L119" s="1">
        <f t="shared" si="9"/>
        <v>45103</v>
      </c>
      <c r="M119">
        <f t="shared" si="10"/>
        <v>4167.2153335793946</v>
      </c>
      <c r="N119">
        <f t="shared" si="11"/>
        <v>0.41672153335793949</v>
      </c>
    </row>
    <row r="120" spans="1:14">
      <c r="A120" s="1">
        <v>44680</v>
      </c>
      <c r="B120">
        <v>11.1</v>
      </c>
      <c r="C120">
        <v>0</v>
      </c>
      <c r="D120">
        <f t="shared" si="7"/>
        <v>4</v>
      </c>
      <c r="E120">
        <f>IF(AND(D121=staw[[#This Row],[Miesiąc]],F120=1),E119+1,0)</f>
        <v>4</v>
      </c>
      <c r="F120">
        <f t="shared" si="6"/>
        <v>1</v>
      </c>
      <c r="G120">
        <v>119</v>
      </c>
      <c r="K120">
        <f t="shared" si="8"/>
        <v>119</v>
      </c>
      <c r="L120" s="1">
        <f t="shared" si="9"/>
        <v>45104</v>
      </c>
      <c r="M120">
        <f t="shared" si="10"/>
        <v>4219.7916019170343</v>
      </c>
      <c r="N120">
        <f t="shared" si="11"/>
        <v>0.42197916019170345</v>
      </c>
    </row>
    <row r="121" spans="1:14">
      <c r="A121" s="1">
        <v>44681</v>
      </c>
      <c r="B121">
        <v>3.9</v>
      </c>
      <c r="C121">
        <v>11</v>
      </c>
      <c r="D121">
        <f t="shared" si="7"/>
        <v>4</v>
      </c>
      <c r="E121">
        <f>IF(AND(D122=staw[[#This Row],[Miesiąc]],F121=1),E120+1,0)</f>
        <v>0</v>
      </c>
      <c r="F121">
        <f t="shared" si="6"/>
        <v>0</v>
      </c>
      <c r="G121">
        <v>120</v>
      </c>
      <c r="K121">
        <f t="shared" si="8"/>
        <v>120</v>
      </c>
      <c r="L121" s="1">
        <f t="shared" si="9"/>
        <v>45105</v>
      </c>
      <c r="M121">
        <f t="shared" si="10"/>
        <v>4273.2879549505824</v>
      </c>
      <c r="N121">
        <f t="shared" si="11"/>
        <v>0.42732879549505826</v>
      </c>
    </row>
    <row r="122" spans="1:14">
      <c r="A122" s="1">
        <v>44682</v>
      </c>
      <c r="B122">
        <v>12.8</v>
      </c>
      <c r="C122">
        <v>0</v>
      </c>
      <c r="D122">
        <f t="shared" si="7"/>
        <v>5</v>
      </c>
      <c r="E122">
        <f>IF(AND(D123=staw[[#This Row],[Miesiąc]],F122=1),E121+1,0)</f>
        <v>1</v>
      </c>
      <c r="F122">
        <f t="shared" si="6"/>
        <v>1</v>
      </c>
      <c r="G122">
        <v>121</v>
      </c>
      <c r="K122">
        <f t="shared" si="8"/>
        <v>121</v>
      </c>
      <c r="L122" s="1">
        <f t="shared" si="9"/>
        <v>45106</v>
      </c>
      <c r="M122">
        <f t="shared" si="10"/>
        <v>4327.7204941622176</v>
      </c>
      <c r="N122">
        <f t="shared" si="11"/>
        <v>0.43277204941622177</v>
      </c>
    </row>
    <row r="123" spans="1:14">
      <c r="A123" s="1">
        <v>44683</v>
      </c>
      <c r="B123">
        <v>14.4</v>
      </c>
      <c r="C123">
        <v>0</v>
      </c>
      <c r="D123">
        <f t="shared" si="7"/>
        <v>5</v>
      </c>
      <c r="E123">
        <f>IF(AND(D124=staw[[#This Row],[Miesiąc]],F123=1),E122+1,0)</f>
        <v>2</v>
      </c>
      <c r="F123">
        <f t="shared" si="6"/>
        <v>1</v>
      </c>
      <c r="G123">
        <v>122</v>
      </c>
      <c r="K123">
        <f t="shared" si="8"/>
        <v>122</v>
      </c>
      <c r="L123" s="1">
        <f t="shared" si="9"/>
        <v>45107</v>
      </c>
      <c r="M123">
        <f t="shared" si="10"/>
        <v>4383.1056028100566</v>
      </c>
      <c r="N123">
        <f t="shared" si="11"/>
        <v>0.43831056028100568</v>
      </c>
    </row>
    <row r="124" spans="1:14">
      <c r="A124" s="1">
        <v>44684</v>
      </c>
      <c r="B124">
        <v>15.3</v>
      </c>
      <c r="C124">
        <v>0</v>
      </c>
      <c r="D124">
        <f t="shared" si="7"/>
        <v>5</v>
      </c>
      <c r="E124">
        <f>IF(AND(D125=staw[[#This Row],[Miesiąc]],F124=1),E123+1,0)</f>
        <v>3</v>
      </c>
      <c r="F124">
        <f t="shared" si="6"/>
        <v>1</v>
      </c>
      <c r="G124">
        <v>123</v>
      </c>
      <c r="K124">
        <f t="shared" si="8"/>
        <v>123</v>
      </c>
      <c r="L124" s="1">
        <f t="shared" si="9"/>
        <v>45108</v>
      </c>
      <c r="M124">
        <f t="shared" si="10"/>
        <v>4378.4099508592326</v>
      </c>
      <c r="N124">
        <f t="shared" si="11"/>
        <v>0.43784099508592328</v>
      </c>
    </row>
    <row r="125" spans="1:14">
      <c r="A125" s="1">
        <v>44685</v>
      </c>
      <c r="B125">
        <v>15.4</v>
      </c>
      <c r="C125">
        <v>0</v>
      </c>
      <c r="D125">
        <f t="shared" si="7"/>
        <v>5</v>
      </c>
      <c r="E125">
        <f>IF(AND(D126=staw[[#This Row],[Miesiąc]],F125=1),E124+1,0)</f>
        <v>4</v>
      </c>
      <c r="F125">
        <f t="shared" si="6"/>
        <v>1</v>
      </c>
      <c r="G125">
        <v>124</v>
      </c>
      <c r="K125">
        <f t="shared" si="8"/>
        <v>124</v>
      </c>
      <c r="L125" s="1">
        <f t="shared" si="9"/>
        <v>45109</v>
      </c>
      <c r="M125">
        <f t="shared" si="10"/>
        <v>4434.682124999269</v>
      </c>
      <c r="N125">
        <f t="shared" si="11"/>
        <v>0.44346821249992691</v>
      </c>
    </row>
    <row r="126" spans="1:14">
      <c r="A126" s="1">
        <v>44686</v>
      </c>
      <c r="B126">
        <v>16.100000000000001</v>
      </c>
      <c r="C126">
        <v>0</v>
      </c>
      <c r="D126">
        <f t="shared" si="7"/>
        <v>5</v>
      </c>
      <c r="E126">
        <f>IF(AND(D127=staw[[#This Row],[Miesiąc]],F126=1),E125+1,0)</f>
        <v>5</v>
      </c>
      <c r="F126">
        <f t="shared" si="6"/>
        <v>1</v>
      </c>
      <c r="G126">
        <v>125</v>
      </c>
      <c r="K126">
        <f t="shared" si="8"/>
        <v>125</v>
      </c>
      <c r="L126" s="1">
        <f t="shared" si="9"/>
        <v>45110</v>
      </c>
      <c r="M126">
        <f t="shared" si="10"/>
        <v>4491.9390621867569</v>
      </c>
      <c r="N126">
        <f t="shared" si="11"/>
        <v>0.44919390621867572</v>
      </c>
    </row>
    <row r="127" spans="1:14">
      <c r="A127" s="1">
        <v>44687</v>
      </c>
      <c r="B127">
        <v>14.9</v>
      </c>
      <c r="C127">
        <v>0</v>
      </c>
      <c r="D127">
        <f t="shared" si="7"/>
        <v>5</v>
      </c>
      <c r="E127">
        <f>IF(AND(D128=staw[[#This Row],[Miesiąc]],F127=1),E126+1,0)</f>
        <v>6</v>
      </c>
      <c r="F127">
        <f t="shared" si="6"/>
        <v>1</v>
      </c>
      <c r="G127">
        <v>126</v>
      </c>
      <c r="K127">
        <f t="shared" si="8"/>
        <v>126</v>
      </c>
      <c r="L127" s="1">
        <f t="shared" si="9"/>
        <v>45111</v>
      </c>
      <c r="M127">
        <f t="shared" si="10"/>
        <v>4550.1979957750254</v>
      </c>
      <c r="N127">
        <f t="shared" si="11"/>
        <v>0.45501979957750255</v>
      </c>
    </row>
    <row r="128" spans="1:14">
      <c r="A128" s="1">
        <v>44688</v>
      </c>
      <c r="B128">
        <v>16</v>
      </c>
      <c r="C128">
        <v>0</v>
      </c>
      <c r="D128">
        <f t="shared" si="7"/>
        <v>5</v>
      </c>
      <c r="E128">
        <f>IF(AND(D129=staw[[#This Row],[Miesiąc]],F128=1),E127+1,0)</f>
        <v>7</v>
      </c>
      <c r="F128">
        <f t="shared" si="6"/>
        <v>1</v>
      </c>
      <c r="G128">
        <v>127</v>
      </c>
      <c r="K128">
        <f t="shared" si="8"/>
        <v>127</v>
      </c>
      <c r="L128" s="1">
        <f t="shared" si="9"/>
        <v>45112</v>
      </c>
      <c r="M128">
        <f t="shared" si="10"/>
        <v>4609.4764607010884</v>
      </c>
      <c r="N128">
        <f t="shared" si="11"/>
        <v>0.46094764607010885</v>
      </c>
    </row>
    <row r="129" spans="1:14">
      <c r="A129" s="1">
        <v>44689</v>
      </c>
      <c r="B129">
        <v>16.3</v>
      </c>
      <c r="C129">
        <v>0</v>
      </c>
      <c r="D129">
        <f t="shared" si="7"/>
        <v>5</v>
      </c>
      <c r="E129">
        <f>IF(AND(D130=staw[[#This Row],[Miesiąc]],F129=1),E128+1,0)</f>
        <v>8</v>
      </c>
      <c r="F129">
        <f t="shared" si="6"/>
        <v>1</v>
      </c>
      <c r="G129">
        <v>128</v>
      </c>
      <c r="K129">
        <f t="shared" si="8"/>
        <v>128</v>
      </c>
      <c r="L129" s="1">
        <f t="shared" si="9"/>
        <v>45113</v>
      </c>
      <c r="M129">
        <f t="shared" si="10"/>
        <v>4669.7922987633574</v>
      </c>
      <c r="N129">
        <f t="shared" si="11"/>
        <v>0.46697922987633572</v>
      </c>
    </row>
    <row r="130" spans="1:14">
      <c r="A130" s="1">
        <v>44690</v>
      </c>
      <c r="B130">
        <v>15.5</v>
      </c>
      <c r="C130">
        <v>0</v>
      </c>
      <c r="D130">
        <f t="shared" si="7"/>
        <v>5</v>
      </c>
      <c r="E130">
        <f>IF(AND(D131=staw[[#This Row],[Miesiąc]],F130=1),E129+1,0)</f>
        <v>9</v>
      </c>
      <c r="F130">
        <f t="shared" ref="F130:F193" si="12">IF(C130=0,1,0)</f>
        <v>1</v>
      </c>
      <c r="G130">
        <v>129</v>
      </c>
      <c r="K130">
        <f t="shared" si="8"/>
        <v>129</v>
      </c>
      <c r="L130" s="1">
        <f t="shared" si="9"/>
        <v>45114</v>
      </c>
      <c r="M130">
        <f t="shared" si="10"/>
        <v>4731.1636639917169</v>
      </c>
      <c r="N130">
        <f t="shared" si="11"/>
        <v>0.47311636639917171</v>
      </c>
    </row>
    <row r="131" spans="1:14">
      <c r="A131" s="1">
        <v>44691</v>
      </c>
      <c r="B131">
        <v>15</v>
      </c>
      <c r="C131">
        <v>0</v>
      </c>
      <c r="D131">
        <f t="shared" ref="D131:D194" si="13">MONTH(A131)</f>
        <v>5</v>
      </c>
      <c r="E131">
        <f>IF(AND(D132=staw[[#This Row],[Miesiąc]],F131=1),E130+1,0)</f>
        <v>10</v>
      </c>
      <c r="F131">
        <f t="shared" si="12"/>
        <v>1</v>
      </c>
      <c r="G131">
        <v>130</v>
      </c>
      <c r="K131">
        <f t="shared" si="8"/>
        <v>130</v>
      </c>
      <c r="L131" s="1">
        <f t="shared" si="9"/>
        <v>45115</v>
      </c>
      <c r="M131">
        <f t="shared" si="10"/>
        <v>4732.5590281115719</v>
      </c>
      <c r="N131">
        <f t="shared" si="11"/>
        <v>0.4732559028111572</v>
      </c>
    </row>
    <row r="132" spans="1:14">
      <c r="A132" s="1">
        <v>44692</v>
      </c>
      <c r="B132">
        <v>18.600000000000001</v>
      </c>
      <c r="C132">
        <v>0</v>
      </c>
      <c r="D132">
        <f t="shared" si="13"/>
        <v>5</v>
      </c>
      <c r="E132">
        <f>IF(AND(D133=staw[[#This Row],[Miesiąc]],F132=1),E131+1,0)</f>
        <v>11</v>
      </c>
      <c r="F132">
        <f t="shared" si="12"/>
        <v>1</v>
      </c>
      <c r="G132">
        <v>131</v>
      </c>
      <c r="K132">
        <f t="shared" ref="K132:K185" si="14">K131+1</f>
        <v>131</v>
      </c>
      <c r="L132" s="1">
        <f t="shared" ref="L132:L185" si="15">L131+1</f>
        <v>45116</v>
      </c>
      <c r="M132">
        <f t="shared" ref="M132:M185" si="16">(M131-20-IF(WEEKDAY(L131,2)=5,60,0))*1.0175</f>
        <v>4795.0288111035252</v>
      </c>
      <c r="N132">
        <f t="shared" ref="N132:N185" si="17">M132/10000</f>
        <v>0.4795028811103525</v>
      </c>
    </row>
    <row r="133" spans="1:14">
      <c r="A133" s="1">
        <v>44693</v>
      </c>
      <c r="B133">
        <v>22.2</v>
      </c>
      <c r="C133">
        <v>0</v>
      </c>
      <c r="D133">
        <f t="shared" si="13"/>
        <v>5</v>
      </c>
      <c r="E133">
        <f>IF(AND(D134=staw[[#This Row],[Miesiąc]],F133=1),E132+1,0)</f>
        <v>12</v>
      </c>
      <c r="F133">
        <f t="shared" si="12"/>
        <v>1</v>
      </c>
      <c r="G133">
        <v>132</v>
      </c>
      <c r="K133">
        <f t="shared" si="14"/>
        <v>132</v>
      </c>
      <c r="L133" s="1">
        <f t="shared" si="15"/>
        <v>45117</v>
      </c>
      <c r="M133">
        <f t="shared" si="16"/>
        <v>4858.5918152978375</v>
      </c>
      <c r="N133">
        <f t="shared" si="17"/>
        <v>0.48585918152978375</v>
      </c>
    </row>
    <row r="134" spans="1:14">
      <c r="A134" s="1">
        <v>44694</v>
      </c>
      <c r="B134">
        <v>17.399999999999999</v>
      </c>
      <c r="C134">
        <v>0</v>
      </c>
      <c r="D134">
        <f t="shared" si="13"/>
        <v>5</v>
      </c>
      <c r="E134">
        <f>IF(AND(D135=staw[[#This Row],[Miesiąc]],F134=1),E133+1,0)</f>
        <v>13</v>
      </c>
      <c r="F134">
        <f t="shared" si="12"/>
        <v>1</v>
      </c>
      <c r="G134">
        <v>133</v>
      </c>
      <c r="K134">
        <f t="shared" si="14"/>
        <v>133</v>
      </c>
      <c r="L134" s="1">
        <f t="shared" si="15"/>
        <v>45118</v>
      </c>
      <c r="M134">
        <f t="shared" si="16"/>
        <v>4923.2671720655499</v>
      </c>
      <c r="N134">
        <f t="shared" si="17"/>
        <v>0.49232671720655496</v>
      </c>
    </row>
    <row r="135" spans="1:14">
      <c r="A135" s="1">
        <v>44695</v>
      </c>
      <c r="B135">
        <v>16.2</v>
      </c>
      <c r="C135">
        <v>0</v>
      </c>
      <c r="D135">
        <f t="shared" si="13"/>
        <v>5</v>
      </c>
      <c r="E135">
        <f>IF(AND(D136=staw[[#This Row],[Miesiąc]],F135=1),E134+1,0)</f>
        <v>14</v>
      </c>
      <c r="F135">
        <f t="shared" si="12"/>
        <v>1</v>
      </c>
      <c r="G135">
        <v>134</v>
      </c>
      <c r="K135">
        <f t="shared" si="14"/>
        <v>134</v>
      </c>
      <c r="L135" s="1">
        <f t="shared" si="15"/>
        <v>45119</v>
      </c>
      <c r="M135">
        <f t="shared" si="16"/>
        <v>4989.0743475766976</v>
      </c>
      <c r="N135">
        <f t="shared" si="17"/>
        <v>0.49890743475766974</v>
      </c>
    </row>
    <row r="136" spans="1:14">
      <c r="A136" s="1">
        <v>44696</v>
      </c>
      <c r="B136">
        <v>16.399999999999999</v>
      </c>
      <c r="C136">
        <v>0</v>
      </c>
      <c r="D136">
        <f t="shared" si="13"/>
        <v>5</v>
      </c>
      <c r="E136">
        <f>IF(AND(D137=staw[[#This Row],[Miesiąc]],F136=1),E135+1,0)</f>
        <v>15</v>
      </c>
      <c r="F136">
        <f t="shared" si="12"/>
        <v>1</v>
      </c>
      <c r="G136">
        <v>135</v>
      </c>
      <c r="K136">
        <f t="shared" si="14"/>
        <v>135</v>
      </c>
      <c r="L136" s="1">
        <f t="shared" si="15"/>
        <v>45120</v>
      </c>
      <c r="M136">
        <f t="shared" si="16"/>
        <v>5056.0331486592904</v>
      </c>
      <c r="N136">
        <f t="shared" si="17"/>
        <v>0.50560331486592902</v>
      </c>
    </row>
    <row r="137" spans="1:14">
      <c r="A137" s="1">
        <v>44697</v>
      </c>
      <c r="B137">
        <v>15.9</v>
      </c>
      <c r="C137">
        <v>0</v>
      </c>
      <c r="D137">
        <f t="shared" si="13"/>
        <v>5</v>
      </c>
      <c r="E137">
        <f>IF(AND(D138=staw[[#This Row],[Miesiąc]],F137=1),E136+1,0)</f>
        <v>16</v>
      </c>
      <c r="F137">
        <f t="shared" si="12"/>
        <v>1</v>
      </c>
      <c r="G137">
        <v>136</v>
      </c>
      <c r="K137">
        <f t="shared" si="14"/>
        <v>136</v>
      </c>
      <c r="L137" s="1">
        <f t="shared" si="15"/>
        <v>45121</v>
      </c>
      <c r="M137">
        <f t="shared" si="16"/>
        <v>5124.1637287608282</v>
      </c>
      <c r="N137">
        <f t="shared" si="17"/>
        <v>0.51241637287608277</v>
      </c>
    </row>
    <row r="138" spans="1:14">
      <c r="A138" s="1">
        <v>44698</v>
      </c>
      <c r="B138">
        <v>15.8</v>
      </c>
      <c r="C138">
        <v>0</v>
      </c>
      <c r="D138">
        <f t="shared" si="13"/>
        <v>5</v>
      </c>
      <c r="E138">
        <f>IF(AND(D139=staw[[#This Row],[Miesiąc]],F138=1),E137+1,0)</f>
        <v>17</v>
      </c>
      <c r="F138">
        <f t="shared" si="12"/>
        <v>1</v>
      </c>
      <c r="G138">
        <v>137</v>
      </c>
      <c r="K138">
        <f t="shared" si="14"/>
        <v>137</v>
      </c>
      <c r="L138" s="1">
        <f t="shared" si="15"/>
        <v>45122</v>
      </c>
      <c r="M138">
        <f t="shared" si="16"/>
        <v>5132.4365940141433</v>
      </c>
      <c r="N138">
        <f t="shared" si="17"/>
        <v>0.51324365940141436</v>
      </c>
    </row>
    <row r="139" spans="1:14">
      <c r="A139" s="1">
        <v>44699</v>
      </c>
      <c r="B139">
        <v>12.4</v>
      </c>
      <c r="C139">
        <v>0</v>
      </c>
      <c r="D139">
        <f t="shared" si="13"/>
        <v>5</v>
      </c>
      <c r="E139">
        <f>IF(AND(D140=staw[[#This Row],[Miesiąc]],F139=1),E138+1,0)</f>
        <v>18</v>
      </c>
      <c r="F139">
        <f t="shared" si="12"/>
        <v>1</v>
      </c>
      <c r="G139">
        <v>138</v>
      </c>
      <c r="K139">
        <f t="shared" si="14"/>
        <v>138</v>
      </c>
      <c r="L139" s="1">
        <f t="shared" si="15"/>
        <v>45123</v>
      </c>
      <c r="M139">
        <f t="shared" si="16"/>
        <v>5201.9042344093914</v>
      </c>
      <c r="N139">
        <f t="shared" si="17"/>
        <v>0.52019042344093913</v>
      </c>
    </row>
    <row r="140" spans="1:14">
      <c r="A140" s="1">
        <v>44700</v>
      </c>
      <c r="B140">
        <v>16</v>
      </c>
      <c r="C140">
        <v>0</v>
      </c>
      <c r="D140">
        <f t="shared" si="13"/>
        <v>5</v>
      </c>
      <c r="E140">
        <f>IF(AND(D141=staw[[#This Row],[Miesiąc]],F140=1),E139+1,0)</f>
        <v>19</v>
      </c>
      <c r="F140">
        <f t="shared" si="12"/>
        <v>1</v>
      </c>
      <c r="G140">
        <v>139</v>
      </c>
      <c r="K140">
        <f t="shared" si="14"/>
        <v>139</v>
      </c>
      <c r="L140" s="1">
        <f t="shared" si="15"/>
        <v>45124</v>
      </c>
      <c r="M140">
        <f t="shared" si="16"/>
        <v>5272.5875585115564</v>
      </c>
      <c r="N140">
        <f t="shared" si="17"/>
        <v>0.52725875585115567</v>
      </c>
    </row>
    <row r="141" spans="1:14">
      <c r="A141" s="1">
        <v>44701</v>
      </c>
      <c r="B141">
        <v>20.3</v>
      </c>
      <c r="C141">
        <v>0</v>
      </c>
      <c r="D141">
        <f t="shared" si="13"/>
        <v>5</v>
      </c>
      <c r="E141">
        <f>IF(AND(D142=staw[[#This Row],[Miesiąc]],F141=1),E140+1,0)</f>
        <v>20</v>
      </c>
      <c r="F141">
        <f t="shared" si="12"/>
        <v>1</v>
      </c>
      <c r="G141">
        <v>140</v>
      </c>
      <c r="K141">
        <f t="shared" si="14"/>
        <v>140</v>
      </c>
      <c r="L141" s="1">
        <f t="shared" si="15"/>
        <v>45125</v>
      </c>
      <c r="M141">
        <f t="shared" si="16"/>
        <v>5344.507840785509</v>
      </c>
      <c r="N141">
        <f t="shared" si="17"/>
        <v>0.53445078407855084</v>
      </c>
    </row>
    <row r="142" spans="1:14">
      <c r="A142" s="1">
        <v>44702</v>
      </c>
      <c r="B142">
        <v>19.8</v>
      </c>
      <c r="C142">
        <v>1</v>
      </c>
      <c r="D142">
        <f t="shared" si="13"/>
        <v>5</v>
      </c>
      <c r="E142">
        <f>IF(AND(D143=staw[[#This Row],[Miesiąc]],F142=1),E141+1,0)</f>
        <v>0</v>
      </c>
      <c r="F142">
        <f t="shared" si="12"/>
        <v>0</v>
      </c>
      <c r="G142">
        <v>141</v>
      </c>
      <c r="K142">
        <f t="shared" si="14"/>
        <v>141</v>
      </c>
      <c r="L142" s="1">
        <f t="shared" si="15"/>
        <v>45126</v>
      </c>
      <c r="M142">
        <f t="shared" si="16"/>
        <v>5417.6867279992557</v>
      </c>
      <c r="N142">
        <f t="shared" si="17"/>
        <v>0.54176867279992558</v>
      </c>
    </row>
    <row r="143" spans="1:14">
      <c r="A143" s="1">
        <v>44703</v>
      </c>
      <c r="B143">
        <v>14.1</v>
      </c>
      <c r="C143">
        <v>0</v>
      </c>
      <c r="D143">
        <f t="shared" si="13"/>
        <v>5</v>
      </c>
      <c r="E143">
        <f>IF(AND(D144=staw[[#This Row],[Miesiąc]],F143=1),E142+1,0)</f>
        <v>1</v>
      </c>
      <c r="F143">
        <f t="shared" si="12"/>
        <v>1</v>
      </c>
      <c r="G143">
        <v>142</v>
      </c>
      <c r="K143">
        <f t="shared" si="14"/>
        <v>142</v>
      </c>
      <c r="L143" s="1">
        <f t="shared" si="15"/>
        <v>45127</v>
      </c>
      <c r="M143">
        <f t="shared" si="16"/>
        <v>5492.1462457392427</v>
      </c>
      <c r="N143">
        <f t="shared" si="17"/>
        <v>0.54921462457392423</v>
      </c>
    </row>
    <row r="144" spans="1:14">
      <c r="A144" s="1">
        <v>44704</v>
      </c>
      <c r="B144">
        <v>13.1</v>
      </c>
      <c r="C144">
        <v>0</v>
      </c>
      <c r="D144">
        <f t="shared" si="13"/>
        <v>5</v>
      </c>
      <c r="E144">
        <f>IF(AND(D145=staw[[#This Row],[Miesiąc]],F144=1),E143+1,0)</f>
        <v>2</v>
      </c>
      <c r="F144">
        <f t="shared" si="12"/>
        <v>1</v>
      </c>
      <c r="G144">
        <v>143</v>
      </c>
      <c r="K144">
        <f t="shared" si="14"/>
        <v>143</v>
      </c>
      <c r="L144" s="1">
        <f t="shared" si="15"/>
        <v>45128</v>
      </c>
      <c r="M144">
        <f t="shared" si="16"/>
        <v>5567.9088050396795</v>
      </c>
      <c r="N144">
        <f t="shared" si="17"/>
        <v>0.55679088050396797</v>
      </c>
    </row>
    <row r="145" spans="1:14">
      <c r="A145" s="1">
        <v>44705</v>
      </c>
      <c r="B145">
        <v>16.100000000000001</v>
      </c>
      <c r="C145">
        <v>0</v>
      </c>
      <c r="D145">
        <f t="shared" si="13"/>
        <v>5</v>
      </c>
      <c r="E145">
        <f>IF(AND(D146=staw[[#This Row],[Miesiąc]],F145=1),E144+1,0)</f>
        <v>3</v>
      </c>
      <c r="F145">
        <f t="shared" si="12"/>
        <v>1</v>
      </c>
      <c r="G145">
        <v>144</v>
      </c>
      <c r="K145">
        <f t="shared" si="14"/>
        <v>144</v>
      </c>
      <c r="L145" s="1">
        <f t="shared" si="15"/>
        <v>45129</v>
      </c>
      <c r="M145">
        <f t="shared" si="16"/>
        <v>5583.947209127874</v>
      </c>
      <c r="N145">
        <f t="shared" si="17"/>
        <v>0.55839472091278741</v>
      </c>
    </row>
    <row r="146" spans="1:14">
      <c r="A146" s="1">
        <v>44706</v>
      </c>
      <c r="B146">
        <v>16.100000000000001</v>
      </c>
      <c r="C146">
        <v>0</v>
      </c>
      <c r="D146">
        <f t="shared" si="13"/>
        <v>5</v>
      </c>
      <c r="E146">
        <f>IF(AND(D147=staw[[#This Row],[Miesiąc]],F146=1),E145+1,0)</f>
        <v>4</v>
      </c>
      <c r="F146">
        <f t="shared" si="12"/>
        <v>1</v>
      </c>
      <c r="G146">
        <v>145</v>
      </c>
      <c r="K146">
        <f t="shared" si="14"/>
        <v>145</v>
      </c>
      <c r="L146" s="1">
        <f t="shared" si="15"/>
        <v>45130</v>
      </c>
      <c r="M146">
        <f t="shared" si="16"/>
        <v>5661.3162852876121</v>
      </c>
      <c r="N146">
        <f t="shared" si="17"/>
        <v>0.5661316285287612</v>
      </c>
    </row>
    <row r="147" spans="1:14">
      <c r="A147" s="1">
        <v>44707</v>
      </c>
      <c r="B147">
        <v>16.7</v>
      </c>
      <c r="C147">
        <v>0</v>
      </c>
      <c r="D147">
        <f t="shared" si="13"/>
        <v>5</v>
      </c>
      <c r="E147">
        <f>IF(AND(D148=staw[[#This Row],[Miesiąc]],F147=1),E146+1,0)</f>
        <v>5</v>
      </c>
      <c r="F147">
        <f t="shared" si="12"/>
        <v>1</v>
      </c>
      <c r="G147">
        <v>146</v>
      </c>
      <c r="K147">
        <f t="shared" si="14"/>
        <v>146</v>
      </c>
      <c r="L147" s="1">
        <f t="shared" si="15"/>
        <v>45131</v>
      </c>
      <c r="M147">
        <f t="shared" si="16"/>
        <v>5740.0393202801461</v>
      </c>
      <c r="N147">
        <f t="shared" si="17"/>
        <v>0.57400393202801459</v>
      </c>
    </row>
    <row r="148" spans="1:14">
      <c r="A148" s="1">
        <v>44708</v>
      </c>
      <c r="B148">
        <v>16</v>
      </c>
      <c r="C148">
        <v>0</v>
      </c>
      <c r="D148">
        <f t="shared" si="13"/>
        <v>5</v>
      </c>
      <c r="E148">
        <f>IF(AND(D149=staw[[#This Row],[Miesiąc]],F148=1),E147+1,0)</f>
        <v>6</v>
      </c>
      <c r="F148">
        <f t="shared" si="12"/>
        <v>1</v>
      </c>
      <c r="G148">
        <v>147</v>
      </c>
      <c r="K148">
        <f t="shared" si="14"/>
        <v>147</v>
      </c>
      <c r="L148" s="1">
        <f t="shared" si="15"/>
        <v>45132</v>
      </c>
      <c r="M148">
        <f t="shared" si="16"/>
        <v>5820.1400083850494</v>
      </c>
      <c r="N148">
        <f t="shared" si="17"/>
        <v>0.58201400083850496</v>
      </c>
    </row>
    <row r="149" spans="1:14">
      <c r="A149" s="1">
        <v>44709</v>
      </c>
      <c r="B149">
        <v>12.3</v>
      </c>
      <c r="C149">
        <v>0</v>
      </c>
      <c r="D149">
        <f t="shared" si="13"/>
        <v>5</v>
      </c>
      <c r="E149">
        <f>IF(AND(D150=staw[[#This Row],[Miesiąc]],F149=1),E148+1,0)</f>
        <v>7</v>
      </c>
      <c r="F149">
        <f t="shared" si="12"/>
        <v>1</v>
      </c>
      <c r="G149">
        <v>148</v>
      </c>
      <c r="K149">
        <f t="shared" si="14"/>
        <v>148</v>
      </c>
      <c r="L149" s="1">
        <f t="shared" si="15"/>
        <v>45133</v>
      </c>
      <c r="M149">
        <f t="shared" si="16"/>
        <v>5901.6424585317882</v>
      </c>
      <c r="N149">
        <f t="shared" si="17"/>
        <v>0.59016424585317884</v>
      </c>
    </row>
    <row r="150" spans="1:14">
      <c r="A150" s="1">
        <v>44710</v>
      </c>
      <c r="B150">
        <v>13.3</v>
      </c>
      <c r="C150">
        <v>0</v>
      </c>
      <c r="D150">
        <f t="shared" si="13"/>
        <v>5</v>
      </c>
      <c r="E150">
        <f>IF(AND(D151=staw[[#This Row],[Miesiąc]],F150=1),E149+1,0)</f>
        <v>8</v>
      </c>
      <c r="F150">
        <f t="shared" si="12"/>
        <v>1</v>
      </c>
      <c r="G150">
        <v>149</v>
      </c>
      <c r="K150">
        <f t="shared" si="14"/>
        <v>149</v>
      </c>
      <c r="L150" s="1">
        <f t="shared" si="15"/>
        <v>45134</v>
      </c>
      <c r="M150">
        <f t="shared" si="16"/>
        <v>5984.5712015560948</v>
      </c>
      <c r="N150">
        <f t="shared" si="17"/>
        <v>0.59845712015560948</v>
      </c>
    </row>
    <row r="151" spans="1:14">
      <c r="A151" s="1">
        <v>44711</v>
      </c>
      <c r="B151">
        <v>14.2</v>
      </c>
      <c r="C151">
        <v>1</v>
      </c>
      <c r="D151">
        <f t="shared" si="13"/>
        <v>5</v>
      </c>
      <c r="E151">
        <f>IF(AND(D152=staw[[#This Row],[Miesiąc]],F151=1),E150+1,0)</f>
        <v>0</v>
      </c>
      <c r="F151">
        <f t="shared" si="12"/>
        <v>0</v>
      </c>
      <c r="G151">
        <v>150</v>
      </c>
      <c r="K151">
        <f t="shared" si="14"/>
        <v>150</v>
      </c>
      <c r="L151" s="1">
        <f t="shared" si="15"/>
        <v>45135</v>
      </c>
      <c r="M151">
        <f t="shared" si="16"/>
        <v>6068.9511975833266</v>
      </c>
      <c r="N151">
        <f t="shared" si="17"/>
        <v>0.60689511975833266</v>
      </c>
    </row>
    <row r="152" spans="1:14">
      <c r="A152" s="1">
        <v>44712</v>
      </c>
      <c r="B152">
        <v>17.2</v>
      </c>
      <c r="C152">
        <v>0</v>
      </c>
      <c r="D152">
        <f t="shared" si="13"/>
        <v>5</v>
      </c>
      <c r="E152">
        <f>IF(AND(D153=staw[[#This Row],[Miesiąc]],F152=1),E151+1,0)</f>
        <v>0</v>
      </c>
      <c r="F152">
        <f t="shared" si="12"/>
        <v>1</v>
      </c>
      <c r="G152">
        <v>151</v>
      </c>
      <c r="K152">
        <f t="shared" si="14"/>
        <v>151</v>
      </c>
      <c r="L152" s="1">
        <f t="shared" si="15"/>
        <v>45136</v>
      </c>
      <c r="M152">
        <f t="shared" si="16"/>
        <v>6093.7578435410351</v>
      </c>
      <c r="N152">
        <f t="shared" si="17"/>
        <v>0.60937578435410356</v>
      </c>
    </row>
    <row r="153" spans="1:14">
      <c r="A153" s="1">
        <v>44713</v>
      </c>
      <c r="B153">
        <v>19</v>
      </c>
      <c r="C153">
        <v>0</v>
      </c>
      <c r="D153">
        <f t="shared" si="13"/>
        <v>6</v>
      </c>
      <c r="E153">
        <f>IF(AND(D154=staw[[#This Row],[Miesiąc]],F153=1),E152+1,0)</f>
        <v>1</v>
      </c>
      <c r="F153">
        <f t="shared" si="12"/>
        <v>1</v>
      </c>
      <c r="G153">
        <v>152</v>
      </c>
      <c r="K153">
        <f t="shared" si="14"/>
        <v>152</v>
      </c>
      <c r="L153" s="1">
        <f t="shared" si="15"/>
        <v>45137</v>
      </c>
      <c r="M153">
        <f t="shared" si="16"/>
        <v>6180.0486058030037</v>
      </c>
      <c r="N153">
        <f t="shared" si="17"/>
        <v>0.61800486058030035</v>
      </c>
    </row>
    <row r="154" spans="1:14">
      <c r="A154" s="1">
        <v>44714</v>
      </c>
      <c r="B154">
        <v>16.899999999999999</v>
      </c>
      <c r="C154">
        <v>1</v>
      </c>
      <c r="D154">
        <f t="shared" si="13"/>
        <v>6</v>
      </c>
      <c r="E154">
        <f>IF(AND(D155=staw[[#This Row],[Miesiąc]],F154=1),E153+1,0)</f>
        <v>0</v>
      </c>
      <c r="F154">
        <f t="shared" si="12"/>
        <v>0</v>
      </c>
      <c r="G154">
        <v>153</v>
      </c>
      <c r="K154">
        <f t="shared" si="14"/>
        <v>153</v>
      </c>
      <c r="L154" s="1">
        <f t="shared" si="15"/>
        <v>45138</v>
      </c>
      <c r="M154">
        <f t="shared" si="16"/>
        <v>6267.8494564045568</v>
      </c>
      <c r="N154">
        <f t="shared" si="17"/>
        <v>0.62678494564045573</v>
      </c>
    </row>
    <row r="155" spans="1:14">
      <c r="A155" s="1">
        <v>44715</v>
      </c>
      <c r="B155">
        <v>18.399999999999999</v>
      </c>
      <c r="C155">
        <v>0</v>
      </c>
      <c r="D155">
        <f t="shared" si="13"/>
        <v>6</v>
      </c>
      <c r="E155">
        <f>IF(AND(D156=staw[[#This Row],[Miesiąc]],F155=1),E154+1,0)</f>
        <v>1</v>
      </c>
      <c r="F155">
        <f t="shared" si="12"/>
        <v>1</v>
      </c>
      <c r="G155">
        <v>154</v>
      </c>
      <c r="K155">
        <f t="shared" si="14"/>
        <v>154</v>
      </c>
      <c r="L155" s="1">
        <f t="shared" si="15"/>
        <v>45139</v>
      </c>
      <c r="M155">
        <f t="shared" si="16"/>
        <v>6357.186821891637</v>
      </c>
      <c r="N155">
        <f t="shared" si="17"/>
        <v>0.63571868218916372</v>
      </c>
    </row>
    <row r="156" spans="1:14">
      <c r="A156" s="1">
        <v>44716</v>
      </c>
      <c r="B156">
        <v>17.5</v>
      </c>
      <c r="C156">
        <v>0</v>
      </c>
      <c r="D156">
        <f t="shared" si="13"/>
        <v>6</v>
      </c>
      <c r="E156">
        <f>IF(AND(D157=staw[[#This Row],[Miesiąc]],F156=1),E155+1,0)</f>
        <v>2</v>
      </c>
      <c r="F156">
        <f t="shared" si="12"/>
        <v>1</v>
      </c>
      <c r="G156">
        <v>155</v>
      </c>
      <c r="K156">
        <f t="shared" si="14"/>
        <v>155</v>
      </c>
      <c r="L156" s="1">
        <f t="shared" si="15"/>
        <v>45140</v>
      </c>
      <c r="M156">
        <f t="shared" si="16"/>
        <v>6448.0875912747415</v>
      </c>
      <c r="N156">
        <f t="shared" si="17"/>
        <v>0.64480875912747415</v>
      </c>
    </row>
    <row r="157" spans="1:14">
      <c r="A157" s="1">
        <v>44717</v>
      </c>
      <c r="B157">
        <v>19.899999999999999</v>
      </c>
      <c r="C157">
        <v>0</v>
      </c>
      <c r="D157">
        <f t="shared" si="13"/>
        <v>6</v>
      </c>
      <c r="E157">
        <f>IF(AND(D158=staw[[#This Row],[Miesiąc]],F157=1),E156+1,0)</f>
        <v>3</v>
      </c>
      <c r="F157">
        <f t="shared" si="12"/>
        <v>1</v>
      </c>
      <c r="G157">
        <v>156</v>
      </c>
      <c r="K157">
        <f t="shared" si="14"/>
        <v>156</v>
      </c>
      <c r="L157" s="1">
        <f t="shared" si="15"/>
        <v>45141</v>
      </c>
      <c r="M157">
        <f t="shared" si="16"/>
        <v>6540.5791241220495</v>
      </c>
      <c r="N157">
        <f t="shared" si="17"/>
        <v>0.6540579124122049</v>
      </c>
    </row>
    <row r="158" spans="1:14">
      <c r="A158" s="1">
        <v>44718</v>
      </c>
      <c r="B158">
        <v>21</v>
      </c>
      <c r="C158">
        <v>0</v>
      </c>
      <c r="D158">
        <f t="shared" si="13"/>
        <v>6</v>
      </c>
      <c r="E158">
        <f>IF(AND(D159=staw[[#This Row],[Miesiąc]],F158=1),E157+1,0)</f>
        <v>4</v>
      </c>
      <c r="F158">
        <f t="shared" si="12"/>
        <v>1</v>
      </c>
      <c r="G158">
        <v>157</v>
      </c>
      <c r="K158">
        <f t="shared" si="14"/>
        <v>157</v>
      </c>
      <c r="L158" s="1">
        <f t="shared" si="15"/>
        <v>45142</v>
      </c>
      <c r="M158">
        <f t="shared" si="16"/>
        <v>6634.6892587941857</v>
      </c>
      <c r="N158">
        <f t="shared" si="17"/>
        <v>0.66346892587941853</v>
      </c>
    </row>
    <row r="159" spans="1:14">
      <c r="A159" s="1">
        <v>44719</v>
      </c>
      <c r="B159">
        <v>22.7</v>
      </c>
      <c r="C159">
        <v>0</v>
      </c>
      <c r="D159">
        <f t="shared" si="13"/>
        <v>6</v>
      </c>
      <c r="E159">
        <f>IF(AND(D160=staw[[#This Row],[Miesiąc]],F159=1),E158+1,0)</f>
        <v>5</v>
      </c>
      <c r="F159">
        <f t="shared" si="12"/>
        <v>1</v>
      </c>
      <c r="G159">
        <v>158</v>
      </c>
      <c r="K159">
        <f t="shared" si="14"/>
        <v>158</v>
      </c>
      <c r="L159" s="1">
        <f t="shared" si="15"/>
        <v>45143</v>
      </c>
      <c r="M159">
        <f t="shared" si="16"/>
        <v>6669.3963208230844</v>
      </c>
      <c r="N159">
        <f t="shared" si="17"/>
        <v>0.66693963208230844</v>
      </c>
    </row>
    <row r="160" spans="1:14">
      <c r="A160" s="1">
        <v>44720</v>
      </c>
      <c r="B160">
        <v>19.2</v>
      </c>
      <c r="C160">
        <v>0</v>
      </c>
      <c r="D160">
        <f t="shared" si="13"/>
        <v>6</v>
      </c>
      <c r="E160">
        <f>IF(AND(D161=staw[[#This Row],[Miesiąc]],F160=1),E159+1,0)</f>
        <v>6</v>
      </c>
      <c r="F160">
        <f t="shared" si="12"/>
        <v>1</v>
      </c>
      <c r="G160">
        <v>159</v>
      </c>
      <c r="K160">
        <f t="shared" si="14"/>
        <v>159</v>
      </c>
      <c r="L160" s="1">
        <f t="shared" si="15"/>
        <v>45144</v>
      </c>
      <c r="M160">
        <f t="shared" si="16"/>
        <v>6765.7607564374885</v>
      </c>
      <c r="N160">
        <f t="shared" si="17"/>
        <v>0.67657607564374889</v>
      </c>
    </row>
    <row r="161" spans="1:14">
      <c r="A161" s="1">
        <v>44721</v>
      </c>
      <c r="B161">
        <v>18.600000000000001</v>
      </c>
      <c r="C161">
        <v>43</v>
      </c>
      <c r="D161">
        <f t="shared" si="13"/>
        <v>6</v>
      </c>
      <c r="E161">
        <f>IF(AND(D162=staw[[#This Row],[Miesiąc]],F161=1),E160+1,0)</f>
        <v>0</v>
      </c>
      <c r="F161">
        <f t="shared" si="12"/>
        <v>0</v>
      </c>
      <c r="G161">
        <v>160</v>
      </c>
      <c r="K161">
        <f t="shared" si="14"/>
        <v>160</v>
      </c>
      <c r="L161" s="1">
        <f t="shared" si="15"/>
        <v>45145</v>
      </c>
      <c r="M161">
        <f t="shared" si="16"/>
        <v>6863.8115696751447</v>
      </c>
      <c r="N161">
        <f t="shared" si="17"/>
        <v>0.68638115696751445</v>
      </c>
    </row>
    <row r="162" spans="1:14">
      <c r="A162" s="1">
        <v>44722</v>
      </c>
      <c r="B162">
        <v>18.399999999999999</v>
      </c>
      <c r="C162">
        <v>0</v>
      </c>
      <c r="D162">
        <f t="shared" si="13"/>
        <v>6</v>
      </c>
      <c r="E162">
        <f>IF(AND(D163=staw[[#This Row],[Miesiąc]],F162=1),E161+1,0)</f>
        <v>1</v>
      </c>
      <c r="F162">
        <f t="shared" si="12"/>
        <v>1</v>
      </c>
      <c r="G162">
        <v>161</v>
      </c>
      <c r="K162">
        <f t="shared" si="14"/>
        <v>161</v>
      </c>
      <c r="L162" s="1">
        <f t="shared" si="15"/>
        <v>45146</v>
      </c>
      <c r="M162">
        <f t="shared" si="16"/>
        <v>6963.5782721444602</v>
      </c>
      <c r="N162">
        <f t="shared" si="17"/>
        <v>0.69635782721444606</v>
      </c>
    </row>
    <row r="163" spans="1:14">
      <c r="A163" s="1">
        <v>44723</v>
      </c>
      <c r="B163">
        <v>19.399999999999999</v>
      </c>
      <c r="C163">
        <v>0</v>
      </c>
      <c r="D163">
        <f t="shared" si="13"/>
        <v>6</v>
      </c>
      <c r="E163">
        <f>IF(AND(D164=staw[[#This Row],[Miesiąc]],F163=1),E162+1,0)</f>
        <v>2</v>
      </c>
      <c r="F163">
        <f t="shared" si="12"/>
        <v>1</v>
      </c>
      <c r="G163">
        <v>162</v>
      </c>
      <c r="K163">
        <f t="shared" si="14"/>
        <v>162</v>
      </c>
      <c r="L163" s="1">
        <f t="shared" si="15"/>
        <v>45147</v>
      </c>
      <c r="M163">
        <f t="shared" si="16"/>
        <v>7065.0908919069889</v>
      </c>
      <c r="N163">
        <f t="shared" si="17"/>
        <v>0.70650908919069888</v>
      </c>
    </row>
    <row r="164" spans="1:14">
      <c r="A164" s="1">
        <v>44724</v>
      </c>
      <c r="B164">
        <v>19.899999999999999</v>
      </c>
      <c r="C164">
        <v>0</v>
      </c>
      <c r="D164">
        <f t="shared" si="13"/>
        <v>6</v>
      </c>
      <c r="E164">
        <f>IF(AND(D165=staw[[#This Row],[Miesiąc]],F164=1),E163+1,0)</f>
        <v>3</v>
      </c>
      <c r="F164">
        <f t="shared" si="12"/>
        <v>1</v>
      </c>
      <c r="G164">
        <v>163</v>
      </c>
      <c r="K164">
        <f t="shared" si="14"/>
        <v>163</v>
      </c>
      <c r="L164" s="1">
        <f t="shared" si="15"/>
        <v>45148</v>
      </c>
      <c r="M164">
        <f t="shared" si="16"/>
        <v>7168.3799825153619</v>
      </c>
      <c r="N164">
        <f t="shared" si="17"/>
        <v>0.71683799825153616</v>
      </c>
    </row>
    <row r="165" spans="1:14">
      <c r="A165" s="1">
        <v>44725</v>
      </c>
      <c r="B165">
        <v>18.100000000000001</v>
      </c>
      <c r="C165">
        <v>7</v>
      </c>
      <c r="D165">
        <f t="shared" si="13"/>
        <v>6</v>
      </c>
      <c r="E165">
        <f>IF(AND(D166=staw[[#This Row],[Miesiąc]],F165=1),E164+1,0)</f>
        <v>0</v>
      </c>
      <c r="F165">
        <f t="shared" si="12"/>
        <v>0</v>
      </c>
      <c r="G165">
        <v>164</v>
      </c>
      <c r="K165">
        <f t="shared" si="14"/>
        <v>164</v>
      </c>
      <c r="L165" s="1">
        <f t="shared" si="15"/>
        <v>45149</v>
      </c>
      <c r="M165">
        <f t="shared" si="16"/>
        <v>7273.476632209381</v>
      </c>
      <c r="N165">
        <f t="shared" si="17"/>
        <v>0.72734766322093813</v>
      </c>
    </row>
    <row r="166" spans="1:14">
      <c r="A166" s="1">
        <v>44726</v>
      </c>
      <c r="B166">
        <v>15.3</v>
      </c>
      <c r="C166">
        <v>0</v>
      </c>
      <c r="D166">
        <f t="shared" si="13"/>
        <v>6</v>
      </c>
      <c r="E166">
        <f>IF(AND(D167=staw[[#This Row],[Miesiąc]],F166=1),E165+1,0)</f>
        <v>1</v>
      </c>
      <c r="F166">
        <f t="shared" si="12"/>
        <v>1</v>
      </c>
      <c r="G166">
        <v>165</v>
      </c>
      <c r="K166">
        <f t="shared" si="14"/>
        <v>165</v>
      </c>
      <c r="L166" s="1">
        <f t="shared" si="15"/>
        <v>45150</v>
      </c>
      <c r="M166">
        <f t="shared" si="16"/>
        <v>7319.3624732730459</v>
      </c>
      <c r="N166">
        <f t="shared" si="17"/>
        <v>0.73193624732730456</v>
      </c>
    </row>
    <row r="167" spans="1:14">
      <c r="A167" s="1">
        <v>44727</v>
      </c>
      <c r="B167">
        <v>16.100000000000001</v>
      </c>
      <c r="C167">
        <v>0</v>
      </c>
      <c r="D167">
        <f t="shared" si="13"/>
        <v>6</v>
      </c>
      <c r="E167">
        <f>IF(AND(D168=staw[[#This Row],[Miesiąc]],F167=1),E166+1,0)</f>
        <v>2</v>
      </c>
      <c r="F167">
        <f t="shared" si="12"/>
        <v>1</v>
      </c>
      <c r="G167">
        <v>166</v>
      </c>
      <c r="K167">
        <f t="shared" si="14"/>
        <v>166</v>
      </c>
      <c r="L167" s="1">
        <f t="shared" si="15"/>
        <v>45151</v>
      </c>
      <c r="M167">
        <f t="shared" si="16"/>
        <v>7427.101316555325</v>
      </c>
      <c r="N167">
        <f t="shared" si="17"/>
        <v>0.74271013165553246</v>
      </c>
    </row>
    <row r="168" spans="1:14">
      <c r="A168" s="1">
        <v>44728</v>
      </c>
      <c r="B168">
        <v>18.2</v>
      </c>
      <c r="C168">
        <v>15</v>
      </c>
      <c r="D168">
        <f t="shared" si="13"/>
        <v>6</v>
      </c>
      <c r="E168">
        <f>IF(AND(D169=staw[[#This Row],[Miesiąc]],F168=1),E167+1,0)</f>
        <v>0</v>
      </c>
      <c r="F168">
        <f t="shared" si="12"/>
        <v>0</v>
      </c>
      <c r="G168">
        <v>167</v>
      </c>
      <c r="J168" s="9" t="s">
        <v>22</v>
      </c>
      <c r="K168" s="6">
        <f t="shared" si="14"/>
        <v>167</v>
      </c>
      <c r="L168" s="7">
        <f t="shared" si="15"/>
        <v>45152</v>
      </c>
      <c r="M168" s="6">
        <f t="shared" si="16"/>
        <v>7536.7255895950439</v>
      </c>
      <c r="N168" s="6">
        <f t="shared" si="17"/>
        <v>0.75367255895950436</v>
      </c>
    </row>
    <row r="169" spans="1:14">
      <c r="A169" s="1">
        <v>44729</v>
      </c>
      <c r="B169">
        <v>17.899999999999999</v>
      </c>
      <c r="C169">
        <v>0</v>
      </c>
      <c r="D169">
        <f t="shared" si="13"/>
        <v>6</v>
      </c>
      <c r="E169">
        <f>IF(AND(D170=staw[[#This Row],[Miesiąc]],F169=1),E168+1,0)</f>
        <v>1</v>
      </c>
      <c r="F169">
        <f t="shared" si="12"/>
        <v>1</v>
      </c>
      <c r="G169">
        <v>168</v>
      </c>
      <c r="K169">
        <f t="shared" si="14"/>
        <v>168</v>
      </c>
      <c r="L169" s="1">
        <f t="shared" si="15"/>
        <v>45153</v>
      </c>
      <c r="M169">
        <f t="shared" si="16"/>
        <v>7648.2682874129578</v>
      </c>
      <c r="N169">
        <f t="shared" si="17"/>
        <v>0.76482682874129582</v>
      </c>
    </row>
    <row r="170" spans="1:14">
      <c r="A170" s="1">
        <v>44730</v>
      </c>
      <c r="B170">
        <v>20.100000000000001</v>
      </c>
      <c r="C170">
        <v>0</v>
      </c>
      <c r="D170">
        <f t="shared" si="13"/>
        <v>6</v>
      </c>
      <c r="E170">
        <f>IF(AND(D171=staw[[#This Row],[Miesiąc]],F170=1),E169+1,0)</f>
        <v>2</v>
      </c>
      <c r="F170">
        <f t="shared" si="12"/>
        <v>1</v>
      </c>
      <c r="G170">
        <v>169</v>
      </c>
      <c r="K170">
        <f t="shared" si="14"/>
        <v>169</v>
      </c>
      <c r="L170" s="1">
        <f t="shared" si="15"/>
        <v>45154</v>
      </c>
      <c r="M170">
        <f t="shared" si="16"/>
        <v>7761.7629824426849</v>
      </c>
      <c r="N170">
        <f t="shared" si="17"/>
        <v>0.77617629824426848</v>
      </c>
    </row>
    <row r="171" spans="1:14">
      <c r="A171" s="1">
        <v>44731</v>
      </c>
      <c r="B171">
        <v>24.6</v>
      </c>
      <c r="C171">
        <v>0</v>
      </c>
      <c r="D171">
        <f t="shared" si="13"/>
        <v>6</v>
      </c>
      <c r="E171">
        <f>IF(AND(D172=staw[[#This Row],[Miesiąc]],F171=1),E170+1,0)</f>
        <v>3</v>
      </c>
      <c r="F171">
        <f t="shared" si="12"/>
        <v>1</v>
      </c>
      <c r="G171">
        <v>170</v>
      </c>
      <c r="K171">
        <f t="shared" si="14"/>
        <v>170</v>
      </c>
      <c r="L171" s="1">
        <f t="shared" si="15"/>
        <v>45155</v>
      </c>
      <c r="M171">
        <f t="shared" si="16"/>
        <v>7877.2438346354329</v>
      </c>
      <c r="N171">
        <f t="shared" si="17"/>
        <v>0.78772438346354334</v>
      </c>
    </row>
    <row r="172" spans="1:14">
      <c r="A172" s="1">
        <v>44732</v>
      </c>
      <c r="B172">
        <v>24.7</v>
      </c>
      <c r="C172">
        <v>0</v>
      </c>
      <c r="D172">
        <f t="shared" si="13"/>
        <v>6</v>
      </c>
      <c r="E172">
        <f>IF(AND(D173=staw[[#This Row],[Miesiąc]],F172=1),E171+1,0)</f>
        <v>4</v>
      </c>
      <c r="F172">
        <f t="shared" si="12"/>
        <v>1</v>
      </c>
      <c r="G172">
        <v>171</v>
      </c>
      <c r="K172">
        <f t="shared" si="14"/>
        <v>171</v>
      </c>
      <c r="L172" s="1">
        <f t="shared" si="15"/>
        <v>45156</v>
      </c>
      <c r="M172">
        <f t="shared" si="16"/>
        <v>7994.7456017415534</v>
      </c>
      <c r="N172">
        <f t="shared" si="17"/>
        <v>0.7994745601741553</v>
      </c>
    </row>
    <row r="173" spans="1:14">
      <c r="A173" s="1">
        <v>44733</v>
      </c>
      <c r="B173">
        <v>16.399999999999999</v>
      </c>
      <c r="C173">
        <v>0</v>
      </c>
      <c r="D173">
        <f t="shared" si="13"/>
        <v>6</v>
      </c>
      <c r="E173">
        <f>IF(AND(D174=staw[[#This Row],[Miesiąc]],F173=1),E172+1,0)</f>
        <v>5</v>
      </c>
      <c r="F173">
        <f t="shared" si="12"/>
        <v>1</v>
      </c>
      <c r="G173">
        <v>172</v>
      </c>
      <c r="K173">
        <f t="shared" si="14"/>
        <v>172</v>
      </c>
      <c r="L173" s="1">
        <f t="shared" si="15"/>
        <v>45157</v>
      </c>
      <c r="M173">
        <f t="shared" si="16"/>
        <v>8053.2536497720312</v>
      </c>
      <c r="N173">
        <f t="shared" si="17"/>
        <v>0.80532536497720308</v>
      </c>
    </row>
    <row r="174" spans="1:14">
      <c r="A174" s="1">
        <v>44734</v>
      </c>
      <c r="B174">
        <v>18.7</v>
      </c>
      <c r="C174">
        <v>0</v>
      </c>
      <c r="D174">
        <f t="shared" si="13"/>
        <v>6</v>
      </c>
      <c r="E174">
        <f>IF(AND(D175=staw[[#This Row],[Miesiąc]],F174=1),E173+1,0)</f>
        <v>6</v>
      </c>
      <c r="F174">
        <f t="shared" si="12"/>
        <v>1</v>
      </c>
      <c r="G174">
        <v>173</v>
      </c>
      <c r="K174">
        <f t="shared" si="14"/>
        <v>173</v>
      </c>
      <c r="L174" s="1">
        <f t="shared" si="15"/>
        <v>45158</v>
      </c>
      <c r="M174">
        <f t="shared" si="16"/>
        <v>8173.8355886430427</v>
      </c>
      <c r="N174">
        <f t="shared" si="17"/>
        <v>0.81738355886430425</v>
      </c>
    </row>
    <row r="175" spans="1:14">
      <c r="A175" s="1">
        <v>44735</v>
      </c>
      <c r="B175">
        <v>19.100000000000001</v>
      </c>
      <c r="C175">
        <v>0</v>
      </c>
      <c r="D175">
        <f t="shared" si="13"/>
        <v>6</v>
      </c>
      <c r="E175">
        <f>IF(AND(D176=staw[[#This Row],[Miesiąc]],F175=1),E174+1,0)</f>
        <v>7</v>
      </c>
      <c r="F175">
        <f t="shared" si="12"/>
        <v>1</v>
      </c>
      <c r="G175">
        <v>174</v>
      </c>
      <c r="K175">
        <f t="shared" si="14"/>
        <v>174</v>
      </c>
      <c r="L175" s="1">
        <f t="shared" si="15"/>
        <v>45159</v>
      </c>
      <c r="M175">
        <f t="shared" si="16"/>
        <v>8296.5277114442961</v>
      </c>
      <c r="N175">
        <f t="shared" si="17"/>
        <v>0.82965277114442959</v>
      </c>
    </row>
    <row r="176" spans="1:14">
      <c r="A176" s="1">
        <v>44736</v>
      </c>
      <c r="B176">
        <v>21.4</v>
      </c>
      <c r="C176">
        <v>0</v>
      </c>
      <c r="D176">
        <f t="shared" si="13"/>
        <v>6</v>
      </c>
      <c r="E176">
        <f>IF(AND(D177=staw[[#This Row],[Miesiąc]],F176=1),E175+1,0)</f>
        <v>8</v>
      </c>
      <c r="F176">
        <f t="shared" si="12"/>
        <v>1</v>
      </c>
      <c r="G176">
        <v>175</v>
      </c>
      <c r="K176">
        <f t="shared" si="14"/>
        <v>175</v>
      </c>
      <c r="L176" s="1">
        <f t="shared" si="15"/>
        <v>45160</v>
      </c>
      <c r="M176">
        <f t="shared" si="16"/>
        <v>8421.3669463945716</v>
      </c>
      <c r="N176">
        <f t="shared" si="17"/>
        <v>0.84213669463945717</v>
      </c>
    </row>
    <row r="177" spans="1:14">
      <c r="A177" s="1">
        <v>44737</v>
      </c>
      <c r="B177">
        <v>24.4</v>
      </c>
      <c r="C177">
        <v>0</v>
      </c>
      <c r="D177">
        <f t="shared" si="13"/>
        <v>6</v>
      </c>
      <c r="E177">
        <f>IF(AND(D178=staw[[#This Row],[Miesiąc]],F177=1),E176+1,0)</f>
        <v>9</v>
      </c>
      <c r="F177">
        <f t="shared" si="12"/>
        <v>1</v>
      </c>
      <c r="G177">
        <v>176</v>
      </c>
      <c r="K177">
        <f t="shared" si="14"/>
        <v>176</v>
      </c>
      <c r="L177" s="1">
        <f t="shared" si="15"/>
        <v>45161</v>
      </c>
      <c r="M177">
        <f t="shared" si="16"/>
        <v>8548.3908679564775</v>
      </c>
      <c r="N177">
        <f t="shared" si="17"/>
        <v>0.8548390867956478</v>
      </c>
    </row>
    <row r="178" spans="1:14">
      <c r="A178" s="1">
        <v>44738</v>
      </c>
      <c r="B178">
        <v>24.1</v>
      </c>
      <c r="C178">
        <v>0</v>
      </c>
      <c r="D178">
        <f t="shared" si="13"/>
        <v>6</v>
      </c>
      <c r="E178">
        <f>IF(AND(D179=staw[[#This Row],[Miesiąc]],F178=1),E177+1,0)</f>
        <v>10</v>
      </c>
      <c r="F178">
        <f t="shared" si="12"/>
        <v>1</v>
      </c>
      <c r="G178">
        <v>177</v>
      </c>
      <c r="K178">
        <f t="shared" si="14"/>
        <v>177</v>
      </c>
      <c r="L178" s="1">
        <f t="shared" si="15"/>
        <v>45162</v>
      </c>
      <c r="M178">
        <f t="shared" si="16"/>
        <v>8677.6377081457158</v>
      </c>
      <c r="N178">
        <f t="shared" si="17"/>
        <v>0.86776377081457157</v>
      </c>
    </row>
    <row r="179" spans="1:14">
      <c r="A179" s="1">
        <v>44739</v>
      </c>
      <c r="B179">
        <v>26.1</v>
      </c>
      <c r="C179">
        <v>0</v>
      </c>
      <c r="D179">
        <f t="shared" si="13"/>
        <v>6</v>
      </c>
      <c r="E179">
        <f>IF(AND(D180=staw[[#This Row],[Miesiąc]],F179=1),E178+1,0)</f>
        <v>11</v>
      </c>
      <c r="F179">
        <f t="shared" si="12"/>
        <v>1</v>
      </c>
      <c r="G179">
        <v>178</v>
      </c>
      <c r="K179">
        <f t="shared" si="14"/>
        <v>178</v>
      </c>
      <c r="L179" s="1">
        <f t="shared" si="15"/>
        <v>45163</v>
      </c>
      <c r="M179">
        <f t="shared" si="16"/>
        <v>8809.1463680382658</v>
      </c>
      <c r="N179">
        <f t="shared" si="17"/>
        <v>0.88091463680382653</v>
      </c>
    </row>
    <row r="180" spans="1:14">
      <c r="A180" s="1">
        <v>44740</v>
      </c>
      <c r="B180">
        <v>24.6</v>
      </c>
      <c r="C180">
        <v>1</v>
      </c>
      <c r="D180">
        <f t="shared" si="13"/>
        <v>6</v>
      </c>
      <c r="E180">
        <f>IF(AND(D181=staw[[#This Row],[Miesiąc]],F180=1),E179+1,0)</f>
        <v>0</v>
      </c>
      <c r="F180">
        <f t="shared" si="12"/>
        <v>0</v>
      </c>
      <c r="G180">
        <v>179</v>
      </c>
      <c r="K180">
        <f t="shared" si="14"/>
        <v>179</v>
      </c>
      <c r="L180" s="1">
        <f t="shared" si="15"/>
        <v>45164</v>
      </c>
      <c r="M180">
        <f t="shared" si="16"/>
        <v>8881.9064294789368</v>
      </c>
      <c r="N180">
        <f t="shared" si="17"/>
        <v>0.88819064294789374</v>
      </c>
    </row>
    <row r="181" spans="1:14">
      <c r="A181" s="1">
        <v>44741</v>
      </c>
      <c r="B181">
        <v>24.9</v>
      </c>
      <c r="C181">
        <v>0</v>
      </c>
      <c r="D181">
        <f t="shared" si="13"/>
        <v>6</v>
      </c>
      <c r="E181">
        <f>IF(AND(D182=staw[[#This Row],[Miesiąc]],F181=1),E180+1,0)</f>
        <v>1</v>
      </c>
      <c r="F181">
        <f t="shared" si="12"/>
        <v>1</v>
      </c>
      <c r="G181">
        <v>180</v>
      </c>
      <c r="K181">
        <f t="shared" si="14"/>
        <v>180</v>
      </c>
      <c r="L181" s="1">
        <f t="shared" si="15"/>
        <v>45165</v>
      </c>
      <c r="M181">
        <f t="shared" si="16"/>
        <v>9016.989791994818</v>
      </c>
      <c r="N181">
        <f t="shared" si="17"/>
        <v>0.90169897919948183</v>
      </c>
    </row>
    <row r="182" spans="1:14">
      <c r="A182" s="1">
        <v>44742</v>
      </c>
      <c r="B182">
        <v>29</v>
      </c>
      <c r="C182">
        <v>0</v>
      </c>
      <c r="D182">
        <f t="shared" si="13"/>
        <v>6</v>
      </c>
      <c r="E182">
        <f>IF(AND(D183=staw[[#This Row],[Miesiąc]],F182=1),E181+1,0)</f>
        <v>0</v>
      </c>
      <c r="F182">
        <f t="shared" si="12"/>
        <v>1</v>
      </c>
      <c r="G182">
        <v>181</v>
      </c>
      <c r="K182">
        <f t="shared" si="14"/>
        <v>181</v>
      </c>
      <c r="L182" s="1">
        <f t="shared" si="15"/>
        <v>45166</v>
      </c>
      <c r="M182">
        <f t="shared" si="16"/>
        <v>9154.4371133547284</v>
      </c>
      <c r="N182">
        <f t="shared" si="17"/>
        <v>0.91544371133547287</v>
      </c>
    </row>
    <row r="183" spans="1:14">
      <c r="A183" s="1">
        <v>44743</v>
      </c>
      <c r="B183">
        <v>29.9</v>
      </c>
      <c r="C183">
        <v>0</v>
      </c>
      <c r="D183">
        <f t="shared" si="13"/>
        <v>7</v>
      </c>
      <c r="E183">
        <f>IF(AND(D184=staw[[#This Row],[Miesiąc]],F183=1),E182+1,0)</f>
        <v>1</v>
      </c>
      <c r="F183">
        <f t="shared" si="12"/>
        <v>1</v>
      </c>
      <c r="G183">
        <v>182</v>
      </c>
      <c r="K183">
        <f t="shared" si="14"/>
        <v>182</v>
      </c>
      <c r="L183" s="1">
        <f t="shared" si="15"/>
        <v>45167</v>
      </c>
      <c r="M183">
        <f t="shared" si="16"/>
        <v>9294.2897628384362</v>
      </c>
      <c r="N183">
        <f t="shared" si="17"/>
        <v>0.92942897628384358</v>
      </c>
    </row>
    <row r="184" spans="1:14">
      <c r="A184" s="1">
        <v>44744</v>
      </c>
      <c r="B184">
        <v>19.7</v>
      </c>
      <c r="C184">
        <v>0</v>
      </c>
      <c r="D184">
        <f t="shared" si="13"/>
        <v>7</v>
      </c>
      <c r="E184">
        <f>IF(AND(D185=staw[[#This Row],[Miesiąc]],F184=1),E183+1,0)</f>
        <v>2</v>
      </c>
      <c r="F184">
        <f t="shared" si="12"/>
        <v>1</v>
      </c>
      <c r="G184">
        <v>183</v>
      </c>
      <c r="K184">
        <f t="shared" si="14"/>
        <v>183</v>
      </c>
      <c r="L184" s="1">
        <f t="shared" si="15"/>
        <v>45168</v>
      </c>
      <c r="M184">
        <f t="shared" si="16"/>
        <v>9436.5898336881091</v>
      </c>
      <c r="N184">
        <f t="shared" si="17"/>
        <v>0.94365898336881093</v>
      </c>
    </row>
    <row r="185" spans="1:14">
      <c r="A185" s="1">
        <v>44745</v>
      </c>
      <c r="B185">
        <v>21.6</v>
      </c>
      <c r="C185">
        <v>0</v>
      </c>
      <c r="D185">
        <f t="shared" si="13"/>
        <v>7</v>
      </c>
      <c r="E185">
        <f>IF(AND(D186=staw[[#This Row],[Miesiąc]],F185=1),E184+1,0)</f>
        <v>3</v>
      </c>
      <c r="F185">
        <f t="shared" si="12"/>
        <v>1</v>
      </c>
      <c r="G185">
        <v>184</v>
      </c>
      <c r="K185">
        <f t="shared" si="14"/>
        <v>184</v>
      </c>
      <c r="L185" s="1">
        <f t="shared" si="15"/>
        <v>45169</v>
      </c>
      <c r="M185">
        <f t="shared" si="16"/>
        <v>9581.3801557776515</v>
      </c>
      <c r="N185">
        <f t="shared" si="17"/>
        <v>0.95813801557776512</v>
      </c>
    </row>
    <row r="186" spans="1:14">
      <c r="A186" s="1">
        <v>44746</v>
      </c>
      <c r="B186">
        <v>24.1</v>
      </c>
      <c r="C186">
        <v>0</v>
      </c>
      <c r="D186">
        <f t="shared" si="13"/>
        <v>7</v>
      </c>
      <c r="E186">
        <f>IF(AND(D187=staw[[#This Row],[Miesiąc]],F186=1),E185+1,0)</f>
        <v>4</v>
      </c>
      <c r="F186">
        <f t="shared" si="12"/>
        <v>1</v>
      </c>
    </row>
    <row r="187" spans="1:14">
      <c r="A187" s="1">
        <v>44747</v>
      </c>
      <c r="B187">
        <v>19.8</v>
      </c>
      <c r="C187">
        <v>17</v>
      </c>
      <c r="D187">
        <f t="shared" si="13"/>
        <v>7</v>
      </c>
      <c r="E187">
        <f>IF(AND(D188=staw[[#This Row],[Miesiąc]],F187=1),E186+1,0)</f>
        <v>0</v>
      </c>
      <c r="F187">
        <f t="shared" si="12"/>
        <v>0</v>
      </c>
    </row>
    <row r="188" spans="1:14">
      <c r="A188" s="1">
        <v>44748</v>
      </c>
      <c r="B188">
        <v>17.600000000000001</v>
      </c>
      <c r="C188">
        <v>21</v>
      </c>
      <c r="D188">
        <f t="shared" si="13"/>
        <v>7</v>
      </c>
      <c r="E188">
        <f>IF(AND(D189=staw[[#This Row],[Miesiąc]],F188=1),E187+1,0)</f>
        <v>0</v>
      </c>
      <c r="F188">
        <f t="shared" si="12"/>
        <v>0</v>
      </c>
    </row>
    <row r="189" spans="1:14">
      <c r="A189" s="1">
        <v>44749</v>
      </c>
      <c r="B189">
        <v>18.2</v>
      </c>
      <c r="C189">
        <v>0</v>
      </c>
      <c r="D189">
        <f t="shared" si="13"/>
        <v>7</v>
      </c>
      <c r="E189">
        <f>IF(AND(D190=staw[[#This Row],[Miesiąc]],F189=1),E188+1,0)</f>
        <v>1</v>
      </c>
      <c r="F189">
        <f t="shared" si="12"/>
        <v>1</v>
      </c>
    </row>
    <row r="190" spans="1:14">
      <c r="A190" s="1">
        <v>44750</v>
      </c>
      <c r="B190">
        <v>17.399999999999999</v>
      </c>
      <c r="C190">
        <v>0</v>
      </c>
      <c r="D190">
        <f t="shared" si="13"/>
        <v>7</v>
      </c>
      <c r="E190">
        <f>IF(AND(D191=staw[[#This Row],[Miesiąc]],F190=1),E189+1,0)</f>
        <v>2</v>
      </c>
      <c r="F190">
        <f t="shared" si="12"/>
        <v>1</v>
      </c>
    </row>
    <row r="191" spans="1:14">
      <c r="A191" s="1">
        <v>44751</v>
      </c>
      <c r="B191">
        <v>17.899999999999999</v>
      </c>
      <c r="C191">
        <v>0</v>
      </c>
      <c r="D191">
        <f t="shared" si="13"/>
        <v>7</v>
      </c>
      <c r="E191">
        <f>IF(AND(D192=staw[[#This Row],[Miesiąc]],F191=1),E190+1,0)</f>
        <v>3</v>
      </c>
      <c r="F191">
        <f t="shared" si="12"/>
        <v>1</v>
      </c>
    </row>
    <row r="192" spans="1:14">
      <c r="A192" s="1">
        <v>44752</v>
      </c>
      <c r="B192">
        <v>16.100000000000001</v>
      </c>
      <c r="C192">
        <v>4</v>
      </c>
      <c r="D192">
        <f t="shared" si="13"/>
        <v>7</v>
      </c>
      <c r="E192">
        <f>IF(AND(D193=staw[[#This Row],[Miesiąc]],F192=1),E191+1,0)</f>
        <v>0</v>
      </c>
      <c r="F192">
        <f t="shared" si="12"/>
        <v>0</v>
      </c>
    </row>
    <row r="193" spans="1:6">
      <c r="A193" s="1">
        <v>44753</v>
      </c>
      <c r="B193">
        <v>14</v>
      </c>
      <c r="C193">
        <v>3</v>
      </c>
      <c r="D193">
        <f t="shared" si="13"/>
        <v>7</v>
      </c>
      <c r="E193">
        <f>IF(AND(D194=staw[[#This Row],[Miesiąc]],F193=1),E192+1,0)</f>
        <v>0</v>
      </c>
      <c r="F193">
        <f t="shared" si="12"/>
        <v>0</v>
      </c>
    </row>
    <row r="194" spans="1:6">
      <c r="A194" s="1">
        <v>44754</v>
      </c>
      <c r="B194">
        <v>16.3</v>
      </c>
      <c r="C194">
        <v>2</v>
      </c>
      <c r="D194">
        <f t="shared" si="13"/>
        <v>7</v>
      </c>
      <c r="E194">
        <f>IF(AND(D195=staw[[#This Row],[Miesiąc]],F194=1),E193+1,0)</f>
        <v>0</v>
      </c>
      <c r="F194">
        <f t="shared" ref="F194:F257" si="18">IF(C194=0,1,0)</f>
        <v>0</v>
      </c>
    </row>
    <row r="195" spans="1:6">
      <c r="A195" s="1">
        <v>44755</v>
      </c>
      <c r="B195">
        <v>21.7</v>
      </c>
      <c r="C195">
        <v>0</v>
      </c>
      <c r="D195">
        <f t="shared" ref="D195:D258" si="19">MONTH(A195)</f>
        <v>7</v>
      </c>
      <c r="E195">
        <f>IF(AND(D196=staw[[#This Row],[Miesiąc]],F195=1),E194+1,0)</f>
        <v>1</v>
      </c>
      <c r="F195">
        <f t="shared" si="18"/>
        <v>1</v>
      </c>
    </row>
    <row r="196" spans="1:6">
      <c r="A196" s="1">
        <v>44756</v>
      </c>
      <c r="B196">
        <v>23.2</v>
      </c>
      <c r="C196">
        <v>4</v>
      </c>
      <c r="D196">
        <f t="shared" si="19"/>
        <v>7</v>
      </c>
      <c r="E196">
        <f>IF(AND(D197=staw[[#This Row],[Miesiąc]],F196=1),E195+1,0)</f>
        <v>0</v>
      </c>
      <c r="F196">
        <f t="shared" si="18"/>
        <v>0</v>
      </c>
    </row>
    <row r="197" spans="1:6">
      <c r="A197" s="1">
        <v>44757</v>
      </c>
      <c r="B197">
        <v>19.100000000000001</v>
      </c>
      <c r="C197">
        <v>2</v>
      </c>
      <c r="D197">
        <f t="shared" si="19"/>
        <v>7</v>
      </c>
      <c r="E197">
        <f>IF(AND(D198=staw[[#This Row],[Miesiąc]],F197=1),E196+1,0)</f>
        <v>0</v>
      </c>
      <c r="F197">
        <f t="shared" si="18"/>
        <v>0</v>
      </c>
    </row>
    <row r="198" spans="1:6">
      <c r="A198" s="1">
        <v>44758</v>
      </c>
      <c r="B198">
        <v>16.100000000000001</v>
      </c>
      <c r="C198">
        <v>0</v>
      </c>
      <c r="D198">
        <f t="shared" si="19"/>
        <v>7</v>
      </c>
      <c r="E198">
        <f>IF(AND(D199=staw[[#This Row],[Miesiąc]],F198=1),E197+1,0)</f>
        <v>1</v>
      </c>
      <c r="F198">
        <f t="shared" si="18"/>
        <v>1</v>
      </c>
    </row>
    <row r="199" spans="1:6">
      <c r="A199" s="1">
        <v>44759</v>
      </c>
      <c r="B199">
        <v>17.100000000000001</v>
      </c>
      <c r="C199">
        <v>0</v>
      </c>
      <c r="D199">
        <f t="shared" si="19"/>
        <v>7</v>
      </c>
      <c r="E199">
        <f>IF(AND(D200=staw[[#This Row],[Miesiąc]],F199=1),E198+1,0)</f>
        <v>2</v>
      </c>
      <c r="F199">
        <f t="shared" si="18"/>
        <v>1</v>
      </c>
    </row>
    <row r="200" spans="1:6">
      <c r="A200" s="1">
        <v>44760</v>
      </c>
      <c r="B200">
        <v>18.7</v>
      </c>
      <c r="C200">
        <v>0</v>
      </c>
      <c r="D200">
        <f t="shared" si="19"/>
        <v>7</v>
      </c>
      <c r="E200">
        <f>IF(AND(D201=staw[[#This Row],[Miesiąc]],F200=1),E199+1,0)</f>
        <v>3</v>
      </c>
      <c r="F200">
        <f t="shared" si="18"/>
        <v>1</v>
      </c>
    </row>
    <row r="201" spans="1:6">
      <c r="A201" s="1">
        <v>44761</v>
      </c>
      <c r="B201">
        <v>22.1</v>
      </c>
      <c r="C201">
        <v>0</v>
      </c>
      <c r="D201">
        <f t="shared" si="19"/>
        <v>7</v>
      </c>
      <c r="E201">
        <f>IF(AND(D202=staw[[#This Row],[Miesiąc]],F201=1),E200+1,0)</f>
        <v>4</v>
      </c>
      <c r="F201">
        <f t="shared" si="18"/>
        <v>1</v>
      </c>
    </row>
    <row r="202" spans="1:6">
      <c r="A202" s="1">
        <v>44762</v>
      </c>
      <c r="B202">
        <v>24.6</v>
      </c>
      <c r="C202">
        <v>0</v>
      </c>
      <c r="D202">
        <f t="shared" si="19"/>
        <v>7</v>
      </c>
      <c r="E202">
        <f>IF(AND(D203=staw[[#This Row],[Miesiąc]],F202=1),E201+1,0)</f>
        <v>5</v>
      </c>
      <c r="F202">
        <f t="shared" si="18"/>
        <v>1</v>
      </c>
    </row>
    <row r="203" spans="1:6">
      <c r="A203" s="1">
        <v>44763</v>
      </c>
      <c r="B203">
        <v>24.1</v>
      </c>
      <c r="C203">
        <v>0</v>
      </c>
      <c r="D203">
        <f t="shared" si="19"/>
        <v>7</v>
      </c>
      <c r="E203">
        <f>IF(AND(D204=staw[[#This Row],[Miesiąc]],F203=1),E202+1,0)</f>
        <v>6</v>
      </c>
      <c r="F203">
        <f t="shared" si="18"/>
        <v>1</v>
      </c>
    </row>
    <row r="204" spans="1:6">
      <c r="A204" s="1">
        <v>44764</v>
      </c>
      <c r="B204">
        <v>25.6</v>
      </c>
      <c r="C204">
        <v>0</v>
      </c>
      <c r="D204">
        <f t="shared" si="19"/>
        <v>7</v>
      </c>
      <c r="E204">
        <f>IF(AND(D205=staw[[#This Row],[Miesiąc]],F204=1),E203+1,0)</f>
        <v>7</v>
      </c>
      <c r="F204">
        <f t="shared" si="18"/>
        <v>1</v>
      </c>
    </row>
    <row r="205" spans="1:6">
      <c r="A205" s="1">
        <v>44765</v>
      </c>
      <c r="B205">
        <v>25</v>
      </c>
      <c r="C205">
        <v>0</v>
      </c>
      <c r="D205">
        <f t="shared" si="19"/>
        <v>7</v>
      </c>
      <c r="E205">
        <f>IF(AND(D206=staw[[#This Row],[Miesiąc]],F205=1),E204+1,0)</f>
        <v>8</v>
      </c>
      <c r="F205">
        <f t="shared" si="18"/>
        <v>1</v>
      </c>
    </row>
    <row r="206" spans="1:6">
      <c r="A206" s="1">
        <v>44766</v>
      </c>
      <c r="B206">
        <v>21.8</v>
      </c>
      <c r="C206">
        <v>0</v>
      </c>
      <c r="D206">
        <f t="shared" si="19"/>
        <v>7</v>
      </c>
      <c r="E206">
        <f>IF(AND(D207=staw[[#This Row],[Miesiąc]],F206=1),E205+1,0)</f>
        <v>9</v>
      </c>
      <c r="F206">
        <f t="shared" si="18"/>
        <v>1</v>
      </c>
    </row>
    <row r="207" spans="1:6">
      <c r="A207" s="1">
        <v>44767</v>
      </c>
      <c r="B207">
        <v>21.9</v>
      </c>
      <c r="C207">
        <v>0</v>
      </c>
      <c r="D207">
        <f t="shared" si="19"/>
        <v>7</v>
      </c>
      <c r="E207">
        <f>IF(AND(D208=staw[[#This Row],[Miesiąc]],F207=1),E206+1,0)</f>
        <v>10</v>
      </c>
      <c r="F207">
        <f t="shared" si="18"/>
        <v>1</v>
      </c>
    </row>
    <row r="208" spans="1:6">
      <c r="A208" s="1">
        <v>44768</v>
      </c>
      <c r="B208">
        <v>20.399999999999999</v>
      </c>
      <c r="C208">
        <v>3</v>
      </c>
      <c r="D208">
        <f t="shared" si="19"/>
        <v>7</v>
      </c>
      <c r="E208">
        <f>IF(AND(D209=staw[[#This Row],[Miesiąc]],F208=1),E207+1,0)</f>
        <v>0</v>
      </c>
      <c r="F208">
        <f t="shared" si="18"/>
        <v>0</v>
      </c>
    </row>
    <row r="209" spans="1:6">
      <c r="A209" s="1">
        <v>44769</v>
      </c>
      <c r="B209">
        <v>19.899999999999999</v>
      </c>
      <c r="C209">
        <v>0</v>
      </c>
      <c r="D209">
        <f t="shared" si="19"/>
        <v>7</v>
      </c>
      <c r="E209">
        <f>IF(AND(D210=staw[[#This Row],[Miesiąc]],F209=1),E208+1,0)</f>
        <v>1</v>
      </c>
      <c r="F209">
        <f t="shared" si="18"/>
        <v>1</v>
      </c>
    </row>
    <row r="210" spans="1:6">
      <c r="A210" s="1">
        <v>44770</v>
      </c>
      <c r="B210">
        <v>19.899999999999999</v>
      </c>
      <c r="C210">
        <v>7</v>
      </c>
      <c r="D210">
        <f t="shared" si="19"/>
        <v>7</v>
      </c>
      <c r="E210">
        <f>IF(AND(D211=staw[[#This Row],[Miesiąc]],F210=1),E209+1,0)</f>
        <v>0</v>
      </c>
      <c r="F210">
        <f t="shared" si="18"/>
        <v>0</v>
      </c>
    </row>
    <row r="211" spans="1:6">
      <c r="A211" s="1">
        <v>44771</v>
      </c>
      <c r="B211">
        <v>21.1</v>
      </c>
      <c r="C211">
        <v>0</v>
      </c>
      <c r="D211">
        <f t="shared" si="19"/>
        <v>7</v>
      </c>
      <c r="E211">
        <f>IF(AND(D212=staw[[#This Row],[Miesiąc]],F211=1),E210+1,0)</f>
        <v>1</v>
      </c>
      <c r="F211">
        <f t="shared" si="18"/>
        <v>1</v>
      </c>
    </row>
    <row r="212" spans="1:6">
      <c r="A212" s="1">
        <v>44772</v>
      </c>
      <c r="B212">
        <v>20.7</v>
      </c>
      <c r="C212">
        <v>37</v>
      </c>
      <c r="D212">
        <f t="shared" si="19"/>
        <v>7</v>
      </c>
      <c r="E212">
        <f>IF(AND(D213=staw[[#This Row],[Miesiąc]],F212=1),E211+1,0)</f>
        <v>0</v>
      </c>
      <c r="F212">
        <f t="shared" si="18"/>
        <v>0</v>
      </c>
    </row>
    <row r="213" spans="1:6">
      <c r="A213" s="1">
        <v>44773</v>
      </c>
      <c r="B213">
        <v>16.600000000000001</v>
      </c>
      <c r="C213">
        <v>0</v>
      </c>
      <c r="D213">
        <f t="shared" si="19"/>
        <v>7</v>
      </c>
      <c r="E213">
        <f>IF(AND(D214=staw[[#This Row],[Miesiąc]],F213=1),E212+1,0)</f>
        <v>0</v>
      </c>
      <c r="F213">
        <f t="shared" si="18"/>
        <v>1</v>
      </c>
    </row>
    <row r="214" spans="1:6">
      <c r="A214" s="1">
        <v>44774</v>
      </c>
      <c r="B214">
        <v>19.7</v>
      </c>
      <c r="C214">
        <v>5</v>
      </c>
      <c r="D214">
        <f t="shared" si="19"/>
        <v>8</v>
      </c>
      <c r="E214">
        <f>IF(AND(D215=staw[[#This Row],[Miesiąc]],F214=1),E213+1,0)</f>
        <v>0</v>
      </c>
      <c r="F214">
        <f t="shared" si="18"/>
        <v>0</v>
      </c>
    </row>
    <row r="215" spans="1:6">
      <c r="A215" s="1">
        <v>44775</v>
      </c>
      <c r="B215">
        <v>21</v>
      </c>
      <c r="C215">
        <v>1</v>
      </c>
      <c r="D215">
        <f t="shared" si="19"/>
        <v>8</v>
      </c>
      <c r="E215">
        <f>IF(AND(D216=staw[[#This Row],[Miesiąc]],F215=1),E214+1,0)</f>
        <v>0</v>
      </c>
      <c r="F215">
        <f t="shared" si="18"/>
        <v>0</v>
      </c>
    </row>
    <row r="216" spans="1:6">
      <c r="A216" s="1">
        <v>44776</v>
      </c>
      <c r="B216">
        <v>21.9</v>
      </c>
      <c r="C216">
        <v>0</v>
      </c>
      <c r="D216">
        <f t="shared" si="19"/>
        <v>8</v>
      </c>
      <c r="E216">
        <f>IF(AND(D217=staw[[#This Row],[Miesiąc]],F216=1),E215+1,0)</f>
        <v>1</v>
      </c>
      <c r="F216">
        <f t="shared" si="18"/>
        <v>1</v>
      </c>
    </row>
    <row r="217" spans="1:6">
      <c r="A217" s="1">
        <v>44777</v>
      </c>
      <c r="B217">
        <v>22.6</v>
      </c>
      <c r="C217">
        <v>0</v>
      </c>
      <c r="D217">
        <f t="shared" si="19"/>
        <v>8</v>
      </c>
      <c r="E217">
        <f>IF(AND(D218=staw[[#This Row],[Miesiąc]],F217=1),E216+1,0)</f>
        <v>2</v>
      </c>
      <c r="F217">
        <f t="shared" si="18"/>
        <v>1</v>
      </c>
    </row>
    <row r="218" spans="1:6">
      <c r="A218" s="1">
        <v>44778</v>
      </c>
      <c r="B218">
        <v>24.4</v>
      </c>
      <c r="C218">
        <v>0</v>
      </c>
      <c r="D218">
        <f t="shared" si="19"/>
        <v>8</v>
      </c>
      <c r="E218">
        <f>IF(AND(D219=staw[[#This Row],[Miesiąc]],F218=1),E217+1,0)</f>
        <v>3</v>
      </c>
      <c r="F218">
        <f t="shared" si="18"/>
        <v>1</v>
      </c>
    </row>
    <row r="219" spans="1:6">
      <c r="A219" s="1">
        <v>44779</v>
      </c>
      <c r="B219">
        <v>20.100000000000001</v>
      </c>
      <c r="C219">
        <v>0</v>
      </c>
      <c r="D219">
        <f t="shared" si="19"/>
        <v>8</v>
      </c>
      <c r="E219">
        <f>IF(AND(D220=staw[[#This Row],[Miesiąc]],F219=1),E218+1,0)</f>
        <v>4</v>
      </c>
      <c r="F219">
        <f t="shared" si="18"/>
        <v>1</v>
      </c>
    </row>
    <row r="220" spans="1:6">
      <c r="A220" s="1">
        <v>44780</v>
      </c>
      <c r="B220">
        <v>18.5</v>
      </c>
      <c r="C220">
        <v>0</v>
      </c>
      <c r="D220">
        <f t="shared" si="19"/>
        <v>8</v>
      </c>
      <c r="E220">
        <f>IF(AND(D221=staw[[#This Row],[Miesiąc]],F220=1),E219+1,0)</f>
        <v>5</v>
      </c>
      <c r="F220">
        <f t="shared" si="18"/>
        <v>1</v>
      </c>
    </row>
    <row r="221" spans="1:6">
      <c r="A221" s="1">
        <v>44781</v>
      </c>
      <c r="B221">
        <v>17.100000000000001</v>
      </c>
      <c r="C221">
        <v>0</v>
      </c>
      <c r="D221">
        <f t="shared" si="19"/>
        <v>8</v>
      </c>
      <c r="E221">
        <f>IF(AND(D222=staw[[#This Row],[Miesiąc]],F221=1),E220+1,0)</f>
        <v>6</v>
      </c>
      <c r="F221">
        <f t="shared" si="18"/>
        <v>1</v>
      </c>
    </row>
    <row r="222" spans="1:6">
      <c r="A222" s="1">
        <v>44782</v>
      </c>
      <c r="B222">
        <v>19.600000000000001</v>
      </c>
      <c r="C222">
        <v>0</v>
      </c>
      <c r="D222">
        <f t="shared" si="19"/>
        <v>8</v>
      </c>
      <c r="E222">
        <f>IF(AND(D223=staw[[#This Row],[Miesiąc]],F222=1),E221+1,0)</f>
        <v>7</v>
      </c>
      <c r="F222">
        <f t="shared" si="18"/>
        <v>1</v>
      </c>
    </row>
    <row r="223" spans="1:6">
      <c r="A223" s="1">
        <v>44783</v>
      </c>
      <c r="B223">
        <v>19.2</v>
      </c>
      <c r="C223">
        <v>0</v>
      </c>
      <c r="D223">
        <f t="shared" si="19"/>
        <v>8</v>
      </c>
      <c r="E223">
        <f>IF(AND(D224=staw[[#This Row],[Miesiąc]],F223=1),E222+1,0)</f>
        <v>8</v>
      </c>
      <c r="F223">
        <f t="shared" si="18"/>
        <v>1</v>
      </c>
    </row>
    <row r="224" spans="1:6">
      <c r="A224" s="1">
        <v>44784</v>
      </c>
      <c r="B224">
        <v>17.100000000000001</v>
      </c>
      <c r="C224">
        <v>3</v>
      </c>
      <c r="D224">
        <f t="shared" si="19"/>
        <v>8</v>
      </c>
      <c r="E224">
        <f>IF(AND(D225=staw[[#This Row],[Miesiąc]],F224=1),E223+1,0)</f>
        <v>0</v>
      </c>
      <c r="F224">
        <f t="shared" si="18"/>
        <v>0</v>
      </c>
    </row>
    <row r="225" spans="1:6">
      <c r="A225" s="1">
        <v>44785</v>
      </c>
      <c r="B225">
        <v>17.600000000000001</v>
      </c>
      <c r="C225">
        <v>0</v>
      </c>
      <c r="D225">
        <f t="shared" si="19"/>
        <v>8</v>
      </c>
      <c r="E225">
        <f>IF(AND(D226=staw[[#This Row],[Miesiąc]],F225=1),E224+1,0)</f>
        <v>1</v>
      </c>
      <c r="F225">
        <f t="shared" si="18"/>
        <v>1</v>
      </c>
    </row>
    <row r="226" spans="1:6">
      <c r="A226" s="1">
        <v>44786</v>
      </c>
      <c r="B226">
        <v>19.8</v>
      </c>
      <c r="C226">
        <v>0</v>
      </c>
      <c r="D226">
        <f t="shared" si="19"/>
        <v>8</v>
      </c>
      <c r="E226">
        <f>IF(AND(D227=staw[[#This Row],[Miesiąc]],F226=1),E225+1,0)</f>
        <v>2</v>
      </c>
      <c r="F226">
        <f t="shared" si="18"/>
        <v>1</v>
      </c>
    </row>
    <row r="227" spans="1:6">
      <c r="A227" s="1">
        <v>44787</v>
      </c>
      <c r="B227">
        <v>22</v>
      </c>
      <c r="C227">
        <v>4</v>
      </c>
      <c r="D227">
        <f t="shared" si="19"/>
        <v>8</v>
      </c>
      <c r="E227">
        <f>IF(AND(D228=staw[[#This Row],[Miesiąc]],F227=1),E226+1,0)</f>
        <v>0</v>
      </c>
      <c r="F227">
        <f t="shared" si="18"/>
        <v>0</v>
      </c>
    </row>
    <row r="228" spans="1:6">
      <c r="A228" s="1">
        <v>44788</v>
      </c>
      <c r="B228">
        <v>23</v>
      </c>
      <c r="C228">
        <v>0</v>
      </c>
      <c r="D228">
        <f t="shared" si="19"/>
        <v>8</v>
      </c>
      <c r="E228">
        <f>IF(AND(D229=staw[[#This Row],[Miesiąc]],F228=1),E227+1,0)</f>
        <v>1</v>
      </c>
      <c r="F228">
        <f t="shared" si="18"/>
        <v>1</v>
      </c>
    </row>
    <row r="229" spans="1:6">
      <c r="A229" s="1">
        <v>44789</v>
      </c>
      <c r="B229">
        <v>22.2</v>
      </c>
      <c r="C229">
        <v>0</v>
      </c>
      <c r="D229">
        <f t="shared" si="19"/>
        <v>8</v>
      </c>
      <c r="E229">
        <f>IF(AND(D230=staw[[#This Row],[Miesiąc]],F229=1),E228+1,0)</f>
        <v>2</v>
      </c>
      <c r="F229">
        <f t="shared" si="18"/>
        <v>1</v>
      </c>
    </row>
    <row r="230" spans="1:6">
      <c r="A230" s="1">
        <v>44790</v>
      </c>
      <c r="B230">
        <v>22.9</v>
      </c>
      <c r="C230">
        <v>0</v>
      </c>
      <c r="D230">
        <f t="shared" si="19"/>
        <v>8</v>
      </c>
      <c r="E230">
        <f>IF(AND(D231=staw[[#This Row],[Miesiąc]],F230=1),E229+1,0)</f>
        <v>3</v>
      </c>
      <c r="F230">
        <f t="shared" si="18"/>
        <v>1</v>
      </c>
    </row>
    <row r="231" spans="1:6">
      <c r="A231" s="1">
        <v>44791</v>
      </c>
      <c r="B231">
        <v>24.1</v>
      </c>
      <c r="C231">
        <v>0</v>
      </c>
      <c r="D231">
        <f t="shared" si="19"/>
        <v>8</v>
      </c>
      <c r="E231">
        <f>IF(AND(D232=staw[[#This Row],[Miesiąc]],F231=1),E230+1,0)</f>
        <v>4</v>
      </c>
      <c r="F231">
        <f t="shared" si="18"/>
        <v>1</v>
      </c>
    </row>
    <row r="232" spans="1:6">
      <c r="A232" s="1">
        <v>44792</v>
      </c>
      <c r="B232">
        <v>26.8</v>
      </c>
      <c r="C232">
        <v>0</v>
      </c>
      <c r="D232">
        <f t="shared" si="19"/>
        <v>8</v>
      </c>
      <c r="E232">
        <f>IF(AND(D233=staw[[#This Row],[Miesiąc]],F232=1),E231+1,0)</f>
        <v>5</v>
      </c>
      <c r="F232">
        <f t="shared" si="18"/>
        <v>1</v>
      </c>
    </row>
    <row r="233" spans="1:6">
      <c r="A233" s="1">
        <v>44793</v>
      </c>
      <c r="B233">
        <v>24.5</v>
      </c>
      <c r="C233">
        <v>0</v>
      </c>
      <c r="D233">
        <f t="shared" si="19"/>
        <v>8</v>
      </c>
      <c r="E233">
        <f>IF(AND(D234=staw[[#This Row],[Miesiąc]],F233=1),E232+1,0)</f>
        <v>6</v>
      </c>
      <c r="F233">
        <f t="shared" si="18"/>
        <v>1</v>
      </c>
    </row>
    <row r="234" spans="1:6">
      <c r="A234" s="1">
        <v>44794</v>
      </c>
      <c r="B234">
        <v>20.7</v>
      </c>
      <c r="C234">
        <v>4</v>
      </c>
      <c r="D234">
        <f t="shared" si="19"/>
        <v>8</v>
      </c>
      <c r="E234">
        <f>IF(AND(D235=staw[[#This Row],[Miesiąc]],F234=1),E233+1,0)</f>
        <v>0</v>
      </c>
      <c r="F234">
        <f t="shared" si="18"/>
        <v>0</v>
      </c>
    </row>
    <row r="235" spans="1:6">
      <c r="A235" s="1">
        <v>44795</v>
      </c>
      <c r="B235">
        <v>20.100000000000001</v>
      </c>
      <c r="C235">
        <v>11</v>
      </c>
      <c r="D235">
        <f t="shared" si="19"/>
        <v>8</v>
      </c>
      <c r="E235">
        <f>IF(AND(D236=staw[[#This Row],[Miesiąc]],F235=1),E234+1,0)</f>
        <v>0</v>
      </c>
      <c r="F235">
        <f t="shared" si="18"/>
        <v>0</v>
      </c>
    </row>
    <row r="236" spans="1:6">
      <c r="A236" s="1">
        <v>44796</v>
      </c>
      <c r="B236">
        <v>21.9</v>
      </c>
      <c r="C236">
        <v>0</v>
      </c>
      <c r="D236">
        <f t="shared" si="19"/>
        <v>8</v>
      </c>
      <c r="E236">
        <f>IF(AND(D237=staw[[#This Row],[Miesiąc]],F236=1),E235+1,0)</f>
        <v>1</v>
      </c>
      <c r="F236">
        <f t="shared" si="18"/>
        <v>1</v>
      </c>
    </row>
    <row r="237" spans="1:6">
      <c r="A237" s="1">
        <v>44797</v>
      </c>
      <c r="B237">
        <v>21.2</v>
      </c>
      <c r="C237">
        <v>4</v>
      </c>
      <c r="D237">
        <f t="shared" si="19"/>
        <v>8</v>
      </c>
      <c r="E237">
        <f>IF(AND(D238=staw[[#This Row],[Miesiąc]],F237=1),E236+1,0)</f>
        <v>0</v>
      </c>
      <c r="F237">
        <f t="shared" si="18"/>
        <v>0</v>
      </c>
    </row>
    <row r="238" spans="1:6">
      <c r="A238" s="1">
        <v>44798</v>
      </c>
      <c r="B238">
        <v>23.2</v>
      </c>
      <c r="C238">
        <v>0</v>
      </c>
      <c r="D238">
        <f t="shared" si="19"/>
        <v>8</v>
      </c>
      <c r="E238">
        <f>IF(AND(D239=staw[[#This Row],[Miesiąc]],F238=1),E237+1,0)</f>
        <v>1</v>
      </c>
      <c r="F238">
        <f t="shared" si="18"/>
        <v>1</v>
      </c>
    </row>
    <row r="239" spans="1:6">
      <c r="A239" s="1">
        <v>44799</v>
      </c>
      <c r="B239">
        <v>22.9</v>
      </c>
      <c r="C239">
        <v>0</v>
      </c>
      <c r="D239">
        <f t="shared" si="19"/>
        <v>8</v>
      </c>
      <c r="E239">
        <f>IF(AND(D240=staw[[#This Row],[Miesiąc]],F239=1),E238+1,0)</f>
        <v>2</v>
      </c>
      <c r="F239">
        <f t="shared" si="18"/>
        <v>1</v>
      </c>
    </row>
    <row r="240" spans="1:6">
      <c r="A240" s="1">
        <v>44800</v>
      </c>
      <c r="B240">
        <v>22.9</v>
      </c>
      <c r="C240">
        <v>0</v>
      </c>
      <c r="D240">
        <f t="shared" si="19"/>
        <v>8</v>
      </c>
      <c r="E240">
        <f>IF(AND(D241=staw[[#This Row],[Miesiąc]],F240=1),E239+1,0)</f>
        <v>3</v>
      </c>
      <c r="F240">
        <f t="shared" si="18"/>
        <v>1</v>
      </c>
    </row>
    <row r="241" spans="1:6">
      <c r="A241" s="1">
        <v>44801</v>
      </c>
      <c r="B241">
        <v>22.7</v>
      </c>
      <c r="C241">
        <v>0</v>
      </c>
      <c r="D241">
        <f t="shared" si="19"/>
        <v>8</v>
      </c>
      <c r="E241">
        <f>IF(AND(D242=staw[[#This Row],[Miesiąc]],F241=1),E240+1,0)</f>
        <v>4</v>
      </c>
      <c r="F241">
        <f t="shared" si="18"/>
        <v>1</v>
      </c>
    </row>
    <row r="242" spans="1:6">
      <c r="A242" s="1">
        <v>44802</v>
      </c>
      <c r="B242">
        <v>20.6</v>
      </c>
      <c r="C242">
        <v>0</v>
      </c>
      <c r="D242">
        <f t="shared" si="19"/>
        <v>8</v>
      </c>
      <c r="E242">
        <f>IF(AND(D243=staw[[#This Row],[Miesiąc]],F242=1),E241+1,0)</f>
        <v>5</v>
      </c>
      <c r="F242">
        <f t="shared" si="18"/>
        <v>1</v>
      </c>
    </row>
    <row r="243" spans="1:6">
      <c r="A243" s="1">
        <v>44803</v>
      </c>
      <c r="B243">
        <v>18.600000000000001</v>
      </c>
      <c r="C243">
        <v>0</v>
      </c>
      <c r="D243">
        <f t="shared" si="19"/>
        <v>8</v>
      </c>
      <c r="E243">
        <f>IF(AND(D244=staw[[#This Row],[Miesiąc]],F243=1),E242+1,0)</f>
        <v>6</v>
      </c>
      <c r="F243">
        <f t="shared" si="18"/>
        <v>1</v>
      </c>
    </row>
    <row r="244" spans="1:6">
      <c r="A244" s="1">
        <v>44804</v>
      </c>
      <c r="B244">
        <v>16.2</v>
      </c>
      <c r="C244">
        <v>1</v>
      </c>
      <c r="D244">
        <f t="shared" si="19"/>
        <v>8</v>
      </c>
      <c r="E244">
        <f>IF(AND(D245=staw[[#This Row],[Miesiąc]],F244=1),E243+1,0)</f>
        <v>0</v>
      </c>
      <c r="F244">
        <f t="shared" si="18"/>
        <v>0</v>
      </c>
    </row>
    <row r="245" spans="1:6">
      <c r="A245" s="1">
        <v>44805</v>
      </c>
      <c r="B245">
        <v>15.5</v>
      </c>
      <c r="C245">
        <v>0</v>
      </c>
      <c r="D245">
        <f t="shared" si="19"/>
        <v>9</v>
      </c>
      <c r="E245">
        <f>IF(AND(D246=staw[[#This Row],[Miesiąc]],F245=1),E244+1,0)</f>
        <v>1</v>
      </c>
      <c r="F245">
        <f t="shared" si="18"/>
        <v>1</v>
      </c>
    </row>
    <row r="246" spans="1:6">
      <c r="A246" s="1">
        <v>44806</v>
      </c>
      <c r="B246">
        <v>14.4</v>
      </c>
      <c r="C246">
        <v>0</v>
      </c>
      <c r="D246">
        <f t="shared" si="19"/>
        <v>9</v>
      </c>
      <c r="E246">
        <f>IF(AND(D247=staw[[#This Row],[Miesiąc]],F246=1),E245+1,0)</f>
        <v>2</v>
      </c>
      <c r="F246">
        <f t="shared" si="18"/>
        <v>1</v>
      </c>
    </row>
    <row r="247" spans="1:6">
      <c r="A247" s="1">
        <v>44807</v>
      </c>
      <c r="B247">
        <v>14.3</v>
      </c>
      <c r="C247">
        <v>0</v>
      </c>
      <c r="D247">
        <f t="shared" si="19"/>
        <v>9</v>
      </c>
      <c r="E247">
        <f>IF(AND(D248=staw[[#This Row],[Miesiąc]],F247=1),E246+1,0)</f>
        <v>3</v>
      </c>
      <c r="F247">
        <f t="shared" si="18"/>
        <v>1</v>
      </c>
    </row>
    <row r="248" spans="1:6">
      <c r="A248" s="1">
        <v>44808</v>
      </c>
      <c r="B248">
        <v>15.5</v>
      </c>
      <c r="C248">
        <v>0</v>
      </c>
      <c r="D248">
        <f t="shared" si="19"/>
        <v>9</v>
      </c>
      <c r="E248">
        <f>IF(AND(D249=staw[[#This Row],[Miesiąc]],F248=1),E247+1,0)</f>
        <v>4</v>
      </c>
      <c r="F248">
        <f t="shared" si="18"/>
        <v>1</v>
      </c>
    </row>
    <row r="249" spans="1:6">
      <c r="A249" s="1">
        <v>44809</v>
      </c>
      <c r="B249">
        <v>16.5</v>
      </c>
      <c r="C249">
        <v>0</v>
      </c>
      <c r="D249">
        <f t="shared" si="19"/>
        <v>9</v>
      </c>
      <c r="E249">
        <f>IF(AND(D250=staw[[#This Row],[Miesiąc]],F249=1),E248+1,0)</f>
        <v>5</v>
      </c>
      <c r="F249">
        <f t="shared" si="18"/>
        <v>1</v>
      </c>
    </row>
    <row r="250" spans="1:6">
      <c r="A250" s="1">
        <v>44810</v>
      </c>
      <c r="B250">
        <v>15.8</v>
      </c>
      <c r="C250">
        <v>0</v>
      </c>
      <c r="D250">
        <f t="shared" si="19"/>
        <v>9</v>
      </c>
      <c r="E250">
        <f>IF(AND(D251=staw[[#This Row],[Miesiąc]],F250=1),E249+1,0)</f>
        <v>6</v>
      </c>
      <c r="F250">
        <f t="shared" si="18"/>
        <v>1</v>
      </c>
    </row>
    <row r="251" spans="1:6">
      <c r="A251" s="1">
        <v>44811</v>
      </c>
      <c r="B251">
        <v>16.399999999999999</v>
      </c>
      <c r="C251">
        <v>0</v>
      </c>
      <c r="D251">
        <f t="shared" si="19"/>
        <v>9</v>
      </c>
      <c r="E251">
        <f>IF(AND(D252=staw[[#This Row],[Miesiąc]],F251=1),E250+1,0)</f>
        <v>7</v>
      </c>
      <c r="F251">
        <f t="shared" si="18"/>
        <v>1</v>
      </c>
    </row>
    <row r="252" spans="1:6">
      <c r="A252" s="1">
        <v>44812</v>
      </c>
      <c r="B252">
        <v>19.8</v>
      </c>
      <c r="C252">
        <v>0</v>
      </c>
      <c r="D252">
        <f t="shared" si="19"/>
        <v>9</v>
      </c>
      <c r="E252">
        <f>IF(AND(D253=staw[[#This Row],[Miesiąc]],F252=1),E251+1,0)</f>
        <v>8</v>
      </c>
      <c r="F252">
        <f t="shared" si="18"/>
        <v>1</v>
      </c>
    </row>
    <row r="253" spans="1:6">
      <c r="A253" s="1">
        <v>44813</v>
      </c>
      <c r="B253">
        <v>19.399999999999999</v>
      </c>
      <c r="C253">
        <v>0</v>
      </c>
      <c r="D253">
        <f t="shared" si="19"/>
        <v>9</v>
      </c>
      <c r="E253">
        <f>IF(AND(D254=staw[[#This Row],[Miesiąc]],F253=1),E252+1,0)</f>
        <v>9</v>
      </c>
      <c r="F253">
        <f t="shared" si="18"/>
        <v>1</v>
      </c>
    </row>
    <row r="254" spans="1:6">
      <c r="A254" s="1">
        <v>44814</v>
      </c>
      <c r="B254">
        <v>15.3</v>
      </c>
      <c r="C254">
        <v>0</v>
      </c>
      <c r="D254">
        <f t="shared" si="19"/>
        <v>9</v>
      </c>
      <c r="E254">
        <f>IF(AND(D255=staw[[#This Row],[Miesiąc]],F254=1),E253+1,0)</f>
        <v>10</v>
      </c>
      <c r="F254">
        <f t="shared" si="18"/>
        <v>1</v>
      </c>
    </row>
    <row r="255" spans="1:6">
      <c r="A255" s="1">
        <v>44815</v>
      </c>
      <c r="B255">
        <v>14.3</v>
      </c>
      <c r="C255">
        <v>0</v>
      </c>
      <c r="D255">
        <f t="shared" si="19"/>
        <v>9</v>
      </c>
      <c r="E255">
        <f>IF(AND(D256=staw[[#This Row],[Miesiąc]],F255=1),E254+1,0)</f>
        <v>11</v>
      </c>
      <c r="F255">
        <f t="shared" si="18"/>
        <v>1</v>
      </c>
    </row>
    <row r="256" spans="1:6">
      <c r="A256" s="1">
        <v>44816</v>
      </c>
      <c r="B256">
        <v>12.2</v>
      </c>
      <c r="C256">
        <v>0</v>
      </c>
      <c r="D256">
        <f t="shared" si="19"/>
        <v>9</v>
      </c>
      <c r="E256">
        <f>IF(AND(D257=staw[[#This Row],[Miesiąc]],F256=1),E255+1,0)</f>
        <v>12</v>
      </c>
      <c r="F256">
        <f t="shared" si="18"/>
        <v>1</v>
      </c>
    </row>
    <row r="257" spans="1:6">
      <c r="A257" s="1">
        <v>44817</v>
      </c>
      <c r="B257">
        <v>14.7</v>
      </c>
      <c r="C257">
        <v>0</v>
      </c>
      <c r="D257">
        <f t="shared" si="19"/>
        <v>9</v>
      </c>
      <c r="E257">
        <f>IF(AND(D258=staw[[#This Row],[Miesiąc]],F257=1),E256+1,0)</f>
        <v>13</v>
      </c>
      <c r="F257">
        <f t="shared" si="18"/>
        <v>1</v>
      </c>
    </row>
    <row r="258" spans="1:6">
      <c r="A258" s="1">
        <v>44818</v>
      </c>
      <c r="B258">
        <v>18.399999999999999</v>
      </c>
      <c r="C258">
        <v>0</v>
      </c>
      <c r="D258">
        <f t="shared" si="19"/>
        <v>9</v>
      </c>
      <c r="E258">
        <f>IF(AND(D259=staw[[#This Row],[Miesiąc]],F258=1),E257+1,0)</f>
        <v>14</v>
      </c>
      <c r="F258">
        <f t="shared" ref="F258:F321" si="20">IF(C258=0,1,0)</f>
        <v>1</v>
      </c>
    </row>
    <row r="259" spans="1:6">
      <c r="A259" s="1">
        <v>44819</v>
      </c>
      <c r="B259">
        <v>16.600000000000001</v>
      </c>
      <c r="C259">
        <v>6</v>
      </c>
      <c r="D259">
        <f t="shared" ref="D259:D322" si="21">MONTH(A259)</f>
        <v>9</v>
      </c>
      <c r="E259">
        <f>IF(AND(D260=staw[[#This Row],[Miesiąc]],F259=1),E258+1,0)</f>
        <v>0</v>
      </c>
      <c r="F259">
        <f t="shared" si="20"/>
        <v>0</v>
      </c>
    </row>
    <row r="260" spans="1:6">
      <c r="A260" s="1">
        <v>44820</v>
      </c>
      <c r="B260">
        <v>14.5</v>
      </c>
      <c r="C260">
        <v>0</v>
      </c>
      <c r="D260">
        <f t="shared" si="21"/>
        <v>9</v>
      </c>
      <c r="E260">
        <f>IF(AND(D261=staw[[#This Row],[Miesiąc]],F260=1),E259+1,0)</f>
        <v>1</v>
      </c>
      <c r="F260">
        <f t="shared" si="20"/>
        <v>1</v>
      </c>
    </row>
    <row r="261" spans="1:6">
      <c r="A261" s="1">
        <v>44821</v>
      </c>
      <c r="B261">
        <v>12.6</v>
      </c>
      <c r="C261">
        <v>0</v>
      </c>
      <c r="D261">
        <f t="shared" si="21"/>
        <v>9</v>
      </c>
      <c r="E261">
        <f>IF(AND(D262=staw[[#This Row],[Miesiąc]],F261=1),E260+1,0)</f>
        <v>2</v>
      </c>
      <c r="F261">
        <f t="shared" si="20"/>
        <v>1</v>
      </c>
    </row>
    <row r="262" spans="1:6">
      <c r="A262" s="1">
        <v>44822</v>
      </c>
      <c r="B262">
        <v>10.3</v>
      </c>
      <c r="C262">
        <v>8</v>
      </c>
      <c r="D262">
        <f t="shared" si="21"/>
        <v>9</v>
      </c>
      <c r="E262">
        <f>IF(AND(D263=staw[[#This Row],[Miesiąc]],F262=1),E261+1,0)</f>
        <v>0</v>
      </c>
      <c r="F262">
        <f t="shared" si="20"/>
        <v>0</v>
      </c>
    </row>
    <row r="263" spans="1:6">
      <c r="A263" s="1">
        <v>44823</v>
      </c>
      <c r="B263">
        <v>9.3000000000000007</v>
      </c>
      <c r="C263">
        <v>6</v>
      </c>
      <c r="D263">
        <f t="shared" si="21"/>
        <v>9</v>
      </c>
      <c r="E263">
        <f>IF(AND(D264=staw[[#This Row],[Miesiąc]],F263=1),E262+1,0)</f>
        <v>0</v>
      </c>
      <c r="F263">
        <f t="shared" si="20"/>
        <v>0</v>
      </c>
    </row>
    <row r="264" spans="1:6">
      <c r="A264" s="1">
        <v>44824</v>
      </c>
      <c r="B264">
        <v>10.3</v>
      </c>
      <c r="C264">
        <v>6</v>
      </c>
      <c r="D264">
        <f t="shared" si="21"/>
        <v>9</v>
      </c>
      <c r="E264">
        <f>IF(AND(D265=staw[[#This Row],[Miesiąc]],F264=1),E263+1,0)</f>
        <v>0</v>
      </c>
      <c r="F264">
        <f t="shared" si="20"/>
        <v>0</v>
      </c>
    </row>
    <row r="265" spans="1:6">
      <c r="A265" s="1">
        <v>44825</v>
      </c>
      <c r="B265">
        <v>10.3</v>
      </c>
      <c r="C265">
        <v>0</v>
      </c>
      <c r="D265">
        <f t="shared" si="21"/>
        <v>9</v>
      </c>
      <c r="E265">
        <f>IF(AND(D266=staw[[#This Row],[Miesiąc]],F265=1),E264+1,0)</f>
        <v>1</v>
      </c>
      <c r="F265">
        <f t="shared" si="20"/>
        <v>1</v>
      </c>
    </row>
    <row r="266" spans="1:6">
      <c r="A266" s="1">
        <v>44826</v>
      </c>
      <c r="B266">
        <v>10.1</v>
      </c>
      <c r="C266">
        <v>2</v>
      </c>
      <c r="D266">
        <f t="shared" si="21"/>
        <v>9</v>
      </c>
      <c r="E266">
        <f>IF(AND(D267=staw[[#This Row],[Miesiąc]],F266=1),E265+1,0)</f>
        <v>0</v>
      </c>
      <c r="F266">
        <f t="shared" si="20"/>
        <v>0</v>
      </c>
    </row>
    <row r="267" spans="1:6">
      <c r="A267" s="1">
        <v>44827</v>
      </c>
      <c r="B267">
        <v>10.5</v>
      </c>
      <c r="C267">
        <v>0</v>
      </c>
      <c r="D267">
        <f t="shared" si="21"/>
        <v>9</v>
      </c>
      <c r="E267">
        <f>IF(AND(D268=staw[[#This Row],[Miesiąc]],F267=1),E266+1,0)</f>
        <v>1</v>
      </c>
      <c r="F267">
        <f t="shared" si="20"/>
        <v>1</v>
      </c>
    </row>
    <row r="268" spans="1:6">
      <c r="A268" s="1">
        <v>44828</v>
      </c>
      <c r="B268">
        <v>10.4</v>
      </c>
      <c r="C268">
        <v>0</v>
      </c>
      <c r="D268">
        <f t="shared" si="21"/>
        <v>9</v>
      </c>
      <c r="E268">
        <f>IF(AND(D269=staw[[#This Row],[Miesiąc]],F268=1),E267+1,0)</f>
        <v>2</v>
      </c>
      <c r="F268">
        <f t="shared" si="20"/>
        <v>1</v>
      </c>
    </row>
    <row r="269" spans="1:6">
      <c r="A269" s="1">
        <v>44829</v>
      </c>
      <c r="B269">
        <v>12.4</v>
      </c>
      <c r="C269">
        <v>0</v>
      </c>
      <c r="D269">
        <f t="shared" si="21"/>
        <v>9</v>
      </c>
      <c r="E269">
        <f>IF(AND(D270=staw[[#This Row],[Miesiąc]],F269=1),E268+1,0)</f>
        <v>3</v>
      </c>
      <c r="F269">
        <f t="shared" si="20"/>
        <v>1</v>
      </c>
    </row>
    <row r="270" spans="1:6">
      <c r="A270" s="1">
        <v>44830</v>
      </c>
      <c r="B270">
        <v>12</v>
      </c>
      <c r="C270">
        <v>3</v>
      </c>
      <c r="D270">
        <f t="shared" si="21"/>
        <v>9</v>
      </c>
      <c r="E270">
        <f>IF(AND(D271=staw[[#This Row],[Miesiąc]],F270=1),E269+1,0)</f>
        <v>0</v>
      </c>
      <c r="F270">
        <f t="shared" si="20"/>
        <v>0</v>
      </c>
    </row>
    <row r="271" spans="1:6">
      <c r="A271" s="1">
        <v>44831</v>
      </c>
      <c r="B271">
        <v>12.2</v>
      </c>
      <c r="C271">
        <v>2</v>
      </c>
      <c r="D271">
        <f t="shared" si="21"/>
        <v>9</v>
      </c>
      <c r="E271">
        <f>IF(AND(D272=staw[[#This Row],[Miesiąc]],F271=1),E270+1,0)</f>
        <v>0</v>
      </c>
      <c r="F271">
        <f t="shared" si="20"/>
        <v>0</v>
      </c>
    </row>
    <row r="272" spans="1:6">
      <c r="A272" s="1">
        <v>44832</v>
      </c>
      <c r="B272">
        <v>13.3</v>
      </c>
      <c r="C272">
        <v>0</v>
      </c>
      <c r="D272">
        <f t="shared" si="21"/>
        <v>9</v>
      </c>
      <c r="E272">
        <f>IF(AND(D273=staw[[#This Row],[Miesiąc]],F272=1),E271+1,0)</f>
        <v>1</v>
      </c>
      <c r="F272">
        <f t="shared" si="20"/>
        <v>1</v>
      </c>
    </row>
    <row r="273" spans="1:6">
      <c r="A273" s="1">
        <v>44833</v>
      </c>
      <c r="B273">
        <v>11</v>
      </c>
      <c r="C273">
        <v>6</v>
      </c>
      <c r="D273">
        <f t="shared" si="21"/>
        <v>9</v>
      </c>
      <c r="E273">
        <f>IF(AND(D274=staw[[#This Row],[Miesiąc]],F273=1),E272+1,0)</f>
        <v>0</v>
      </c>
      <c r="F273">
        <f t="shared" si="20"/>
        <v>0</v>
      </c>
    </row>
    <row r="274" spans="1:6">
      <c r="A274" s="1">
        <v>44834</v>
      </c>
      <c r="B274">
        <v>11.8</v>
      </c>
      <c r="C274">
        <v>10</v>
      </c>
      <c r="D274">
        <f t="shared" si="21"/>
        <v>9</v>
      </c>
      <c r="E274">
        <f>IF(AND(D275=staw[[#This Row],[Miesiąc]],F274=1),E273+1,0)</f>
        <v>0</v>
      </c>
      <c r="F274">
        <f t="shared" si="20"/>
        <v>0</v>
      </c>
    </row>
    <row r="275" spans="1:6">
      <c r="A275" s="1">
        <v>44835</v>
      </c>
      <c r="B275">
        <v>13</v>
      </c>
      <c r="C275">
        <v>4</v>
      </c>
      <c r="D275">
        <f t="shared" si="21"/>
        <v>10</v>
      </c>
      <c r="E275">
        <f>IF(AND(D276=staw[[#This Row],[Miesiąc]],F275=1),E274+1,0)</f>
        <v>0</v>
      </c>
      <c r="F275">
        <f t="shared" si="20"/>
        <v>0</v>
      </c>
    </row>
    <row r="276" spans="1:6">
      <c r="A276" s="1">
        <v>44836</v>
      </c>
      <c r="B276">
        <v>12.1</v>
      </c>
      <c r="C276">
        <v>8</v>
      </c>
      <c r="D276">
        <f t="shared" si="21"/>
        <v>10</v>
      </c>
      <c r="E276">
        <f>IF(AND(D277=staw[[#This Row],[Miesiąc]],F276=1),E275+1,0)</f>
        <v>0</v>
      </c>
      <c r="F276">
        <f t="shared" si="20"/>
        <v>0</v>
      </c>
    </row>
    <row r="277" spans="1:6">
      <c r="A277" s="1">
        <v>44837</v>
      </c>
      <c r="B277">
        <v>10.4</v>
      </c>
      <c r="C277">
        <v>2</v>
      </c>
      <c r="D277">
        <f t="shared" si="21"/>
        <v>10</v>
      </c>
      <c r="E277">
        <f>IF(AND(D278=staw[[#This Row],[Miesiąc]],F277=1),E276+1,0)</f>
        <v>0</v>
      </c>
      <c r="F277">
        <f t="shared" si="20"/>
        <v>0</v>
      </c>
    </row>
    <row r="278" spans="1:6">
      <c r="A278" s="1">
        <v>44838</v>
      </c>
      <c r="B278">
        <v>10.5</v>
      </c>
      <c r="C278">
        <v>0</v>
      </c>
      <c r="D278">
        <f t="shared" si="21"/>
        <v>10</v>
      </c>
      <c r="E278">
        <f>IF(AND(D279=staw[[#This Row],[Miesiąc]],F278=1),E277+1,0)</f>
        <v>1</v>
      </c>
      <c r="F278">
        <f t="shared" si="20"/>
        <v>1</v>
      </c>
    </row>
    <row r="279" spans="1:6">
      <c r="A279" s="1">
        <v>44839</v>
      </c>
      <c r="B279">
        <v>11.5</v>
      </c>
      <c r="C279">
        <v>0</v>
      </c>
      <c r="D279">
        <f t="shared" si="21"/>
        <v>10</v>
      </c>
      <c r="E279">
        <f>IF(AND(D280=staw[[#This Row],[Miesiąc]],F279=1),E278+1,0)</f>
        <v>2</v>
      </c>
      <c r="F279">
        <f t="shared" si="20"/>
        <v>1</v>
      </c>
    </row>
    <row r="280" spans="1:6">
      <c r="A280" s="1">
        <v>44840</v>
      </c>
      <c r="B280">
        <v>15.4</v>
      </c>
      <c r="C280">
        <v>0</v>
      </c>
      <c r="D280">
        <f t="shared" si="21"/>
        <v>10</v>
      </c>
      <c r="E280">
        <f>IF(AND(D281=staw[[#This Row],[Miesiąc]],F280=1),E279+1,0)</f>
        <v>3</v>
      </c>
      <c r="F280">
        <f t="shared" si="20"/>
        <v>1</v>
      </c>
    </row>
    <row r="281" spans="1:6">
      <c r="A281" s="1">
        <v>44841</v>
      </c>
      <c r="B281">
        <v>15.1</v>
      </c>
      <c r="C281">
        <v>0</v>
      </c>
      <c r="D281">
        <f t="shared" si="21"/>
        <v>10</v>
      </c>
      <c r="E281">
        <f>IF(AND(D282=staw[[#This Row],[Miesiąc]],F281=1),E280+1,0)</f>
        <v>4</v>
      </c>
      <c r="F281">
        <f t="shared" si="20"/>
        <v>1</v>
      </c>
    </row>
    <row r="282" spans="1:6">
      <c r="A282" s="1">
        <v>44842</v>
      </c>
      <c r="B282">
        <v>15.3</v>
      </c>
      <c r="C282">
        <v>0</v>
      </c>
      <c r="D282">
        <f t="shared" si="21"/>
        <v>10</v>
      </c>
      <c r="E282">
        <f>IF(AND(D283=staw[[#This Row],[Miesiąc]],F282=1),E281+1,0)</f>
        <v>5</v>
      </c>
      <c r="F282">
        <f t="shared" si="20"/>
        <v>1</v>
      </c>
    </row>
    <row r="283" spans="1:6">
      <c r="A283" s="1">
        <v>44843</v>
      </c>
      <c r="B283">
        <v>11.9</v>
      </c>
      <c r="C283">
        <v>0</v>
      </c>
      <c r="D283">
        <f t="shared" si="21"/>
        <v>10</v>
      </c>
      <c r="E283">
        <f>IF(AND(D284=staw[[#This Row],[Miesiąc]],F283=1),E282+1,0)</f>
        <v>6</v>
      </c>
      <c r="F283">
        <f t="shared" si="20"/>
        <v>1</v>
      </c>
    </row>
    <row r="284" spans="1:6">
      <c r="A284" s="1">
        <v>44844</v>
      </c>
      <c r="B284">
        <v>10.199999999999999</v>
      </c>
      <c r="C284">
        <v>0</v>
      </c>
      <c r="D284">
        <f t="shared" si="21"/>
        <v>10</v>
      </c>
      <c r="E284">
        <f>IF(AND(D285=staw[[#This Row],[Miesiąc]],F284=1),E283+1,0)</f>
        <v>7</v>
      </c>
      <c r="F284">
        <f t="shared" si="20"/>
        <v>1</v>
      </c>
    </row>
    <row r="285" spans="1:6">
      <c r="A285" s="1">
        <v>44845</v>
      </c>
      <c r="B285">
        <v>10.5</v>
      </c>
      <c r="C285">
        <v>0</v>
      </c>
      <c r="D285">
        <f t="shared" si="21"/>
        <v>10</v>
      </c>
      <c r="E285">
        <f>IF(AND(D286=staw[[#This Row],[Miesiąc]],F285=1),E284+1,0)</f>
        <v>8</v>
      </c>
      <c r="F285">
        <f t="shared" si="20"/>
        <v>1</v>
      </c>
    </row>
    <row r="286" spans="1:6">
      <c r="A286" s="1">
        <v>44846</v>
      </c>
      <c r="B286">
        <v>7.5</v>
      </c>
      <c r="C286">
        <v>0</v>
      </c>
      <c r="D286">
        <f t="shared" si="21"/>
        <v>10</v>
      </c>
      <c r="E286">
        <f>IF(AND(D287=staw[[#This Row],[Miesiąc]],F286=1),E285+1,0)</f>
        <v>9</v>
      </c>
      <c r="F286">
        <f t="shared" si="20"/>
        <v>1</v>
      </c>
    </row>
    <row r="287" spans="1:6">
      <c r="A287" s="1">
        <v>44847</v>
      </c>
      <c r="B287">
        <v>8.1999999999999993</v>
      </c>
      <c r="C287">
        <v>0</v>
      </c>
      <c r="D287">
        <f t="shared" si="21"/>
        <v>10</v>
      </c>
      <c r="E287">
        <f>IF(AND(D288=staw[[#This Row],[Miesiąc]],F287=1),E286+1,0)</f>
        <v>10</v>
      </c>
      <c r="F287">
        <f t="shared" si="20"/>
        <v>1</v>
      </c>
    </row>
    <row r="288" spans="1:6">
      <c r="A288" s="1">
        <v>44848</v>
      </c>
      <c r="B288">
        <v>11.6</v>
      </c>
      <c r="C288">
        <v>0</v>
      </c>
      <c r="D288">
        <f t="shared" si="21"/>
        <v>10</v>
      </c>
      <c r="E288">
        <f>IF(AND(D289=staw[[#This Row],[Miesiąc]],F288=1),E287+1,0)</f>
        <v>11</v>
      </c>
      <c r="F288">
        <f t="shared" si="20"/>
        <v>1</v>
      </c>
    </row>
    <row r="289" spans="1:6">
      <c r="A289" s="1">
        <v>44849</v>
      </c>
      <c r="B289">
        <v>14.9</v>
      </c>
      <c r="C289">
        <v>0</v>
      </c>
      <c r="D289">
        <f t="shared" si="21"/>
        <v>10</v>
      </c>
      <c r="E289">
        <f>IF(AND(D290=staw[[#This Row],[Miesiąc]],F289=1),E288+1,0)</f>
        <v>12</v>
      </c>
      <c r="F289">
        <f t="shared" si="20"/>
        <v>1</v>
      </c>
    </row>
    <row r="290" spans="1:6">
      <c r="A290" s="1">
        <v>44850</v>
      </c>
      <c r="B290">
        <v>16.100000000000001</v>
      </c>
      <c r="C290">
        <v>0</v>
      </c>
      <c r="D290">
        <f t="shared" si="21"/>
        <v>10</v>
      </c>
      <c r="E290">
        <f>IF(AND(D291=staw[[#This Row],[Miesiąc]],F290=1),E289+1,0)</f>
        <v>13</v>
      </c>
      <c r="F290">
        <f t="shared" si="20"/>
        <v>1</v>
      </c>
    </row>
    <row r="291" spans="1:6">
      <c r="A291" s="1">
        <v>44851</v>
      </c>
      <c r="B291">
        <v>16.600000000000001</v>
      </c>
      <c r="C291">
        <v>0</v>
      </c>
      <c r="D291">
        <f t="shared" si="21"/>
        <v>10</v>
      </c>
      <c r="E291">
        <f>IF(AND(D292=staw[[#This Row],[Miesiąc]],F291=1),E290+1,0)</f>
        <v>14</v>
      </c>
      <c r="F291">
        <f t="shared" si="20"/>
        <v>1</v>
      </c>
    </row>
    <row r="292" spans="1:6">
      <c r="A292" s="1">
        <v>44852</v>
      </c>
      <c r="B292">
        <v>16.8</v>
      </c>
      <c r="C292">
        <v>0</v>
      </c>
      <c r="D292">
        <f t="shared" si="21"/>
        <v>10</v>
      </c>
      <c r="E292">
        <f>IF(AND(D293=staw[[#This Row],[Miesiąc]],F292=1),E291+1,0)</f>
        <v>15</v>
      </c>
      <c r="F292">
        <f t="shared" si="20"/>
        <v>1</v>
      </c>
    </row>
    <row r="293" spans="1:6">
      <c r="A293" s="1">
        <v>44853</v>
      </c>
      <c r="B293">
        <v>11.6</v>
      </c>
      <c r="C293">
        <v>2</v>
      </c>
      <c r="D293">
        <f t="shared" si="21"/>
        <v>10</v>
      </c>
      <c r="E293">
        <f>IF(AND(D294=staw[[#This Row],[Miesiąc]],F293=1),E292+1,0)</f>
        <v>0</v>
      </c>
      <c r="F293">
        <f t="shared" si="20"/>
        <v>0</v>
      </c>
    </row>
    <row r="294" spans="1:6">
      <c r="A294" s="1">
        <v>44854</v>
      </c>
      <c r="B294">
        <v>5.5</v>
      </c>
      <c r="C294">
        <v>0</v>
      </c>
      <c r="D294">
        <f t="shared" si="21"/>
        <v>10</v>
      </c>
      <c r="E294">
        <f>IF(AND(D295=staw[[#This Row],[Miesiąc]],F294=1),E293+1,0)</f>
        <v>1</v>
      </c>
      <c r="F294">
        <f t="shared" si="20"/>
        <v>1</v>
      </c>
    </row>
    <row r="295" spans="1:6">
      <c r="A295" s="1">
        <v>44855</v>
      </c>
      <c r="B295">
        <v>7.5</v>
      </c>
      <c r="C295">
        <v>0</v>
      </c>
      <c r="D295">
        <f t="shared" si="21"/>
        <v>10</v>
      </c>
      <c r="E295">
        <f>IF(AND(D296=staw[[#This Row],[Miesiąc]],F295=1),E294+1,0)</f>
        <v>2</v>
      </c>
      <c r="F295">
        <f t="shared" si="20"/>
        <v>1</v>
      </c>
    </row>
    <row r="296" spans="1:6">
      <c r="A296" s="1">
        <v>44856</v>
      </c>
      <c r="B296">
        <v>11.4</v>
      </c>
      <c r="C296">
        <v>0</v>
      </c>
      <c r="D296">
        <f t="shared" si="21"/>
        <v>10</v>
      </c>
      <c r="E296">
        <f>IF(AND(D297=staw[[#This Row],[Miesiąc]],F296=1),E295+1,0)</f>
        <v>3</v>
      </c>
      <c r="F296">
        <f t="shared" si="20"/>
        <v>1</v>
      </c>
    </row>
    <row r="297" spans="1:6">
      <c r="A297" s="1">
        <v>44857</v>
      </c>
      <c r="B297">
        <v>14.2</v>
      </c>
      <c r="C297">
        <v>0</v>
      </c>
      <c r="D297">
        <f t="shared" si="21"/>
        <v>10</v>
      </c>
      <c r="E297">
        <f>IF(AND(D298=staw[[#This Row],[Miesiąc]],F297=1),E296+1,0)</f>
        <v>4</v>
      </c>
      <c r="F297">
        <f t="shared" si="20"/>
        <v>1</v>
      </c>
    </row>
    <row r="298" spans="1:6">
      <c r="A298" s="1">
        <v>44858</v>
      </c>
      <c r="B298">
        <v>14.5</v>
      </c>
      <c r="C298">
        <v>0</v>
      </c>
      <c r="D298">
        <f t="shared" si="21"/>
        <v>10</v>
      </c>
      <c r="E298">
        <f>IF(AND(D299=staw[[#This Row],[Miesiąc]],F298=1),E297+1,0)</f>
        <v>5</v>
      </c>
      <c r="F298">
        <f t="shared" si="20"/>
        <v>1</v>
      </c>
    </row>
    <row r="299" spans="1:6">
      <c r="A299" s="1">
        <v>44859</v>
      </c>
      <c r="B299">
        <v>14.3</v>
      </c>
      <c r="C299">
        <v>12</v>
      </c>
      <c r="D299">
        <f t="shared" si="21"/>
        <v>10</v>
      </c>
      <c r="E299">
        <f>IF(AND(D300=staw[[#This Row],[Miesiąc]],F299=1),E298+1,0)</f>
        <v>0</v>
      </c>
      <c r="F299">
        <f t="shared" si="20"/>
        <v>0</v>
      </c>
    </row>
    <row r="300" spans="1:6">
      <c r="A300" s="1">
        <v>44860</v>
      </c>
      <c r="B300">
        <v>13.6</v>
      </c>
      <c r="C300">
        <v>0</v>
      </c>
      <c r="D300">
        <f t="shared" si="21"/>
        <v>10</v>
      </c>
      <c r="E300">
        <f>IF(AND(D301=staw[[#This Row],[Miesiąc]],F300=1),E299+1,0)</f>
        <v>1</v>
      </c>
      <c r="F300">
        <f t="shared" si="20"/>
        <v>1</v>
      </c>
    </row>
    <row r="301" spans="1:6">
      <c r="A301" s="1">
        <v>44861</v>
      </c>
      <c r="B301">
        <v>12</v>
      </c>
      <c r="C301">
        <v>0</v>
      </c>
      <c r="D301">
        <f t="shared" si="21"/>
        <v>10</v>
      </c>
      <c r="E301">
        <f>IF(AND(D302=staw[[#This Row],[Miesiąc]],F301=1),E300+1,0)</f>
        <v>2</v>
      </c>
      <c r="F301">
        <f t="shared" si="20"/>
        <v>1</v>
      </c>
    </row>
    <row r="302" spans="1:6">
      <c r="A302" s="1">
        <v>44862</v>
      </c>
      <c r="B302">
        <v>13.1</v>
      </c>
      <c r="C302">
        <v>0</v>
      </c>
      <c r="D302">
        <f t="shared" si="21"/>
        <v>10</v>
      </c>
      <c r="E302">
        <f>IF(AND(D303=staw[[#This Row],[Miesiąc]],F302=1),E301+1,0)</f>
        <v>3</v>
      </c>
      <c r="F302">
        <f t="shared" si="20"/>
        <v>1</v>
      </c>
    </row>
    <row r="303" spans="1:6">
      <c r="A303" s="1">
        <v>44863</v>
      </c>
      <c r="B303">
        <v>14.3</v>
      </c>
      <c r="C303">
        <v>0</v>
      </c>
      <c r="D303">
        <f t="shared" si="21"/>
        <v>10</v>
      </c>
      <c r="E303">
        <f>IF(AND(D304=staw[[#This Row],[Miesiąc]],F303=1),E302+1,0)</f>
        <v>4</v>
      </c>
      <c r="F303">
        <f t="shared" si="20"/>
        <v>1</v>
      </c>
    </row>
    <row r="304" spans="1:6">
      <c r="A304" s="1">
        <v>44864</v>
      </c>
      <c r="B304">
        <v>13.8</v>
      </c>
      <c r="C304">
        <v>0</v>
      </c>
      <c r="D304">
        <f t="shared" si="21"/>
        <v>10</v>
      </c>
      <c r="E304">
        <f>IF(AND(D305=staw[[#This Row],[Miesiąc]],F304=1),E303+1,0)</f>
        <v>5</v>
      </c>
      <c r="F304">
        <f t="shared" si="20"/>
        <v>1</v>
      </c>
    </row>
    <row r="305" spans="1:6">
      <c r="A305" s="1">
        <v>44865</v>
      </c>
      <c r="B305">
        <v>13.4</v>
      </c>
      <c r="C305">
        <v>0</v>
      </c>
      <c r="D305">
        <f t="shared" si="21"/>
        <v>10</v>
      </c>
      <c r="E305">
        <f>IF(AND(D306=staw[[#This Row],[Miesiąc]],F305=1),E304+1,0)</f>
        <v>0</v>
      </c>
      <c r="F305">
        <f t="shared" si="20"/>
        <v>1</v>
      </c>
    </row>
    <row r="306" spans="1:6">
      <c r="A306" s="1">
        <v>44866</v>
      </c>
      <c r="B306">
        <v>11.4</v>
      </c>
      <c r="C306">
        <v>0</v>
      </c>
      <c r="D306">
        <f t="shared" si="21"/>
        <v>11</v>
      </c>
      <c r="E306">
        <f>IF(AND(D307=staw[[#This Row],[Miesiąc]],F306=1),E305+1,0)</f>
        <v>1</v>
      </c>
      <c r="F306">
        <f t="shared" si="20"/>
        <v>1</v>
      </c>
    </row>
    <row r="307" spans="1:6">
      <c r="A307" s="1">
        <v>44867</v>
      </c>
      <c r="B307">
        <v>13.2</v>
      </c>
      <c r="C307">
        <v>0</v>
      </c>
      <c r="D307">
        <f t="shared" si="21"/>
        <v>11</v>
      </c>
      <c r="E307">
        <f>IF(AND(D308=staw[[#This Row],[Miesiąc]],F307=1),E306+1,0)</f>
        <v>2</v>
      </c>
      <c r="F307">
        <f t="shared" si="20"/>
        <v>1</v>
      </c>
    </row>
    <row r="308" spans="1:6">
      <c r="A308" s="1">
        <v>44868</v>
      </c>
      <c r="B308">
        <v>11</v>
      </c>
      <c r="C308">
        <v>0</v>
      </c>
      <c r="D308">
        <f t="shared" si="21"/>
        <v>11</v>
      </c>
      <c r="E308">
        <f>IF(AND(D309=staw[[#This Row],[Miesiąc]],F308=1),E307+1,0)</f>
        <v>3</v>
      </c>
      <c r="F308">
        <f t="shared" si="20"/>
        <v>1</v>
      </c>
    </row>
    <row r="309" spans="1:6">
      <c r="A309" s="1">
        <v>44869</v>
      </c>
      <c r="B309">
        <v>12.4</v>
      </c>
      <c r="C309">
        <v>0</v>
      </c>
      <c r="D309">
        <f t="shared" si="21"/>
        <v>11</v>
      </c>
      <c r="E309">
        <f>IF(AND(D310=staw[[#This Row],[Miesiąc]],F309=1),E308+1,0)</f>
        <v>4</v>
      </c>
      <c r="F309">
        <f t="shared" si="20"/>
        <v>1</v>
      </c>
    </row>
    <row r="310" spans="1:6">
      <c r="A310" s="1">
        <v>44870</v>
      </c>
      <c r="B310">
        <v>9.8000000000000007</v>
      </c>
      <c r="C310">
        <v>9</v>
      </c>
      <c r="D310">
        <f t="shared" si="21"/>
        <v>11</v>
      </c>
      <c r="E310">
        <f>IF(AND(D311=staw[[#This Row],[Miesiąc]],F310=1),E309+1,0)</f>
        <v>0</v>
      </c>
      <c r="F310">
        <f t="shared" si="20"/>
        <v>0</v>
      </c>
    </row>
    <row r="311" spans="1:6">
      <c r="A311" s="1">
        <v>44871</v>
      </c>
      <c r="B311">
        <v>8.6</v>
      </c>
      <c r="C311">
        <v>0</v>
      </c>
      <c r="D311">
        <f t="shared" si="21"/>
        <v>11</v>
      </c>
      <c r="E311">
        <f>IF(AND(D312=staw[[#This Row],[Miesiąc]],F311=1),E310+1,0)</f>
        <v>1</v>
      </c>
      <c r="F311">
        <f t="shared" si="20"/>
        <v>1</v>
      </c>
    </row>
    <row r="312" spans="1:6">
      <c r="A312" s="1">
        <v>44872</v>
      </c>
      <c r="B312">
        <v>9.3000000000000007</v>
      </c>
      <c r="C312">
        <v>0</v>
      </c>
      <c r="D312">
        <f t="shared" si="21"/>
        <v>11</v>
      </c>
      <c r="E312">
        <f>IF(AND(D313=staw[[#This Row],[Miesiąc]],F312=1),E311+1,0)</f>
        <v>2</v>
      </c>
      <c r="F312">
        <f t="shared" si="20"/>
        <v>1</v>
      </c>
    </row>
    <row r="313" spans="1:6">
      <c r="A313" s="1">
        <v>44873</v>
      </c>
      <c r="B313">
        <v>9.3000000000000007</v>
      </c>
      <c r="C313">
        <v>0</v>
      </c>
      <c r="D313">
        <f t="shared" si="21"/>
        <v>11</v>
      </c>
      <c r="E313">
        <f>IF(AND(D314=staw[[#This Row],[Miesiąc]],F313=1),E312+1,0)</f>
        <v>3</v>
      </c>
      <c r="F313">
        <f t="shared" si="20"/>
        <v>1</v>
      </c>
    </row>
    <row r="314" spans="1:6">
      <c r="A314" s="1">
        <v>44874</v>
      </c>
      <c r="B314">
        <v>10</v>
      </c>
      <c r="C314">
        <v>0</v>
      </c>
      <c r="D314">
        <f t="shared" si="21"/>
        <v>11</v>
      </c>
      <c r="E314">
        <f>IF(AND(D315=staw[[#This Row],[Miesiąc]],F314=1),E313+1,0)</f>
        <v>4</v>
      </c>
      <c r="F314">
        <f t="shared" si="20"/>
        <v>1</v>
      </c>
    </row>
    <row r="315" spans="1:6">
      <c r="A315" s="1">
        <v>44875</v>
      </c>
      <c r="B315">
        <v>7.7</v>
      </c>
      <c r="C315">
        <v>0</v>
      </c>
      <c r="D315">
        <f t="shared" si="21"/>
        <v>11</v>
      </c>
      <c r="E315">
        <f>IF(AND(D316=staw[[#This Row],[Miesiąc]],F315=1),E314+1,0)</f>
        <v>5</v>
      </c>
      <c r="F315">
        <f t="shared" si="20"/>
        <v>1</v>
      </c>
    </row>
    <row r="316" spans="1:6">
      <c r="A316" s="1">
        <v>44876</v>
      </c>
      <c r="B316">
        <v>9.8000000000000007</v>
      </c>
      <c r="C316">
        <v>0</v>
      </c>
      <c r="D316">
        <f t="shared" si="21"/>
        <v>11</v>
      </c>
      <c r="E316">
        <f>IF(AND(D317=staw[[#This Row],[Miesiąc]],F316=1),E315+1,0)</f>
        <v>6</v>
      </c>
      <c r="F316">
        <f t="shared" si="20"/>
        <v>1</v>
      </c>
    </row>
    <row r="317" spans="1:6">
      <c r="A317" s="1">
        <v>44877</v>
      </c>
      <c r="B317">
        <v>9.1</v>
      </c>
      <c r="C317">
        <v>0</v>
      </c>
      <c r="D317">
        <f t="shared" si="21"/>
        <v>11</v>
      </c>
      <c r="E317">
        <f>IF(AND(D318=staw[[#This Row],[Miesiąc]],F317=1),E316+1,0)</f>
        <v>7</v>
      </c>
      <c r="F317">
        <f t="shared" si="20"/>
        <v>1</v>
      </c>
    </row>
    <row r="318" spans="1:6">
      <c r="A318" s="1">
        <v>44878</v>
      </c>
      <c r="B318">
        <v>6.4</v>
      </c>
      <c r="C318">
        <v>0</v>
      </c>
      <c r="D318">
        <f t="shared" si="21"/>
        <v>11</v>
      </c>
      <c r="E318">
        <f>IF(AND(D319=staw[[#This Row],[Miesiąc]],F318=1),E317+1,0)</f>
        <v>8</v>
      </c>
      <c r="F318">
        <f t="shared" si="20"/>
        <v>1</v>
      </c>
    </row>
    <row r="319" spans="1:6">
      <c r="A319" s="1">
        <v>44879</v>
      </c>
      <c r="B319">
        <v>6</v>
      </c>
      <c r="C319">
        <v>0</v>
      </c>
      <c r="D319">
        <f t="shared" si="21"/>
        <v>11</v>
      </c>
      <c r="E319">
        <f>IF(AND(D320=staw[[#This Row],[Miesiąc]],F319=1),E318+1,0)</f>
        <v>9</v>
      </c>
      <c r="F319">
        <f t="shared" si="20"/>
        <v>1</v>
      </c>
    </row>
    <row r="320" spans="1:6">
      <c r="A320" s="1">
        <v>44880</v>
      </c>
      <c r="B320">
        <v>7.5</v>
      </c>
      <c r="C320">
        <v>0</v>
      </c>
      <c r="D320">
        <f t="shared" si="21"/>
        <v>11</v>
      </c>
      <c r="E320">
        <f>IF(AND(D321=staw[[#This Row],[Miesiąc]],F320=1),E319+1,0)</f>
        <v>10</v>
      </c>
      <c r="F320">
        <f t="shared" si="20"/>
        <v>1</v>
      </c>
    </row>
    <row r="321" spans="1:6">
      <c r="A321" s="1">
        <v>44881</v>
      </c>
      <c r="B321">
        <v>5.9</v>
      </c>
      <c r="C321">
        <v>7</v>
      </c>
      <c r="D321">
        <f t="shared" si="21"/>
        <v>11</v>
      </c>
      <c r="E321">
        <f>IF(AND(D322=staw[[#This Row],[Miesiąc]],F321=1),E320+1,0)</f>
        <v>0</v>
      </c>
      <c r="F321">
        <f t="shared" si="20"/>
        <v>0</v>
      </c>
    </row>
    <row r="322" spans="1:6">
      <c r="A322" s="1">
        <v>44882</v>
      </c>
      <c r="B322">
        <v>1.2</v>
      </c>
      <c r="C322">
        <v>3</v>
      </c>
      <c r="D322">
        <f t="shared" si="21"/>
        <v>11</v>
      </c>
      <c r="E322">
        <f>IF(AND(D323=staw[[#This Row],[Miesiąc]],F322=1),E321+1,0)</f>
        <v>0</v>
      </c>
      <c r="F322">
        <f t="shared" ref="F322:F366" si="22">IF(C322=0,1,0)</f>
        <v>0</v>
      </c>
    </row>
    <row r="323" spans="1:6">
      <c r="A323" s="1">
        <v>44883</v>
      </c>
      <c r="B323">
        <v>-1</v>
      </c>
      <c r="C323">
        <v>0</v>
      </c>
      <c r="D323">
        <f t="shared" ref="D323:D366" si="23">MONTH(A323)</f>
        <v>11</v>
      </c>
      <c r="E323">
        <f>IF(AND(D324=staw[[#This Row],[Miesiąc]],F323=1),E322+1,0)</f>
        <v>1</v>
      </c>
      <c r="F323">
        <f t="shared" si="22"/>
        <v>1</v>
      </c>
    </row>
    <row r="324" spans="1:6">
      <c r="A324" s="1">
        <v>44884</v>
      </c>
      <c r="B324">
        <v>-2.2999999999999998</v>
      </c>
      <c r="C324">
        <v>0</v>
      </c>
      <c r="D324">
        <f t="shared" si="23"/>
        <v>11</v>
      </c>
      <c r="E324">
        <f>IF(AND(D325=staw[[#This Row],[Miesiąc]],F324=1),E323+1,0)</f>
        <v>2</v>
      </c>
      <c r="F324">
        <f t="shared" si="22"/>
        <v>1</v>
      </c>
    </row>
    <row r="325" spans="1:6">
      <c r="A325" s="1">
        <v>44885</v>
      </c>
      <c r="B325">
        <v>-2.8</v>
      </c>
      <c r="C325">
        <v>0</v>
      </c>
      <c r="D325">
        <f t="shared" si="23"/>
        <v>11</v>
      </c>
      <c r="E325">
        <f>IF(AND(D326=staw[[#This Row],[Miesiąc]],F325=1),E324+1,0)</f>
        <v>3</v>
      </c>
      <c r="F325">
        <f t="shared" si="22"/>
        <v>1</v>
      </c>
    </row>
    <row r="326" spans="1:6">
      <c r="A326" s="1">
        <v>44886</v>
      </c>
      <c r="B326">
        <v>0.8</v>
      </c>
      <c r="C326">
        <v>1</v>
      </c>
      <c r="D326">
        <f t="shared" si="23"/>
        <v>11</v>
      </c>
      <c r="E326">
        <f>IF(AND(D327=staw[[#This Row],[Miesiąc]],F326=1),E325+1,0)</f>
        <v>0</v>
      </c>
      <c r="F326">
        <f t="shared" si="22"/>
        <v>0</v>
      </c>
    </row>
    <row r="327" spans="1:6">
      <c r="A327" s="1">
        <v>44887</v>
      </c>
      <c r="B327">
        <v>2.8</v>
      </c>
      <c r="C327">
        <v>0</v>
      </c>
      <c r="D327">
        <f t="shared" si="23"/>
        <v>11</v>
      </c>
      <c r="E327">
        <f>IF(AND(D328=staw[[#This Row],[Miesiąc]],F327=1),E326+1,0)</f>
        <v>1</v>
      </c>
      <c r="F327">
        <f t="shared" si="22"/>
        <v>1</v>
      </c>
    </row>
    <row r="328" spans="1:6">
      <c r="A328" s="1">
        <v>44888</v>
      </c>
      <c r="B328">
        <v>-0.1</v>
      </c>
      <c r="C328">
        <v>0</v>
      </c>
      <c r="D328">
        <f t="shared" si="23"/>
        <v>11</v>
      </c>
      <c r="E328">
        <f>IF(AND(D329=staw[[#This Row],[Miesiąc]],F328=1),E327+1,0)</f>
        <v>2</v>
      </c>
      <c r="F328">
        <f t="shared" si="22"/>
        <v>1</v>
      </c>
    </row>
    <row r="329" spans="1:6">
      <c r="A329" s="1">
        <v>44889</v>
      </c>
      <c r="B329">
        <v>0.1</v>
      </c>
      <c r="C329">
        <v>1</v>
      </c>
      <c r="D329">
        <f t="shared" si="23"/>
        <v>11</v>
      </c>
      <c r="E329">
        <f>IF(AND(D330=staw[[#This Row],[Miesiąc]],F329=1),E328+1,0)</f>
        <v>0</v>
      </c>
      <c r="F329">
        <f t="shared" si="22"/>
        <v>0</v>
      </c>
    </row>
    <row r="330" spans="1:6">
      <c r="A330" s="1">
        <v>44890</v>
      </c>
      <c r="B330">
        <v>1.3</v>
      </c>
      <c r="C330">
        <v>0</v>
      </c>
      <c r="D330">
        <f t="shared" si="23"/>
        <v>11</v>
      </c>
      <c r="E330">
        <f>IF(AND(D331=staw[[#This Row],[Miesiąc]],F330=1),E329+1,0)</f>
        <v>1</v>
      </c>
      <c r="F330">
        <f t="shared" si="22"/>
        <v>1</v>
      </c>
    </row>
    <row r="331" spans="1:6">
      <c r="A331" s="1">
        <v>44891</v>
      </c>
      <c r="B331">
        <v>4.5</v>
      </c>
      <c r="C331">
        <v>0</v>
      </c>
      <c r="D331">
        <f t="shared" si="23"/>
        <v>11</v>
      </c>
      <c r="E331">
        <f>IF(AND(D332=staw[[#This Row],[Miesiąc]],F331=1),E330+1,0)</f>
        <v>2</v>
      </c>
      <c r="F331">
        <f t="shared" si="22"/>
        <v>1</v>
      </c>
    </row>
    <row r="332" spans="1:6">
      <c r="A332" s="1">
        <v>44892</v>
      </c>
      <c r="B332">
        <v>2.2999999999999998</v>
      </c>
      <c r="C332">
        <v>0</v>
      </c>
      <c r="D332">
        <f t="shared" si="23"/>
        <v>11</v>
      </c>
      <c r="E332">
        <f>IF(AND(D333=staw[[#This Row],[Miesiąc]],F332=1),E331+1,0)</f>
        <v>3</v>
      </c>
      <c r="F332">
        <f t="shared" si="22"/>
        <v>1</v>
      </c>
    </row>
    <row r="333" spans="1:6">
      <c r="A333" s="1">
        <v>44893</v>
      </c>
      <c r="B333">
        <v>2.1</v>
      </c>
      <c r="C333">
        <v>0</v>
      </c>
      <c r="D333">
        <f t="shared" si="23"/>
        <v>11</v>
      </c>
      <c r="E333">
        <f>IF(AND(D334=staw[[#This Row],[Miesiąc]],F333=1),E332+1,0)</f>
        <v>4</v>
      </c>
      <c r="F333">
        <f t="shared" si="22"/>
        <v>1</v>
      </c>
    </row>
    <row r="334" spans="1:6">
      <c r="A334" s="1">
        <v>44894</v>
      </c>
      <c r="B334">
        <v>0.2</v>
      </c>
      <c r="C334">
        <v>0</v>
      </c>
      <c r="D334">
        <f t="shared" si="23"/>
        <v>11</v>
      </c>
      <c r="E334">
        <f>IF(AND(D335=staw[[#This Row],[Miesiąc]],F334=1),E333+1,0)</f>
        <v>5</v>
      </c>
      <c r="F334">
        <f t="shared" si="22"/>
        <v>1</v>
      </c>
    </row>
    <row r="335" spans="1:6">
      <c r="A335" s="1">
        <v>44895</v>
      </c>
      <c r="B335">
        <v>-0.5</v>
      </c>
      <c r="C335">
        <v>0</v>
      </c>
      <c r="D335">
        <f t="shared" si="23"/>
        <v>11</v>
      </c>
      <c r="E335">
        <f>IF(AND(D336=staw[[#This Row],[Miesiąc]],F335=1),E334+1,0)</f>
        <v>0</v>
      </c>
      <c r="F335">
        <f t="shared" si="22"/>
        <v>1</v>
      </c>
    </row>
    <row r="336" spans="1:6">
      <c r="A336" s="1">
        <v>44896</v>
      </c>
      <c r="B336">
        <v>0.9</v>
      </c>
      <c r="C336">
        <v>0</v>
      </c>
      <c r="D336">
        <f t="shared" si="23"/>
        <v>12</v>
      </c>
      <c r="E336">
        <f>IF(AND(D337=staw[[#This Row],[Miesiąc]],F336=1),E335+1,0)</f>
        <v>1</v>
      </c>
      <c r="F336">
        <f t="shared" si="22"/>
        <v>1</v>
      </c>
    </row>
    <row r="337" spans="1:6">
      <c r="A337" s="1">
        <v>44897</v>
      </c>
      <c r="B337">
        <v>-1</v>
      </c>
      <c r="C337">
        <v>0</v>
      </c>
      <c r="D337">
        <f t="shared" si="23"/>
        <v>12</v>
      </c>
      <c r="E337">
        <f>IF(AND(D338=staw[[#This Row],[Miesiąc]],F337=1),E336+1,0)</f>
        <v>2</v>
      </c>
      <c r="F337">
        <f t="shared" si="22"/>
        <v>1</v>
      </c>
    </row>
    <row r="338" spans="1:6">
      <c r="A338" s="1">
        <v>44898</v>
      </c>
      <c r="B338">
        <v>0.4</v>
      </c>
      <c r="C338">
        <v>0</v>
      </c>
      <c r="D338">
        <f t="shared" si="23"/>
        <v>12</v>
      </c>
      <c r="E338">
        <f>IF(AND(D339=staw[[#This Row],[Miesiąc]],F338=1),E337+1,0)</f>
        <v>3</v>
      </c>
      <c r="F338">
        <f t="shared" si="22"/>
        <v>1</v>
      </c>
    </row>
    <row r="339" spans="1:6">
      <c r="A339" s="1">
        <v>44899</v>
      </c>
      <c r="B339">
        <v>2.1</v>
      </c>
      <c r="C339">
        <v>0</v>
      </c>
      <c r="D339">
        <f t="shared" si="23"/>
        <v>12</v>
      </c>
      <c r="E339">
        <f>IF(AND(D340=staw[[#This Row],[Miesiąc]],F339=1),E338+1,0)</f>
        <v>4</v>
      </c>
      <c r="F339">
        <f t="shared" si="22"/>
        <v>1</v>
      </c>
    </row>
    <row r="340" spans="1:6">
      <c r="A340" s="1">
        <v>44900</v>
      </c>
      <c r="B340">
        <v>4.5</v>
      </c>
      <c r="C340">
        <v>0</v>
      </c>
      <c r="D340">
        <f t="shared" si="23"/>
        <v>12</v>
      </c>
      <c r="E340">
        <f>IF(AND(D341=staw[[#This Row],[Miesiąc]],F340=1),E339+1,0)</f>
        <v>5</v>
      </c>
      <c r="F340">
        <f t="shared" si="22"/>
        <v>1</v>
      </c>
    </row>
    <row r="341" spans="1:6">
      <c r="A341" s="1">
        <v>44901</v>
      </c>
      <c r="B341">
        <v>2.8</v>
      </c>
      <c r="C341">
        <v>7</v>
      </c>
      <c r="D341">
        <f t="shared" si="23"/>
        <v>12</v>
      </c>
      <c r="E341">
        <f>IF(AND(D342=staw[[#This Row],[Miesiąc]],F341=1),E340+1,0)</f>
        <v>0</v>
      </c>
      <c r="F341">
        <f t="shared" si="22"/>
        <v>0</v>
      </c>
    </row>
    <row r="342" spans="1:6">
      <c r="A342" s="1">
        <v>44902</v>
      </c>
      <c r="B342">
        <v>2.5</v>
      </c>
      <c r="C342">
        <v>1</v>
      </c>
      <c r="D342">
        <f t="shared" si="23"/>
        <v>12</v>
      </c>
      <c r="E342">
        <f>IF(AND(D343=staw[[#This Row],[Miesiąc]],F342=1),E341+1,0)</f>
        <v>0</v>
      </c>
      <c r="F342">
        <f t="shared" si="22"/>
        <v>0</v>
      </c>
    </row>
    <row r="343" spans="1:6">
      <c r="A343" s="1">
        <v>44903</v>
      </c>
      <c r="B343">
        <v>2.2999999999999998</v>
      </c>
      <c r="C343">
        <v>0</v>
      </c>
      <c r="D343">
        <f t="shared" si="23"/>
        <v>12</v>
      </c>
      <c r="E343">
        <f>IF(AND(D344=staw[[#This Row],[Miesiąc]],F343=1),E342+1,0)</f>
        <v>1</v>
      </c>
      <c r="F343">
        <f t="shared" si="22"/>
        <v>1</v>
      </c>
    </row>
    <row r="344" spans="1:6">
      <c r="A344" s="1">
        <v>44904</v>
      </c>
      <c r="B344">
        <v>2.2000000000000002</v>
      </c>
      <c r="C344">
        <v>14</v>
      </c>
      <c r="D344">
        <f t="shared" si="23"/>
        <v>12</v>
      </c>
      <c r="E344">
        <f>IF(AND(D345=staw[[#This Row],[Miesiąc]],F344=1),E343+1,0)</f>
        <v>0</v>
      </c>
      <c r="F344">
        <f t="shared" si="22"/>
        <v>0</v>
      </c>
    </row>
    <row r="345" spans="1:6">
      <c r="A345" s="1">
        <v>44905</v>
      </c>
      <c r="B345">
        <v>0.6</v>
      </c>
      <c r="C345">
        <v>0</v>
      </c>
      <c r="D345">
        <f t="shared" si="23"/>
        <v>12</v>
      </c>
      <c r="E345">
        <f>IF(AND(D346=staw[[#This Row],[Miesiąc]],F345=1),E344+1,0)</f>
        <v>1</v>
      </c>
      <c r="F345">
        <f t="shared" si="22"/>
        <v>1</v>
      </c>
    </row>
    <row r="346" spans="1:6">
      <c r="A346" s="1">
        <v>44906</v>
      </c>
      <c r="B346">
        <v>-1.9</v>
      </c>
      <c r="C346">
        <v>0</v>
      </c>
      <c r="D346">
        <f t="shared" si="23"/>
        <v>12</v>
      </c>
      <c r="E346">
        <f>IF(AND(D347=staw[[#This Row],[Miesiąc]],F346=1),E345+1,0)</f>
        <v>2</v>
      </c>
      <c r="F346">
        <f t="shared" si="22"/>
        <v>1</v>
      </c>
    </row>
    <row r="347" spans="1:6">
      <c r="A347" s="1">
        <v>44907</v>
      </c>
      <c r="B347">
        <v>-2.6</v>
      </c>
      <c r="C347">
        <v>0</v>
      </c>
      <c r="D347">
        <f t="shared" si="23"/>
        <v>12</v>
      </c>
      <c r="E347">
        <f>IF(AND(D348=staw[[#This Row],[Miesiąc]],F347=1),E346+1,0)</f>
        <v>3</v>
      </c>
      <c r="F347">
        <f t="shared" si="22"/>
        <v>1</v>
      </c>
    </row>
    <row r="348" spans="1:6">
      <c r="A348" s="1">
        <v>44908</v>
      </c>
      <c r="B348">
        <v>-3.1</v>
      </c>
      <c r="C348">
        <v>0</v>
      </c>
      <c r="D348">
        <f t="shared" si="23"/>
        <v>12</v>
      </c>
      <c r="E348">
        <f>IF(AND(D349=staw[[#This Row],[Miesiąc]],F348=1),E347+1,0)</f>
        <v>4</v>
      </c>
      <c r="F348">
        <f t="shared" si="22"/>
        <v>1</v>
      </c>
    </row>
    <row r="349" spans="1:6">
      <c r="A349" s="1">
        <v>44909</v>
      </c>
      <c r="B349">
        <v>-4.5999999999999996</v>
      </c>
      <c r="C349">
        <v>0</v>
      </c>
      <c r="D349">
        <f t="shared" si="23"/>
        <v>12</v>
      </c>
      <c r="E349">
        <f>IF(AND(D350=staw[[#This Row],[Miesiąc]],F349=1),E348+1,0)</f>
        <v>5</v>
      </c>
      <c r="F349">
        <f t="shared" si="22"/>
        <v>1</v>
      </c>
    </row>
    <row r="350" spans="1:6">
      <c r="A350" s="1">
        <v>44910</v>
      </c>
      <c r="B350">
        <v>-1.6</v>
      </c>
      <c r="C350">
        <v>0</v>
      </c>
      <c r="D350">
        <f t="shared" si="23"/>
        <v>12</v>
      </c>
      <c r="E350">
        <f>IF(AND(D351=staw[[#This Row],[Miesiąc]],F350=1),E349+1,0)</f>
        <v>6</v>
      </c>
      <c r="F350">
        <f t="shared" si="22"/>
        <v>1</v>
      </c>
    </row>
    <row r="351" spans="1:6">
      <c r="A351" s="1">
        <v>44911</v>
      </c>
      <c r="B351">
        <v>-0.7</v>
      </c>
      <c r="C351">
        <v>0</v>
      </c>
      <c r="D351">
        <f t="shared" si="23"/>
        <v>12</v>
      </c>
      <c r="E351">
        <f>IF(AND(D352=staw[[#This Row],[Miesiąc]],F351=1),E350+1,0)</f>
        <v>7</v>
      </c>
      <c r="F351">
        <f t="shared" si="22"/>
        <v>1</v>
      </c>
    </row>
    <row r="352" spans="1:6">
      <c r="A352" s="1">
        <v>44912</v>
      </c>
      <c r="B352">
        <v>-3.3</v>
      </c>
      <c r="C352">
        <v>0</v>
      </c>
      <c r="D352">
        <f t="shared" si="23"/>
        <v>12</v>
      </c>
      <c r="E352">
        <f>IF(AND(D353=staw[[#This Row],[Miesiąc]],F352=1),E351+1,0)</f>
        <v>8</v>
      </c>
      <c r="F352">
        <f t="shared" si="22"/>
        <v>1</v>
      </c>
    </row>
    <row r="353" spans="1:6">
      <c r="A353" s="1">
        <v>44913</v>
      </c>
      <c r="B353">
        <v>-4.9000000000000004</v>
      </c>
      <c r="C353">
        <v>0</v>
      </c>
      <c r="D353">
        <f t="shared" si="23"/>
        <v>12</v>
      </c>
      <c r="E353">
        <f>IF(AND(D354=staw[[#This Row],[Miesiąc]],F353=1),E352+1,0)</f>
        <v>9</v>
      </c>
      <c r="F353">
        <f t="shared" si="22"/>
        <v>1</v>
      </c>
    </row>
    <row r="354" spans="1:6">
      <c r="A354" s="1">
        <v>44914</v>
      </c>
      <c r="B354">
        <v>-5.6</v>
      </c>
      <c r="C354">
        <v>0</v>
      </c>
      <c r="D354">
        <f t="shared" si="23"/>
        <v>12</v>
      </c>
      <c r="E354">
        <f>IF(AND(D355=staw[[#This Row],[Miesiąc]],F354=1),E353+1,0)</f>
        <v>10</v>
      </c>
      <c r="F354">
        <f t="shared" si="22"/>
        <v>1</v>
      </c>
    </row>
    <row r="355" spans="1:6">
      <c r="A355" s="1">
        <v>44915</v>
      </c>
      <c r="B355">
        <v>2.1</v>
      </c>
      <c r="C355">
        <v>5</v>
      </c>
      <c r="D355">
        <f t="shared" si="23"/>
        <v>12</v>
      </c>
      <c r="E355">
        <f>IF(AND(D356=staw[[#This Row],[Miesiąc]],F355=1),E354+1,0)</f>
        <v>0</v>
      </c>
      <c r="F355">
        <f t="shared" si="22"/>
        <v>0</v>
      </c>
    </row>
    <row r="356" spans="1:6">
      <c r="A356" s="1">
        <v>44916</v>
      </c>
      <c r="B356">
        <v>1.9</v>
      </c>
      <c r="C356">
        <v>8</v>
      </c>
      <c r="D356">
        <f t="shared" si="23"/>
        <v>12</v>
      </c>
      <c r="E356">
        <f>IF(AND(D357=staw[[#This Row],[Miesiąc]],F356=1),E355+1,0)</f>
        <v>0</v>
      </c>
      <c r="F356">
        <f t="shared" si="22"/>
        <v>0</v>
      </c>
    </row>
    <row r="357" spans="1:6">
      <c r="A357" s="1">
        <v>44917</v>
      </c>
      <c r="B357">
        <v>3.7</v>
      </c>
      <c r="C357">
        <v>0</v>
      </c>
      <c r="D357">
        <f t="shared" si="23"/>
        <v>12</v>
      </c>
      <c r="E357">
        <f>IF(AND(D358=staw[[#This Row],[Miesiąc]],F357=1),E356+1,0)</f>
        <v>1</v>
      </c>
      <c r="F357">
        <f t="shared" si="22"/>
        <v>1</v>
      </c>
    </row>
    <row r="358" spans="1:6">
      <c r="A358" s="1">
        <v>44918</v>
      </c>
      <c r="B358">
        <v>4.4000000000000004</v>
      </c>
      <c r="C358">
        <v>0</v>
      </c>
      <c r="D358">
        <f t="shared" si="23"/>
        <v>12</v>
      </c>
      <c r="E358">
        <f>IF(AND(D359=staw[[#This Row],[Miesiąc]],F358=1),E357+1,0)</f>
        <v>2</v>
      </c>
      <c r="F358">
        <f t="shared" si="22"/>
        <v>1</v>
      </c>
    </row>
    <row r="359" spans="1:6">
      <c r="A359" s="1">
        <v>44919</v>
      </c>
      <c r="B359">
        <v>5.8</v>
      </c>
      <c r="C359">
        <v>8</v>
      </c>
      <c r="D359">
        <f t="shared" si="23"/>
        <v>12</v>
      </c>
      <c r="E359">
        <f>IF(AND(D360=staw[[#This Row],[Miesiąc]],F359=1),E358+1,0)</f>
        <v>0</v>
      </c>
      <c r="F359">
        <f t="shared" si="22"/>
        <v>0</v>
      </c>
    </row>
    <row r="360" spans="1:6">
      <c r="A360" s="1">
        <v>44920</v>
      </c>
      <c r="B360">
        <v>6.2</v>
      </c>
      <c r="C360">
        <v>0</v>
      </c>
      <c r="D360">
        <f t="shared" si="23"/>
        <v>12</v>
      </c>
      <c r="E360">
        <f>IF(AND(D361=staw[[#This Row],[Miesiąc]],F360=1),E359+1,0)</f>
        <v>1</v>
      </c>
      <c r="F360">
        <f t="shared" si="22"/>
        <v>1</v>
      </c>
    </row>
    <row r="361" spans="1:6">
      <c r="A361" s="1">
        <v>44921</v>
      </c>
      <c r="B361">
        <v>8</v>
      </c>
      <c r="C361">
        <v>0</v>
      </c>
      <c r="D361">
        <f t="shared" si="23"/>
        <v>12</v>
      </c>
      <c r="E361">
        <f>IF(AND(D362=staw[[#This Row],[Miesiąc]],F361=1),E360+1,0)</f>
        <v>2</v>
      </c>
      <c r="F361">
        <f t="shared" si="22"/>
        <v>1</v>
      </c>
    </row>
    <row r="362" spans="1:6">
      <c r="A362" s="1">
        <v>44922</v>
      </c>
      <c r="B362">
        <v>5.9</v>
      </c>
      <c r="C362">
        <v>0</v>
      </c>
      <c r="D362">
        <f t="shared" si="23"/>
        <v>12</v>
      </c>
      <c r="E362">
        <f>IF(AND(D363=staw[[#This Row],[Miesiąc]],F362=1),E361+1,0)</f>
        <v>3</v>
      </c>
      <c r="F362">
        <f t="shared" si="22"/>
        <v>1</v>
      </c>
    </row>
    <row r="363" spans="1:6">
      <c r="A363" s="1">
        <v>44923</v>
      </c>
      <c r="B363">
        <v>3.2</v>
      </c>
      <c r="C363">
        <v>0</v>
      </c>
      <c r="D363">
        <f t="shared" si="23"/>
        <v>12</v>
      </c>
      <c r="E363">
        <f>IF(AND(D364=staw[[#This Row],[Miesiąc]],F363=1),E362+1,0)</f>
        <v>4</v>
      </c>
      <c r="F363">
        <f t="shared" si="22"/>
        <v>1</v>
      </c>
    </row>
    <row r="364" spans="1:6">
      <c r="A364" s="1">
        <v>44924</v>
      </c>
      <c r="B364">
        <v>4.7</v>
      </c>
      <c r="C364">
        <v>0</v>
      </c>
      <c r="D364">
        <f t="shared" si="23"/>
        <v>12</v>
      </c>
      <c r="E364">
        <f>IF(AND(D365=staw[[#This Row],[Miesiąc]],F364=1),E363+1,0)</f>
        <v>5</v>
      </c>
      <c r="F364">
        <f t="shared" si="22"/>
        <v>1</v>
      </c>
    </row>
    <row r="365" spans="1:6">
      <c r="A365" s="1">
        <v>44925</v>
      </c>
      <c r="B365">
        <v>5.0999999999999996</v>
      </c>
      <c r="C365">
        <v>0</v>
      </c>
      <c r="D365">
        <f t="shared" si="23"/>
        <v>12</v>
      </c>
      <c r="E365">
        <f>IF(AND(D366=staw[[#This Row],[Miesiąc]],F365=1),E364+1,0)</f>
        <v>6</v>
      </c>
      <c r="F365">
        <f t="shared" si="22"/>
        <v>1</v>
      </c>
    </row>
    <row r="366" spans="1:6">
      <c r="A366" s="1">
        <v>44926</v>
      </c>
      <c r="B366">
        <v>9.3000000000000007</v>
      </c>
      <c r="C366">
        <v>0</v>
      </c>
      <c r="D366">
        <f t="shared" si="23"/>
        <v>12</v>
      </c>
      <c r="E366">
        <f>IF(AND(D367=staw[[#This Row],[Miesiąc]],F366=1),E365+1,0)</f>
        <v>0</v>
      </c>
      <c r="F366">
        <f t="shared" si="22"/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B600-7D61-394E-B2FD-34B46D20AFF3}">
  <dimension ref="A1:Q366"/>
  <sheetViews>
    <sheetView tabSelected="1" workbookViewId="0">
      <selection activeCell="K17" sqref="K17"/>
    </sheetView>
  </sheetViews>
  <sheetFormatPr defaultColWidth="8.85546875" defaultRowHeight="15"/>
  <cols>
    <col min="1" max="1" width="10.140625" bestFit="1" customWidth="1"/>
    <col min="2" max="2" width="8.28515625" bestFit="1" customWidth="1"/>
    <col min="3" max="3" width="9" bestFit="1" customWidth="1"/>
    <col min="6" max="6" width="13.140625" bestFit="1" customWidth="1"/>
    <col min="8" max="8" width="12.85546875" bestFit="1" customWidth="1"/>
    <col min="9" max="9" width="22" bestFit="1" customWidth="1"/>
    <col min="11" max="11" width="10.140625" bestFit="1" customWidth="1"/>
    <col min="12" max="12" width="13.42578125" bestFit="1" customWidth="1"/>
    <col min="13" max="13" width="9.42578125" bestFit="1" customWidth="1"/>
    <col min="16" max="16" width="33.140625" bestFit="1" customWidth="1"/>
    <col min="17" max="17" width="12.85546875" style="5" bestFit="1" customWidth="1"/>
  </cols>
  <sheetData>
    <row r="1" spans="1:1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P1" t="s">
        <v>23</v>
      </c>
      <c r="Q1" s="5" t="s">
        <v>20</v>
      </c>
    </row>
    <row r="2" spans="1:17">
      <c r="A2" s="1">
        <v>44562</v>
      </c>
      <c r="B2">
        <v>9.8000000000000007</v>
      </c>
      <c r="C2">
        <v>5</v>
      </c>
      <c r="D2">
        <f>MONTH(A2)</f>
        <v>1</v>
      </c>
      <c r="E2">
        <f>IF(AND(D3=staw3[[#This Row],[Miesiąc]],F2=1),E1+1,0)</f>
        <v>0</v>
      </c>
      <c r="F2">
        <f t="shared" ref="F2:F65" si="0">IF(C2=0,1,0)</f>
        <v>0</v>
      </c>
      <c r="G2">
        <v>1</v>
      </c>
      <c r="H2">
        <v>1</v>
      </c>
      <c r="I2" s="2">
        <f>AVERAGE(B2:B32)</f>
        <v>1.0838709677419358</v>
      </c>
      <c r="J2">
        <v>1</v>
      </c>
      <c r="K2" s="1">
        <v>44986</v>
      </c>
      <c r="L2">
        <v>2000</v>
      </c>
      <c r="M2">
        <f>L2/10000</f>
        <v>0.2</v>
      </c>
      <c r="P2" s="6">
        <v>94</v>
      </c>
      <c r="Q2" s="5">
        <f>2000</f>
        <v>2000</v>
      </c>
    </row>
    <row r="3" spans="1:17">
      <c r="A3" s="1">
        <v>44563</v>
      </c>
      <c r="B3">
        <v>8.1</v>
      </c>
      <c r="C3">
        <v>1</v>
      </c>
      <c r="D3">
        <f t="shared" ref="D3:D66" si="1">MONTH(A3)</f>
        <v>1</v>
      </c>
      <c r="E3">
        <f>IF(AND(D4=staw3[[#This Row],[Miesiąc]],F3=1),E2+1,0)</f>
        <v>0</v>
      </c>
      <c r="F3">
        <f t="shared" si="0"/>
        <v>0</v>
      </c>
      <c r="G3">
        <v>2</v>
      </c>
      <c r="H3">
        <v>2</v>
      </c>
      <c r="I3" s="2">
        <f>AVERAGE(B33:B60)</f>
        <v>4.1392857142857142</v>
      </c>
      <c r="J3">
        <f>J2+1</f>
        <v>2</v>
      </c>
      <c r="K3" s="1">
        <f>K2+1</f>
        <v>44987</v>
      </c>
      <c r="L3">
        <f>(L2-20-IF(WEEKDAY(K2,2)=5,60,0))*1.0175</f>
        <v>2014.65</v>
      </c>
      <c r="M3">
        <f>L3/10000</f>
        <v>0.20146500000000001</v>
      </c>
      <c r="P3" s="8">
        <f>MAX(Q2:Q185)/10000</f>
        <v>0.49167420680852836</v>
      </c>
      <c r="Q3" s="5">
        <f>(Q2-$P$2*0.25-IF(WEEKDAY(K2,2)=5,60,0))*1.0175</f>
        <v>2011.0887500000001</v>
      </c>
    </row>
    <row r="4" spans="1:17">
      <c r="A4" s="1">
        <v>44564</v>
      </c>
      <c r="B4">
        <v>9</v>
      </c>
      <c r="C4">
        <v>2</v>
      </c>
      <c r="D4">
        <f t="shared" si="1"/>
        <v>1</v>
      </c>
      <c r="E4">
        <f>IF(AND(D5=staw3[[#This Row],[Miesiąc]],F4=1),E3+1,0)</f>
        <v>0</v>
      </c>
      <c r="F4">
        <f t="shared" si="0"/>
        <v>0</v>
      </c>
      <c r="G4">
        <v>3</v>
      </c>
      <c r="H4">
        <v>3</v>
      </c>
      <c r="I4" s="2">
        <f>AVERAGE(B61:B91)</f>
        <v>4.0548387096774201</v>
      </c>
      <c r="J4">
        <f t="shared" ref="J4:K19" si="2">J3+1</f>
        <v>3</v>
      </c>
      <c r="K4" s="1">
        <f t="shared" si="2"/>
        <v>44988</v>
      </c>
      <c r="L4">
        <f t="shared" ref="L4:L67" si="3">(L3-20-IF(WEEKDAY(K3,2)=5,60,0))*1.0175</f>
        <v>2029.5563750000003</v>
      </c>
      <c r="M4">
        <f t="shared" ref="M4:M67" si="4">L4/10000</f>
        <v>0.20295563750000004</v>
      </c>
      <c r="P4" s="9" t="s">
        <v>24</v>
      </c>
      <c r="Q4" s="5">
        <f>(Q3-$P$2*0.25-IF(WEEKDAY(K3,2)=5,60,0))*1.0175</f>
        <v>2022.3715531250002</v>
      </c>
    </row>
    <row r="5" spans="1:17">
      <c r="A5" s="1">
        <v>44565</v>
      </c>
      <c r="B5">
        <v>7.3</v>
      </c>
      <c r="C5">
        <v>1</v>
      </c>
      <c r="D5">
        <f t="shared" si="1"/>
        <v>1</v>
      </c>
      <c r="E5">
        <f>IF(AND(D6=staw3[[#This Row],[Miesiąc]],F5=1),E4+1,0)</f>
        <v>0</v>
      </c>
      <c r="F5">
        <f t="shared" si="0"/>
        <v>0</v>
      </c>
      <c r="G5">
        <v>4</v>
      </c>
      <c r="H5">
        <v>4</v>
      </c>
      <c r="I5" s="2">
        <f>AVERAGE(B92:B121)</f>
        <v>7.37</v>
      </c>
      <c r="J5">
        <f t="shared" si="2"/>
        <v>4</v>
      </c>
      <c r="K5" s="1">
        <f t="shared" si="2"/>
        <v>44989</v>
      </c>
      <c r="L5">
        <f t="shared" si="3"/>
        <v>1983.6736115625006</v>
      </c>
      <c r="M5">
        <f t="shared" si="4"/>
        <v>0.19836736115625006</v>
      </c>
      <c r="Q5" s="5">
        <f>(Q4-$P$2*0.25-IF(WEEKDAY(K4,2)=5,60,0))*1.0175</f>
        <v>1972.8018053046878</v>
      </c>
    </row>
    <row r="6" spans="1:17">
      <c r="A6" s="1">
        <v>44566</v>
      </c>
      <c r="B6">
        <v>5.7</v>
      </c>
      <c r="C6">
        <v>5</v>
      </c>
      <c r="D6">
        <f t="shared" si="1"/>
        <v>1</v>
      </c>
      <c r="E6">
        <f>IF(AND(D7=staw3[[#This Row],[Miesiąc]],F6=1),E5+1,0)</f>
        <v>0</v>
      </c>
      <c r="F6">
        <f t="shared" si="0"/>
        <v>0</v>
      </c>
      <c r="G6">
        <v>5</v>
      </c>
      <c r="H6">
        <v>5</v>
      </c>
      <c r="I6" s="2">
        <f>AVERAGE(B122:B152)</f>
        <v>15.86451612903226</v>
      </c>
      <c r="J6">
        <f t="shared" si="2"/>
        <v>5</v>
      </c>
      <c r="K6" s="1">
        <f t="shared" si="2"/>
        <v>44990</v>
      </c>
      <c r="L6">
        <f t="shared" si="3"/>
        <v>1998.0378997648445</v>
      </c>
      <c r="M6">
        <f t="shared" si="4"/>
        <v>0.19980378997648446</v>
      </c>
      <c r="Q6" s="5">
        <f>(Q5-$P$2*0.25-IF(WEEKDAY(K5,2)=5,60,0))*1.0175</f>
        <v>1983.4145868975199</v>
      </c>
    </row>
    <row r="7" spans="1:17">
      <c r="A7" s="1">
        <v>44567</v>
      </c>
      <c r="B7">
        <v>1.7</v>
      </c>
      <c r="C7">
        <v>0</v>
      </c>
      <c r="D7">
        <f t="shared" si="1"/>
        <v>1</v>
      </c>
      <c r="E7">
        <f>IF(AND(D8=staw3[[#This Row],[Miesiąc]],F7=1),E6+1,0)</f>
        <v>1</v>
      </c>
      <c r="F7">
        <f t="shared" si="0"/>
        <v>1</v>
      </c>
      <c r="G7">
        <v>6</v>
      </c>
      <c r="H7">
        <v>6</v>
      </c>
      <c r="I7" s="2">
        <f>AVERAGE(B153:B182)</f>
        <v>20.486666666666665</v>
      </c>
      <c r="J7">
        <f t="shared" si="2"/>
        <v>6</v>
      </c>
      <c r="K7" s="1">
        <f t="shared" si="2"/>
        <v>44991</v>
      </c>
      <c r="L7">
        <f t="shared" si="3"/>
        <v>2012.6535630107294</v>
      </c>
      <c r="M7">
        <f t="shared" si="4"/>
        <v>0.20126535630107295</v>
      </c>
      <c r="Q7" s="5">
        <f>(Q6-$P$2*0.25-IF(WEEKDAY(K6,2)=5,60,0))*1.0175</f>
        <v>1994.2130921682267</v>
      </c>
    </row>
    <row r="8" spans="1:17">
      <c r="A8" s="1">
        <v>44568</v>
      </c>
      <c r="B8">
        <v>-1.4</v>
      </c>
      <c r="C8">
        <v>0</v>
      </c>
      <c r="D8">
        <f t="shared" si="1"/>
        <v>1</v>
      </c>
      <c r="E8">
        <f>IF(AND(D9=staw3[[#This Row],[Miesiąc]],F8=1),E7+1,0)</f>
        <v>2</v>
      </c>
      <c r="F8">
        <f t="shared" si="0"/>
        <v>1</v>
      </c>
      <c r="G8">
        <v>7</v>
      </c>
      <c r="H8">
        <v>7</v>
      </c>
      <c r="I8" s="2">
        <f>AVERAGE(B183:B213)</f>
        <v>20.393548387096779</v>
      </c>
      <c r="J8">
        <f t="shared" si="2"/>
        <v>7</v>
      </c>
      <c r="K8" s="1">
        <f t="shared" si="2"/>
        <v>44992</v>
      </c>
      <c r="L8">
        <f t="shared" si="3"/>
        <v>2027.5250003634173</v>
      </c>
      <c r="M8">
        <f t="shared" si="4"/>
        <v>0.20275250003634174</v>
      </c>
      <c r="Q8" s="5">
        <f>(Q7-$P$2*0.25-IF(WEEKDAY(K7,2)=5,60,0))*1.0175</f>
        <v>2005.2005712811708</v>
      </c>
    </row>
    <row r="9" spans="1:17">
      <c r="A9" s="1">
        <v>44569</v>
      </c>
      <c r="B9">
        <v>-1.5</v>
      </c>
      <c r="C9">
        <v>0</v>
      </c>
      <c r="D9">
        <f t="shared" si="1"/>
        <v>1</v>
      </c>
      <c r="E9">
        <f>IF(AND(D10=staw3[[#This Row],[Miesiąc]],F9=1),E8+1,0)</f>
        <v>3</v>
      </c>
      <c r="F9">
        <f t="shared" si="0"/>
        <v>1</v>
      </c>
      <c r="G9">
        <v>8</v>
      </c>
      <c r="H9">
        <v>8</v>
      </c>
      <c r="I9" s="2">
        <f>AVERAGE(B214:B244)</f>
        <v>21.13225806451613</v>
      </c>
      <c r="J9">
        <f t="shared" si="2"/>
        <v>8</v>
      </c>
      <c r="K9" s="1">
        <f t="shared" si="2"/>
        <v>44993</v>
      </c>
      <c r="L9">
        <f t="shared" si="3"/>
        <v>2042.6566878697772</v>
      </c>
      <c r="M9">
        <f t="shared" si="4"/>
        <v>0.20426566878697772</v>
      </c>
      <c r="Q9" s="5">
        <f>(Q8-$P$2*0.25-IF(WEEKDAY(K8,2)=5,60,0))*1.0175</f>
        <v>2016.3803312785915</v>
      </c>
    </row>
    <row r="10" spans="1:17">
      <c r="A10" s="1">
        <v>44570</v>
      </c>
      <c r="B10">
        <v>-1.2</v>
      </c>
      <c r="C10">
        <v>0</v>
      </c>
      <c r="D10">
        <f t="shared" si="1"/>
        <v>1</v>
      </c>
      <c r="E10">
        <f>IF(AND(D11=staw3[[#This Row],[Miesiąc]],F10=1),E9+1,0)</f>
        <v>4</v>
      </c>
      <c r="F10">
        <f t="shared" si="0"/>
        <v>1</v>
      </c>
      <c r="G10">
        <v>9</v>
      </c>
      <c r="H10">
        <v>9</v>
      </c>
      <c r="I10" s="2">
        <f>AVERAGE(B245:B274)</f>
        <v>13.670000000000003</v>
      </c>
      <c r="J10">
        <f t="shared" si="2"/>
        <v>9</v>
      </c>
      <c r="K10" s="1">
        <f t="shared" si="2"/>
        <v>44994</v>
      </c>
      <c r="L10">
        <f t="shared" si="3"/>
        <v>2058.0531799074984</v>
      </c>
      <c r="M10">
        <f t="shared" si="4"/>
        <v>0.20580531799074983</v>
      </c>
      <c r="Q10" s="5">
        <f>(Q9-$P$2*0.25-IF(WEEKDAY(K9,2)=5,60,0))*1.0175</f>
        <v>2027.7557370759671</v>
      </c>
    </row>
    <row r="11" spans="1:17">
      <c r="A11" s="1">
        <v>44571</v>
      </c>
      <c r="B11">
        <v>-3.8</v>
      </c>
      <c r="C11">
        <v>0</v>
      </c>
      <c r="D11">
        <f t="shared" si="1"/>
        <v>1</v>
      </c>
      <c r="E11">
        <f>IF(AND(D12=staw3[[#This Row],[Miesiąc]],F11=1),E10+1,0)</f>
        <v>5</v>
      </c>
      <c r="F11">
        <f t="shared" si="0"/>
        <v>1</v>
      </c>
      <c r="G11">
        <v>10</v>
      </c>
      <c r="H11">
        <v>10</v>
      </c>
      <c r="I11" s="2">
        <f>AVERAGE(B275:B305)</f>
        <v>12.477419354838711</v>
      </c>
      <c r="J11">
        <f t="shared" si="2"/>
        <v>10</v>
      </c>
      <c r="K11" s="1">
        <f t="shared" si="2"/>
        <v>44995</v>
      </c>
      <c r="L11">
        <f t="shared" si="3"/>
        <v>2073.7191105558795</v>
      </c>
      <c r="M11">
        <f t="shared" si="4"/>
        <v>0.20737191105558794</v>
      </c>
      <c r="Q11" s="5">
        <f>(Q10-$P$2*0.25-IF(WEEKDAY(K10,2)=5,60,0))*1.0175</f>
        <v>2039.3302124747966</v>
      </c>
    </row>
    <row r="12" spans="1:17">
      <c r="A12" s="1">
        <v>44572</v>
      </c>
      <c r="B12">
        <v>-2.7</v>
      </c>
      <c r="C12">
        <v>0</v>
      </c>
      <c r="D12">
        <f t="shared" si="1"/>
        <v>1</v>
      </c>
      <c r="E12">
        <f>IF(AND(D13=staw3[[#This Row],[Miesiąc]],F12=1),E11+1,0)</f>
        <v>6</v>
      </c>
      <c r="F12">
        <f t="shared" si="0"/>
        <v>1</v>
      </c>
      <c r="G12">
        <v>11</v>
      </c>
      <c r="H12">
        <v>11</v>
      </c>
      <c r="I12" s="2">
        <f>AVERAGE(B306:B335)</f>
        <v>5.2</v>
      </c>
      <c r="J12">
        <f t="shared" si="2"/>
        <v>11</v>
      </c>
      <c r="K12" s="1">
        <f t="shared" si="2"/>
        <v>44996</v>
      </c>
      <c r="L12">
        <f t="shared" si="3"/>
        <v>2028.6091949906076</v>
      </c>
      <c r="M12">
        <f t="shared" si="4"/>
        <v>0.20286091949906077</v>
      </c>
      <c r="Q12" s="5">
        <f>(Q11-$P$2*0.25-IF(WEEKDAY(K11,2)=5,60,0))*1.0175</f>
        <v>1990.0572411931057</v>
      </c>
    </row>
    <row r="13" spans="1:17">
      <c r="A13" s="1">
        <v>44573</v>
      </c>
      <c r="B13">
        <v>-3.9</v>
      </c>
      <c r="C13">
        <v>0</v>
      </c>
      <c r="D13">
        <f t="shared" si="1"/>
        <v>1</v>
      </c>
      <c r="E13">
        <f>IF(AND(D14=staw3[[#This Row],[Miesiąc]],F13=1),E12+1,0)</f>
        <v>7</v>
      </c>
      <c r="F13">
        <f t="shared" si="0"/>
        <v>1</v>
      </c>
      <c r="G13">
        <v>12</v>
      </c>
      <c r="H13">
        <v>12</v>
      </c>
      <c r="I13" s="2">
        <f>AVERAGE(B336:B366)</f>
        <v>1.5903225806451613</v>
      </c>
      <c r="J13">
        <f t="shared" si="2"/>
        <v>12</v>
      </c>
      <c r="K13" s="1">
        <f t="shared" si="2"/>
        <v>44997</v>
      </c>
      <c r="L13">
        <f t="shared" si="3"/>
        <v>2043.7598559029434</v>
      </c>
      <c r="M13">
        <f t="shared" si="4"/>
        <v>0.20437598559029435</v>
      </c>
      <c r="Q13" s="5">
        <f>(Q12-$P$2*0.25-IF(WEEKDAY(K12,2)=5,60,0))*1.0175</f>
        <v>2000.9719929139851</v>
      </c>
    </row>
    <row r="14" spans="1:17">
      <c r="A14" s="1">
        <v>44574</v>
      </c>
      <c r="B14">
        <v>1.6</v>
      </c>
      <c r="C14">
        <v>0</v>
      </c>
      <c r="D14">
        <f t="shared" si="1"/>
        <v>1</v>
      </c>
      <c r="E14">
        <f>IF(AND(D15=staw3[[#This Row],[Miesiąc]],F14=1),E13+1,0)</f>
        <v>8</v>
      </c>
      <c r="F14">
        <f t="shared" si="0"/>
        <v>1</v>
      </c>
      <c r="G14">
        <v>13</v>
      </c>
      <c r="J14">
        <f t="shared" si="2"/>
        <v>13</v>
      </c>
      <c r="K14" s="1">
        <f t="shared" si="2"/>
        <v>44998</v>
      </c>
      <c r="L14">
        <f t="shared" si="3"/>
        <v>2059.175653381245</v>
      </c>
      <c r="M14">
        <f t="shared" si="4"/>
        <v>0.2059175653381245</v>
      </c>
      <c r="Q14" s="5">
        <f>(Q13-$P$2*0.25-IF(WEEKDAY(K13,2)=5,60,0))*1.0175</f>
        <v>2012.07775278998</v>
      </c>
    </row>
    <row r="15" spans="1:17">
      <c r="A15" s="1">
        <v>44575</v>
      </c>
      <c r="B15">
        <v>3.1</v>
      </c>
      <c r="C15">
        <v>0</v>
      </c>
      <c r="D15">
        <f t="shared" si="1"/>
        <v>1</v>
      </c>
      <c r="E15">
        <f>IF(AND(D16=staw3[[#This Row],[Miesiąc]],F15=1),E14+1,0)</f>
        <v>9</v>
      </c>
      <c r="F15">
        <f t="shared" si="0"/>
        <v>1</v>
      </c>
      <c r="G15">
        <v>14</v>
      </c>
      <c r="J15">
        <f t="shared" si="2"/>
        <v>14</v>
      </c>
      <c r="K15" s="1">
        <f t="shared" si="2"/>
        <v>44999</v>
      </c>
      <c r="L15">
        <f t="shared" si="3"/>
        <v>2074.8612273154167</v>
      </c>
      <c r="M15">
        <f t="shared" si="4"/>
        <v>0.20748612273154168</v>
      </c>
      <c r="Q15" s="5">
        <f>(Q14-$P$2*0.25-IF(WEEKDAY(K14,2)=5,60,0))*1.0175</f>
        <v>2023.3778634638047</v>
      </c>
    </row>
    <row r="16" spans="1:17">
      <c r="A16" s="1">
        <v>44576</v>
      </c>
      <c r="B16">
        <v>1.2</v>
      </c>
      <c r="C16">
        <v>0</v>
      </c>
      <c r="D16">
        <f t="shared" si="1"/>
        <v>1</v>
      </c>
      <c r="E16">
        <f>IF(AND(D17=staw3[[#This Row],[Miesiąc]],F16=1),E15+1,0)</f>
        <v>10</v>
      </c>
      <c r="F16">
        <f t="shared" si="0"/>
        <v>1</v>
      </c>
      <c r="G16">
        <v>15</v>
      </c>
      <c r="J16">
        <f t="shared" si="2"/>
        <v>15</v>
      </c>
      <c r="K16" s="1">
        <f t="shared" si="2"/>
        <v>45000</v>
      </c>
      <c r="L16">
        <f t="shared" si="3"/>
        <v>2090.8212987934367</v>
      </c>
      <c r="M16">
        <f t="shared" si="4"/>
        <v>0.20908212987934366</v>
      </c>
      <c r="Q16" s="5">
        <f>(Q15-$P$2*0.25-IF(WEEKDAY(K15,2)=5,60,0))*1.0175</f>
        <v>2034.8757260744214</v>
      </c>
    </row>
    <row r="17" spans="1:17">
      <c r="A17" s="1">
        <v>44577</v>
      </c>
      <c r="B17">
        <v>-0.8</v>
      </c>
      <c r="C17">
        <v>0</v>
      </c>
      <c r="D17">
        <f t="shared" si="1"/>
        <v>1</v>
      </c>
      <c r="E17">
        <f>IF(AND(D18=staw3[[#This Row],[Miesiąc]],F17=1),E16+1,0)</f>
        <v>11</v>
      </c>
      <c r="F17">
        <f t="shared" si="0"/>
        <v>1</v>
      </c>
      <c r="G17">
        <v>16</v>
      </c>
      <c r="J17">
        <f t="shared" si="2"/>
        <v>16</v>
      </c>
      <c r="K17" s="1">
        <f t="shared" si="2"/>
        <v>45001</v>
      </c>
      <c r="L17">
        <f t="shared" si="3"/>
        <v>2107.0606715223221</v>
      </c>
      <c r="M17">
        <f t="shared" si="4"/>
        <v>0.2107060671522322</v>
      </c>
      <c r="Q17" s="5">
        <f>(Q16-$P$2*0.25-IF(WEEKDAY(K16,2)=5,60,0))*1.0175</f>
        <v>2046.5748012807239</v>
      </c>
    </row>
    <row r="18" spans="1:17">
      <c r="A18" s="1">
        <v>44578</v>
      </c>
      <c r="B18">
        <v>1.8</v>
      </c>
      <c r="C18">
        <v>1</v>
      </c>
      <c r="D18">
        <f t="shared" si="1"/>
        <v>1</v>
      </c>
      <c r="E18">
        <f>IF(AND(D19=staw3[[#This Row],[Miesiąc]],F18=1),E17+1,0)</f>
        <v>0</v>
      </c>
      <c r="F18">
        <f t="shared" si="0"/>
        <v>0</v>
      </c>
      <c r="G18">
        <v>17</v>
      </c>
      <c r="J18">
        <f t="shared" si="2"/>
        <v>17</v>
      </c>
      <c r="K18" s="1">
        <f t="shared" si="2"/>
        <v>45002</v>
      </c>
      <c r="L18">
        <f t="shared" si="3"/>
        <v>2123.584233273963</v>
      </c>
      <c r="M18">
        <f t="shared" si="4"/>
        <v>0.2123584233273963</v>
      </c>
      <c r="Q18" s="5">
        <f>(Q17-$P$2*0.25-IF(WEEKDAY(K17,2)=5,60,0))*1.0175</f>
        <v>2058.4786103031365</v>
      </c>
    </row>
    <row r="19" spans="1:17">
      <c r="A19" s="1">
        <v>44579</v>
      </c>
      <c r="B19">
        <v>-0.2</v>
      </c>
      <c r="C19">
        <v>0</v>
      </c>
      <c r="D19">
        <f t="shared" si="1"/>
        <v>1</v>
      </c>
      <c r="E19">
        <f>IF(AND(D20=staw3[[#This Row],[Miesiąc]],F19=1),E18+1,0)</f>
        <v>1</v>
      </c>
      <c r="F19">
        <f t="shared" si="0"/>
        <v>1</v>
      </c>
      <c r="G19">
        <v>18</v>
      </c>
      <c r="J19">
        <f t="shared" si="2"/>
        <v>18</v>
      </c>
      <c r="K19" s="1">
        <f t="shared" si="2"/>
        <v>45003</v>
      </c>
      <c r="L19">
        <f t="shared" si="3"/>
        <v>2079.3469573562575</v>
      </c>
      <c r="M19">
        <f t="shared" si="4"/>
        <v>0.20793469573562576</v>
      </c>
      <c r="Q19" s="5">
        <f>(Q18-$P$2*0.25-IF(WEEKDAY(K18,2)=5,60,0))*1.0175</f>
        <v>2009.5407359834414</v>
      </c>
    </row>
    <row r="20" spans="1:17">
      <c r="A20" s="1">
        <v>44580</v>
      </c>
      <c r="B20">
        <v>1</v>
      </c>
      <c r="C20">
        <v>0</v>
      </c>
      <c r="D20">
        <f t="shared" si="1"/>
        <v>1</v>
      </c>
      <c r="E20">
        <f>IF(AND(D21=staw3[[#This Row],[Miesiąc]],F20=1),E19+1,0)</f>
        <v>2</v>
      </c>
      <c r="F20">
        <f t="shared" si="0"/>
        <v>1</v>
      </c>
      <c r="G20">
        <v>19</v>
      </c>
      <c r="J20">
        <f t="shared" ref="J20:K35" si="5">J19+1</f>
        <v>19</v>
      </c>
      <c r="K20" s="1">
        <f t="shared" si="5"/>
        <v>45004</v>
      </c>
      <c r="L20">
        <f t="shared" si="3"/>
        <v>2095.3855291099921</v>
      </c>
      <c r="M20">
        <f t="shared" si="4"/>
        <v>0.20953855291099921</v>
      </c>
      <c r="Q20" s="5">
        <f>(Q19-$P$2*0.25-IF(WEEKDAY(K19,2)=5,60,0))*1.0175</f>
        <v>2020.7964488631519</v>
      </c>
    </row>
    <row r="21" spans="1:17">
      <c r="A21" s="1">
        <v>44581</v>
      </c>
      <c r="B21">
        <v>0.5</v>
      </c>
      <c r="C21">
        <v>1</v>
      </c>
      <c r="D21">
        <f t="shared" si="1"/>
        <v>1</v>
      </c>
      <c r="E21">
        <f>IF(AND(D22=staw3[[#This Row],[Miesiąc]],F21=1),E20+1,0)</f>
        <v>0</v>
      </c>
      <c r="F21">
        <f t="shared" si="0"/>
        <v>0</v>
      </c>
      <c r="G21">
        <v>20</v>
      </c>
      <c r="J21">
        <f t="shared" si="5"/>
        <v>20</v>
      </c>
      <c r="K21" s="1">
        <f t="shared" si="5"/>
        <v>45005</v>
      </c>
      <c r="L21">
        <f t="shared" si="3"/>
        <v>2111.7047758694171</v>
      </c>
      <c r="M21">
        <f t="shared" si="4"/>
        <v>0.21117047758694171</v>
      </c>
      <c r="Q21" s="5">
        <f>(Q20-$P$2*0.25-IF(WEEKDAY(K20,2)=5,60,0))*1.0175</f>
        <v>2032.2491367182572</v>
      </c>
    </row>
    <row r="22" spans="1:17">
      <c r="A22" s="1">
        <v>44582</v>
      </c>
      <c r="B22">
        <v>-2.4</v>
      </c>
      <c r="C22">
        <v>0</v>
      </c>
      <c r="D22">
        <f t="shared" si="1"/>
        <v>1</v>
      </c>
      <c r="E22">
        <f>IF(AND(D23=staw3[[#This Row],[Miesiąc]],F22=1),E21+1,0)</f>
        <v>1</v>
      </c>
      <c r="F22">
        <f t="shared" si="0"/>
        <v>1</v>
      </c>
      <c r="G22">
        <v>21</v>
      </c>
      <c r="J22">
        <f t="shared" si="5"/>
        <v>21</v>
      </c>
      <c r="K22" s="1">
        <f t="shared" si="5"/>
        <v>45006</v>
      </c>
      <c r="L22">
        <f t="shared" si="3"/>
        <v>2128.3096094471321</v>
      </c>
      <c r="M22">
        <f t="shared" si="4"/>
        <v>0.21283096094471321</v>
      </c>
      <c r="Q22" s="5">
        <f>(Q21-$P$2*0.25-IF(WEEKDAY(K21,2)=5,60,0))*1.0175</f>
        <v>2043.9022466108268</v>
      </c>
    </row>
    <row r="23" spans="1:17">
      <c r="A23" s="1">
        <v>44583</v>
      </c>
      <c r="B23">
        <v>-2.5</v>
      </c>
      <c r="C23">
        <v>0</v>
      </c>
      <c r="D23">
        <f t="shared" si="1"/>
        <v>1</v>
      </c>
      <c r="E23">
        <f>IF(AND(D24=staw3[[#This Row],[Miesiąc]],F23=1),E22+1,0)</f>
        <v>2</v>
      </c>
      <c r="F23">
        <f t="shared" si="0"/>
        <v>1</v>
      </c>
      <c r="G23">
        <v>22</v>
      </c>
      <c r="J23">
        <f t="shared" si="5"/>
        <v>22</v>
      </c>
      <c r="K23" s="1">
        <f t="shared" si="5"/>
        <v>45007</v>
      </c>
      <c r="L23">
        <f t="shared" si="3"/>
        <v>2145.2050276124569</v>
      </c>
      <c r="M23">
        <f t="shared" si="4"/>
        <v>0.21452050276124568</v>
      </c>
      <c r="Q23" s="5">
        <f>(Q22-$P$2*0.25-IF(WEEKDAY(K22,2)=5,60,0))*1.0175</f>
        <v>2055.7592859265164</v>
      </c>
    </row>
    <row r="24" spans="1:17">
      <c r="A24" s="1">
        <v>44584</v>
      </c>
      <c r="B24">
        <v>-3.1</v>
      </c>
      <c r="C24">
        <v>0</v>
      </c>
      <c r="D24">
        <f t="shared" si="1"/>
        <v>1</v>
      </c>
      <c r="E24">
        <f>IF(AND(D25=staw3[[#This Row],[Miesiąc]],F24=1),E23+1,0)</f>
        <v>3</v>
      </c>
      <c r="F24">
        <f t="shared" si="0"/>
        <v>1</v>
      </c>
      <c r="G24">
        <v>23</v>
      </c>
      <c r="J24">
        <f t="shared" si="5"/>
        <v>23</v>
      </c>
      <c r="K24" s="1">
        <f t="shared" si="5"/>
        <v>45008</v>
      </c>
      <c r="L24">
        <f t="shared" si="3"/>
        <v>2162.3961155956749</v>
      </c>
      <c r="M24">
        <f t="shared" si="4"/>
        <v>0.2162396115595675</v>
      </c>
      <c r="Q24" s="5">
        <f>(Q23-$P$2*0.25-IF(WEEKDAY(K23,2)=5,60,0))*1.0175</f>
        <v>2067.8238234302307</v>
      </c>
    </row>
    <row r="25" spans="1:17">
      <c r="A25" s="1">
        <v>44585</v>
      </c>
      <c r="B25">
        <v>-6.6</v>
      </c>
      <c r="C25">
        <v>0</v>
      </c>
      <c r="D25">
        <f t="shared" si="1"/>
        <v>1</v>
      </c>
      <c r="E25">
        <f>IF(AND(D26=staw3[[#This Row],[Miesiąc]],F25=1),E24+1,0)</f>
        <v>4</v>
      </c>
      <c r="F25">
        <f t="shared" si="0"/>
        <v>1</v>
      </c>
      <c r="G25">
        <v>24</v>
      </c>
      <c r="J25">
        <f t="shared" si="5"/>
        <v>24</v>
      </c>
      <c r="K25" s="1">
        <f t="shared" si="5"/>
        <v>45009</v>
      </c>
      <c r="L25">
        <f t="shared" si="3"/>
        <v>2179.8880476185996</v>
      </c>
      <c r="M25">
        <f t="shared" si="4"/>
        <v>0.21798880476185994</v>
      </c>
      <c r="Q25" s="5">
        <f>(Q24-$P$2*0.25-IF(WEEKDAY(K24,2)=5,60,0))*1.0175</f>
        <v>2080.0994903402598</v>
      </c>
    </row>
    <row r="26" spans="1:17">
      <c r="A26" s="1">
        <v>44586</v>
      </c>
      <c r="B26">
        <v>0.2</v>
      </c>
      <c r="C26">
        <v>0</v>
      </c>
      <c r="D26">
        <f t="shared" si="1"/>
        <v>1</v>
      </c>
      <c r="E26">
        <f>IF(AND(D27=staw3[[#This Row],[Miesiąc]],F26=1),E25+1,0)</f>
        <v>5</v>
      </c>
      <c r="F26">
        <f t="shared" si="0"/>
        <v>1</v>
      </c>
      <c r="G26">
        <v>25</v>
      </c>
      <c r="J26">
        <f t="shared" si="5"/>
        <v>25</v>
      </c>
      <c r="K26" s="1">
        <f t="shared" si="5"/>
        <v>45010</v>
      </c>
      <c r="L26">
        <f t="shared" si="3"/>
        <v>2136.6360884519254</v>
      </c>
      <c r="M26">
        <f t="shared" si="4"/>
        <v>0.21366360884519253</v>
      </c>
      <c r="Q26" s="5">
        <f>(Q25-$P$2*0.25-IF(WEEKDAY(K25,2)=5,60,0))*1.0175</f>
        <v>2031.5399814212144</v>
      </c>
    </row>
    <row r="27" spans="1:17">
      <c r="A27" s="1">
        <v>44587</v>
      </c>
      <c r="B27">
        <v>1.6</v>
      </c>
      <c r="C27">
        <v>1</v>
      </c>
      <c r="D27">
        <f t="shared" si="1"/>
        <v>1</v>
      </c>
      <c r="E27">
        <f>IF(AND(D28=staw3[[#This Row],[Miesiąc]],F27=1),E26+1,0)</f>
        <v>0</v>
      </c>
      <c r="F27">
        <f t="shared" si="0"/>
        <v>0</v>
      </c>
      <c r="G27">
        <v>26</v>
      </c>
      <c r="J27">
        <f t="shared" si="5"/>
        <v>26</v>
      </c>
      <c r="K27" s="1">
        <f t="shared" si="5"/>
        <v>45011</v>
      </c>
      <c r="L27">
        <f t="shared" si="3"/>
        <v>2153.6772199998341</v>
      </c>
      <c r="M27">
        <f t="shared" si="4"/>
        <v>0.21536772199998341</v>
      </c>
      <c r="Q27" s="5">
        <f>(Q26-$P$2*0.25-IF(WEEKDAY(K26,2)=5,60,0))*1.0175</f>
        <v>2043.1806810960859</v>
      </c>
    </row>
    <row r="28" spans="1:17">
      <c r="A28" s="1">
        <v>44588</v>
      </c>
      <c r="B28">
        <v>1.6</v>
      </c>
      <c r="C28">
        <v>2</v>
      </c>
      <c r="D28">
        <f t="shared" si="1"/>
        <v>1</v>
      </c>
      <c r="E28">
        <f>IF(AND(D29=staw3[[#This Row],[Miesiąc]],F28=1),E27+1,0)</f>
        <v>0</v>
      </c>
      <c r="F28">
        <f t="shared" si="0"/>
        <v>0</v>
      </c>
      <c r="G28">
        <v>27</v>
      </c>
      <c r="J28">
        <f t="shared" si="5"/>
        <v>27</v>
      </c>
      <c r="K28" s="1">
        <f t="shared" si="5"/>
        <v>45012</v>
      </c>
      <c r="L28">
        <f t="shared" si="3"/>
        <v>2171.0165713498313</v>
      </c>
      <c r="M28">
        <f t="shared" si="4"/>
        <v>0.21710165713498314</v>
      </c>
      <c r="Q28" s="5">
        <f>(Q27-$P$2*0.25-IF(WEEKDAY(K27,2)=5,60,0))*1.0175</f>
        <v>2055.0250930152674</v>
      </c>
    </row>
    <row r="29" spans="1:17">
      <c r="A29" s="1">
        <v>44589</v>
      </c>
      <c r="B29">
        <v>2.2000000000000002</v>
      </c>
      <c r="C29">
        <v>3</v>
      </c>
      <c r="D29">
        <f t="shared" si="1"/>
        <v>1</v>
      </c>
      <c r="E29">
        <f>IF(AND(D30=staw3[[#This Row],[Miesiąc]],F29=1),E28+1,0)</f>
        <v>0</v>
      </c>
      <c r="F29">
        <f t="shared" si="0"/>
        <v>0</v>
      </c>
      <c r="G29">
        <v>28</v>
      </c>
      <c r="J29">
        <f t="shared" si="5"/>
        <v>28</v>
      </c>
      <c r="K29" s="1">
        <f t="shared" si="5"/>
        <v>45013</v>
      </c>
      <c r="L29">
        <f t="shared" si="3"/>
        <v>2188.6593613484533</v>
      </c>
      <c r="M29">
        <f t="shared" si="4"/>
        <v>0.21886593613484534</v>
      </c>
      <c r="Q29" s="5">
        <f>(Q28-$P$2*0.25-IF(WEEKDAY(K28,2)=5,60,0))*1.0175</f>
        <v>2067.076782143035</v>
      </c>
    </row>
    <row r="30" spans="1:17">
      <c r="A30" s="1">
        <v>44590</v>
      </c>
      <c r="B30">
        <v>1.6</v>
      </c>
      <c r="C30">
        <v>0</v>
      </c>
      <c r="D30">
        <f t="shared" si="1"/>
        <v>1</v>
      </c>
      <c r="E30">
        <f>IF(AND(D31=staw3[[#This Row],[Miesiąc]],F30=1),E29+1,0)</f>
        <v>1</v>
      </c>
      <c r="F30">
        <f t="shared" si="0"/>
        <v>1</v>
      </c>
      <c r="G30">
        <v>29</v>
      </c>
      <c r="J30">
        <f t="shared" si="5"/>
        <v>29</v>
      </c>
      <c r="K30" s="1">
        <f t="shared" si="5"/>
        <v>45014</v>
      </c>
      <c r="L30">
        <f t="shared" si="3"/>
        <v>2206.6109001720515</v>
      </c>
      <c r="M30">
        <f t="shared" si="4"/>
        <v>0.22066109001720516</v>
      </c>
      <c r="Q30" s="5">
        <f>(Q29-$P$2*0.25-IF(WEEKDAY(K29,2)=5,60,0))*1.0175</f>
        <v>2079.3393758305383</v>
      </c>
    </row>
    <row r="31" spans="1:17">
      <c r="A31" s="1">
        <v>44591</v>
      </c>
      <c r="B31">
        <v>4</v>
      </c>
      <c r="C31">
        <v>6</v>
      </c>
      <c r="D31">
        <f t="shared" si="1"/>
        <v>1</v>
      </c>
      <c r="E31">
        <f>IF(AND(D32=staw3[[#This Row],[Miesiąc]],F31=1),E30+1,0)</f>
        <v>0</v>
      </c>
      <c r="F31">
        <f t="shared" si="0"/>
        <v>0</v>
      </c>
      <c r="G31">
        <v>30</v>
      </c>
      <c r="J31">
        <f t="shared" si="5"/>
        <v>30</v>
      </c>
      <c r="K31" s="1">
        <f t="shared" si="5"/>
        <v>45015</v>
      </c>
      <c r="L31">
        <f t="shared" si="3"/>
        <v>2224.8765909250624</v>
      </c>
      <c r="M31">
        <f t="shared" si="4"/>
        <v>0.22248765909250623</v>
      </c>
      <c r="Q31" s="5">
        <f>(Q30-$P$2*0.25-IF(WEEKDAY(K30,2)=5,60,0))*1.0175</f>
        <v>2091.8165649075727</v>
      </c>
    </row>
    <row r="32" spans="1:17">
      <c r="A32" s="1">
        <v>44592</v>
      </c>
      <c r="B32">
        <v>1.7</v>
      </c>
      <c r="C32">
        <v>0</v>
      </c>
      <c r="D32">
        <f t="shared" si="1"/>
        <v>1</v>
      </c>
      <c r="E32">
        <f>IF(AND(D33=staw3[[#This Row],[Miesiąc]],F32=1),E31+1,0)</f>
        <v>0</v>
      </c>
      <c r="F32">
        <f t="shared" si="0"/>
        <v>1</v>
      </c>
      <c r="G32">
        <v>31</v>
      </c>
      <c r="J32">
        <f t="shared" si="5"/>
        <v>31</v>
      </c>
      <c r="K32" s="1">
        <f t="shared" si="5"/>
        <v>45016</v>
      </c>
      <c r="L32">
        <f t="shared" si="3"/>
        <v>2243.4619312662512</v>
      </c>
      <c r="M32">
        <f t="shared" si="4"/>
        <v>0.22434619312662513</v>
      </c>
      <c r="Q32" s="5">
        <f>(Q31-$P$2*0.25-IF(WEEKDAY(K31,2)=5,60,0))*1.0175</f>
        <v>2104.5121047934554</v>
      </c>
    </row>
    <row r="33" spans="1:17">
      <c r="A33" s="1">
        <v>44593</v>
      </c>
      <c r="B33">
        <v>0.8</v>
      </c>
      <c r="C33">
        <v>0</v>
      </c>
      <c r="D33">
        <f t="shared" si="1"/>
        <v>2</v>
      </c>
      <c r="E33">
        <f>IF(AND(D34=staw3[[#This Row],[Miesiąc]],F33=1),E32+1,0)</f>
        <v>1</v>
      </c>
      <c r="F33">
        <f t="shared" si="0"/>
        <v>1</v>
      </c>
      <c r="G33">
        <v>32</v>
      </c>
      <c r="J33">
        <f t="shared" si="5"/>
        <v>32</v>
      </c>
      <c r="K33" s="1">
        <f t="shared" si="5"/>
        <v>45017</v>
      </c>
      <c r="L33">
        <f t="shared" si="3"/>
        <v>2201.3225150634107</v>
      </c>
      <c r="M33">
        <f t="shared" si="4"/>
        <v>0.22013225150634108</v>
      </c>
      <c r="Q33" s="5">
        <f>(Q32-$P$2*0.25-IF(WEEKDAY(K32,2)=5,60,0))*1.0175</f>
        <v>2056.3798166273409</v>
      </c>
    </row>
    <row r="34" spans="1:17">
      <c r="A34" s="1">
        <v>44594</v>
      </c>
      <c r="B34">
        <v>2</v>
      </c>
      <c r="C34">
        <v>8</v>
      </c>
      <c r="D34">
        <f t="shared" si="1"/>
        <v>2</v>
      </c>
      <c r="E34">
        <f>IF(AND(D35=staw3[[#This Row],[Miesiąc]],F34=1),E33+1,0)</f>
        <v>0</v>
      </c>
      <c r="F34">
        <f t="shared" si="0"/>
        <v>0</v>
      </c>
      <c r="G34">
        <v>33</v>
      </c>
      <c r="J34">
        <f t="shared" si="5"/>
        <v>33</v>
      </c>
      <c r="K34" s="1">
        <f t="shared" si="5"/>
        <v>45018</v>
      </c>
      <c r="L34">
        <f t="shared" si="3"/>
        <v>2219.4956590770207</v>
      </c>
      <c r="M34">
        <f t="shared" si="4"/>
        <v>0.22194956590770207</v>
      </c>
      <c r="Q34" s="5">
        <f>(Q33-$P$2*0.25-IF(WEEKDAY(K33,2)=5,60,0))*1.0175</f>
        <v>2068.4552134183195</v>
      </c>
    </row>
    <row r="35" spans="1:17">
      <c r="A35" s="1">
        <v>44595</v>
      </c>
      <c r="B35">
        <v>0.4</v>
      </c>
      <c r="C35">
        <v>1</v>
      </c>
      <c r="D35">
        <f t="shared" si="1"/>
        <v>2</v>
      </c>
      <c r="E35">
        <f>IF(AND(D36=staw3[[#This Row],[Miesiąc]],F35=1),E34+1,0)</f>
        <v>0</v>
      </c>
      <c r="F35">
        <f t="shared" si="0"/>
        <v>0</v>
      </c>
      <c r="G35">
        <v>34</v>
      </c>
      <c r="J35">
        <f t="shared" si="5"/>
        <v>34</v>
      </c>
      <c r="K35" s="1">
        <f t="shared" si="5"/>
        <v>45019</v>
      </c>
      <c r="L35">
        <f t="shared" si="3"/>
        <v>2237.9868331108687</v>
      </c>
      <c r="M35">
        <f t="shared" si="4"/>
        <v>0.22379868331108688</v>
      </c>
      <c r="Q35" s="5">
        <f>(Q34-$P$2*0.25-IF(WEEKDAY(K34,2)=5,60,0))*1.0175</f>
        <v>2080.7419296531402</v>
      </c>
    </row>
    <row r="36" spans="1:17">
      <c r="A36" s="1">
        <v>44596</v>
      </c>
      <c r="B36">
        <v>2.1</v>
      </c>
      <c r="C36">
        <v>1</v>
      </c>
      <c r="D36">
        <f t="shared" si="1"/>
        <v>2</v>
      </c>
      <c r="E36">
        <f>IF(AND(D37=staw3[[#This Row],[Miesiąc]],F36=1),E35+1,0)</f>
        <v>0</v>
      </c>
      <c r="F36">
        <f t="shared" si="0"/>
        <v>0</v>
      </c>
      <c r="G36">
        <v>35</v>
      </c>
      <c r="J36">
        <f t="shared" ref="J36:K51" si="6">J35+1</f>
        <v>35</v>
      </c>
      <c r="K36" s="1">
        <f t="shared" si="6"/>
        <v>45020</v>
      </c>
      <c r="L36">
        <f t="shared" si="3"/>
        <v>2256.8016026903092</v>
      </c>
      <c r="M36">
        <f t="shared" si="4"/>
        <v>0.22568016026903093</v>
      </c>
      <c r="Q36" s="5">
        <f>(Q35-$P$2*0.25-IF(WEEKDAY(K35,2)=5,60,0))*1.0175</f>
        <v>2093.2436634220703</v>
      </c>
    </row>
    <row r="37" spans="1:17">
      <c r="A37" s="1">
        <v>44597</v>
      </c>
      <c r="B37">
        <v>3.4</v>
      </c>
      <c r="C37">
        <v>0</v>
      </c>
      <c r="D37">
        <f t="shared" si="1"/>
        <v>2</v>
      </c>
      <c r="E37">
        <f>IF(AND(D38=staw3[[#This Row],[Miesiąc]],F37=1),E36+1,0)</f>
        <v>1</v>
      </c>
      <c r="F37">
        <f t="shared" si="0"/>
        <v>1</v>
      </c>
      <c r="G37">
        <v>36</v>
      </c>
      <c r="J37">
        <f t="shared" si="6"/>
        <v>36</v>
      </c>
      <c r="K37" s="1">
        <f t="shared" si="6"/>
        <v>45021</v>
      </c>
      <c r="L37">
        <f t="shared" si="3"/>
        <v>2275.9456307373898</v>
      </c>
      <c r="M37">
        <f t="shared" si="4"/>
        <v>0.22759456307373899</v>
      </c>
      <c r="Q37" s="5">
        <f>(Q36-$P$2*0.25-IF(WEEKDAY(K36,2)=5,60,0))*1.0175</f>
        <v>2105.9641775319565</v>
      </c>
    </row>
    <row r="38" spans="1:17">
      <c r="A38" s="1">
        <v>44598</v>
      </c>
      <c r="B38">
        <v>4.5</v>
      </c>
      <c r="C38">
        <v>0</v>
      </c>
      <c r="D38">
        <f t="shared" si="1"/>
        <v>2</v>
      </c>
      <c r="E38">
        <f>IF(AND(D39=staw3[[#This Row],[Miesiąc]],F38=1),E37+1,0)</f>
        <v>2</v>
      </c>
      <c r="F38">
        <f t="shared" si="0"/>
        <v>1</v>
      </c>
      <c r="G38">
        <v>37</v>
      </c>
      <c r="J38">
        <f t="shared" si="6"/>
        <v>37</v>
      </c>
      <c r="K38" s="1">
        <f t="shared" si="6"/>
        <v>45022</v>
      </c>
      <c r="L38">
        <f t="shared" si="3"/>
        <v>2295.4246792752942</v>
      </c>
      <c r="M38">
        <f t="shared" si="4"/>
        <v>0.22954246792752941</v>
      </c>
      <c r="Q38" s="5">
        <f>(Q37-$P$2*0.25-IF(WEEKDAY(K37,2)=5,60,0))*1.0175</f>
        <v>2118.9073006387657</v>
      </c>
    </row>
    <row r="39" spans="1:17">
      <c r="A39" s="1">
        <v>44599</v>
      </c>
      <c r="B39">
        <v>3.6</v>
      </c>
      <c r="C39">
        <v>0</v>
      </c>
      <c r="D39">
        <f t="shared" si="1"/>
        <v>2</v>
      </c>
      <c r="E39">
        <f>IF(AND(D40=staw3[[#This Row],[Miesiąc]],F39=1),E38+1,0)</f>
        <v>3</v>
      </c>
      <c r="F39">
        <f t="shared" si="0"/>
        <v>1</v>
      </c>
      <c r="G39">
        <v>38</v>
      </c>
      <c r="J39">
        <f t="shared" si="6"/>
        <v>38</v>
      </c>
      <c r="K39" s="1">
        <f t="shared" si="6"/>
        <v>45023</v>
      </c>
      <c r="L39">
        <f t="shared" si="3"/>
        <v>2315.2446111626123</v>
      </c>
      <c r="M39">
        <f t="shared" si="4"/>
        <v>0.23152446111626124</v>
      </c>
      <c r="Q39" s="5">
        <f>(Q38-$P$2*0.25-IF(WEEKDAY(K38,2)=5,60,0))*1.0175</f>
        <v>2132.0769283999443</v>
      </c>
    </row>
    <row r="40" spans="1:17">
      <c r="A40" s="1">
        <v>44600</v>
      </c>
      <c r="B40">
        <v>3.6</v>
      </c>
      <c r="C40">
        <v>1</v>
      </c>
      <c r="D40">
        <f t="shared" si="1"/>
        <v>2</v>
      </c>
      <c r="E40">
        <f>IF(AND(D41=staw3[[#This Row],[Miesiąc]],F40=1),E39+1,0)</f>
        <v>0</v>
      </c>
      <c r="F40">
        <f t="shared" si="0"/>
        <v>0</v>
      </c>
      <c r="G40">
        <v>39</v>
      </c>
      <c r="J40">
        <f t="shared" si="6"/>
        <v>39</v>
      </c>
      <c r="K40" s="1">
        <f t="shared" si="6"/>
        <v>45024</v>
      </c>
      <c r="L40">
        <f t="shared" si="3"/>
        <v>2274.3613918579581</v>
      </c>
      <c r="M40">
        <f t="shared" si="4"/>
        <v>0.2274361391857958</v>
      </c>
      <c r="Q40" s="5">
        <f>(Q39-$P$2*0.25-IF(WEEKDAY(K39,2)=5,60,0))*1.0175</f>
        <v>2084.4270246469437</v>
      </c>
    </row>
    <row r="41" spans="1:17">
      <c r="A41" s="1">
        <v>44601</v>
      </c>
      <c r="B41">
        <v>6.8</v>
      </c>
      <c r="C41">
        <v>2</v>
      </c>
      <c r="D41">
        <f t="shared" si="1"/>
        <v>2</v>
      </c>
      <c r="E41">
        <f>IF(AND(D42=staw3[[#This Row],[Miesiąc]],F41=1),E40+1,0)</f>
        <v>0</v>
      </c>
      <c r="F41">
        <f t="shared" si="0"/>
        <v>0</v>
      </c>
      <c r="G41">
        <v>40</v>
      </c>
      <c r="J41">
        <f t="shared" si="6"/>
        <v>40</v>
      </c>
      <c r="K41" s="1">
        <f t="shared" si="6"/>
        <v>45025</v>
      </c>
      <c r="L41">
        <f t="shared" si="3"/>
        <v>2293.8127162154724</v>
      </c>
      <c r="M41">
        <f t="shared" si="4"/>
        <v>0.22938127162154723</v>
      </c>
      <c r="Q41" s="5">
        <f>(Q40-$P$2*0.25-IF(WEEKDAY(K40,2)=5,60,0))*1.0175</f>
        <v>2096.9932475782653</v>
      </c>
    </row>
    <row r="42" spans="1:17">
      <c r="A42" s="1">
        <v>44602</v>
      </c>
      <c r="B42">
        <v>6.8</v>
      </c>
      <c r="C42">
        <v>0</v>
      </c>
      <c r="D42">
        <f t="shared" si="1"/>
        <v>2</v>
      </c>
      <c r="E42">
        <f>IF(AND(D43=staw3[[#This Row],[Miesiąc]],F42=1),E41+1,0)</f>
        <v>1</v>
      </c>
      <c r="F42">
        <f t="shared" si="0"/>
        <v>1</v>
      </c>
      <c r="G42">
        <v>41</v>
      </c>
      <c r="J42">
        <f t="shared" si="6"/>
        <v>41</v>
      </c>
      <c r="K42" s="1">
        <f t="shared" si="6"/>
        <v>45026</v>
      </c>
      <c r="L42">
        <f t="shared" si="3"/>
        <v>2313.6044387492434</v>
      </c>
      <c r="M42">
        <f t="shared" si="4"/>
        <v>0.23136044387492433</v>
      </c>
      <c r="Q42" s="5">
        <f>(Q41-$P$2*0.25-IF(WEEKDAY(K41,2)=5,60,0))*1.0175</f>
        <v>2109.7793794108852</v>
      </c>
    </row>
    <row r="43" spans="1:17">
      <c r="A43" s="1">
        <v>44603</v>
      </c>
      <c r="B43">
        <v>5.8</v>
      </c>
      <c r="C43">
        <v>0</v>
      </c>
      <c r="D43">
        <f t="shared" si="1"/>
        <v>2</v>
      </c>
      <c r="E43">
        <f>IF(AND(D44=staw3[[#This Row],[Miesiąc]],F43=1),E42+1,0)</f>
        <v>2</v>
      </c>
      <c r="F43">
        <f t="shared" si="0"/>
        <v>1</v>
      </c>
      <c r="G43">
        <v>42</v>
      </c>
      <c r="J43">
        <f t="shared" si="6"/>
        <v>42</v>
      </c>
      <c r="K43" s="1">
        <f t="shared" si="6"/>
        <v>45027</v>
      </c>
      <c r="L43">
        <f t="shared" si="3"/>
        <v>2333.7425164273554</v>
      </c>
      <c r="M43">
        <f t="shared" si="4"/>
        <v>0.23337425164273554</v>
      </c>
      <c r="Q43" s="5">
        <f>(Q42-$P$2*0.25-IF(WEEKDAY(K42,2)=5,60,0))*1.0175</f>
        <v>2122.7892685505758</v>
      </c>
    </row>
    <row r="44" spans="1:17">
      <c r="A44" s="1">
        <v>44604</v>
      </c>
      <c r="B44">
        <v>1.3</v>
      </c>
      <c r="C44">
        <v>0</v>
      </c>
      <c r="D44">
        <f t="shared" si="1"/>
        <v>2</v>
      </c>
      <c r="E44">
        <f>IF(AND(D45=staw3[[#This Row],[Miesiąc]],F44=1),E43+1,0)</f>
        <v>3</v>
      </c>
      <c r="F44">
        <f t="shared" si="0"/>
        <v>1</v>
      </c>
      <c r="G44">
        <v>43</v>
      </c>
      <c r="J44">
        <f t="shared" si="6"/>
        <v>43</v>
      </c>
      <c r="K44" s="1">
        <f t="shared" si="6"/>
        <v>45028</v>
      </c>
      <c r="L44">
        <f t="shared" si="3"/>
        <v>2354.2330104648345</v>
      </c>
      <c r="M44">
        <f t="shared" si="4"/>
        <v>0.23542330104648346</v>
      </c>
      <c r="Q44" s="5">
        <f>(Q43-$P$2*0.25-IF(WEEKDAY(K43,2)=5,60,0))*1.0175</f>
        <v>2136.026830750211</v>
      </c>
    </row>
    <row r="45" spans="1:17">
      <c r="A45" s="1">
        <v>44605</v>
      </c>
      <c r="B45">
        <v>2.2999999999999998</v>
      </c>
      <c r="C45">
        <v>0</v>
      </c>
      <c r="D45">
        <f t="shared" si="1"/>
        <v>2</v>
      </c>
      <c r="E45">
        <f>IF(AND(D46=staw3[[#This Row],[Miesiąc]],F45=1),E44+1,0)</f>
        <v>4</v>
      </c>
      <c r="F45">
        <f t="shared" si="0"/>
        <v>1</v>
      </c>
      <c r="G45">
        <v>44</v>
      </c>
      <c r="J45">
        <f t="shared" si="6"/>
        <v>44</v>
      </c>
      <c r="K45" s="1">
        <f t="shared" si="6"/>
        <v>45029</v>
      </c>
      <c r="L45">
        <f t="shared" si="3"/>
        <v>2375.0820881479694</v>
      </c>
      <c r="M45">
        <f t="shared" si="4"/>
        <v>0.23750820881479695</v>
      </c>
      <c r="Q45" s="5">
        <f>(Q44-$P$2*0.25-IF(WEEKDAY(K44,2)=5,60,0))*1.0175</f>
        <v>2149.49605028834</v>
      </c>
    </row>
    <row r="46" spans="1:17">
      <c r="A46" s="1">
        <v>44606</v>
      </c>
      <c r="B46">
        <v>4.5</v>
      </c>
      <c r="C46">
        <v>0</v>
      </c>
      <c r="D46">
        <f t="shared" si="1"/>
        <v>2</v>
      </c>
      <c r="E46">
        <f>IF(AND(D47=staw3[[#This Row],[Miesiąc]],F46=1),E45+1,0)</f>
        <v>5</v>
      </c>
      <c r="F46">
        <f t="shared" si="0"/>
        <v>1</v>
      </c>
      <c r="G46">
        <v>45</v>
      </c>
      <c r="J46">
        <f t="shared" si="6"/>
        <v>45</v>
      </c>
      <c r="K46" s="1">
        <f t="shared" si="6"/>
        <v>45030</v>
      </c>
      <c r="L46">
        <f t="shared" si="3"/>
        <v>2396.2960246905591</v>
      </c>
      <c r="M46">
        <f t="shared" si="4"/>
        <v>0.2396296024690559</v>
      </c>
      <c r="Q46" s="5">
        <f>(Q45-$P$2*0.25-IF(WEEKDAY(K45,2)=5,60,0))*1.0175</f>
        <v>2163.2009811683861</v>
      </c>
    </row>
    <row r="47" spans="1:17">
      <c r="A47" s="1">
        <v>44607</v>
      </c>
      <c r="B47">
        <v>5.6</v>
      </c>
      <c r="C47">
        <v>0</v>
      </c>
      <c r="D47">
        <f t="shared" si="1"/>
        <v>2</v>
      </c>
      <c r="E47">
        <f>IF(AND(D48=staw3[[#This Row],[Miesiąc]],F47=1),E46+1,0)</f>
        <v>6</v>
      </c>
      <c r="F47">
        <f t="shared" si="0"/>
        <v>1</v>
      </c>
      <c r="G47">
        <v>46</v>
      </c>
      <c r="J47">
        <f t="shared" si="6"/>
        <v>46</v>
      </c>
      <c r="K47" s="1">
        <f t="shared" si="6"/>
        <v>45031</v>
      </c>
      <c r="L47">
        <f t="shared" si="3"/>
        <v>2356.831205122644</v>
      </c>
      <c r="M47">
        <f t="shared" si="4"/>
        <v>0.23568312051226439</v>
      </c>
      <c r="Q47" s="5">
        <f>(Q46-$P$2*0.25-IF(WEEKDAY(K46,2)=5,60,0))*1.0175</f>
        <v>2116.0957483388329</v>
      </c>
    </row>
    <row r="48" spans="1:17">
      <c r="A48" s="1">
        <v>44608</v>
      </c>
      <c r="B48">
        <v>6.4</v>
      </c>
      <c r="C48">
        <v>0</v>
      </c>
      <c r="D48">
        <f t="shared" si="1"/>
        <v>2</v>
      </c>
      <c r="E48">
        <f>IF(AND(D49=staw3[[#This Row],[Miesiąc]],F48=1),E47+1,0)</f>
        <v>7</v>
      </c>
      <c r="F48">
        <f t="shared" si="0"/>
        <v>1</v>
      </c>
      <c r="G48">
        <v>47</v>
      </c>
      <c r="J48">
        <f t="shared" si="6"/>
        <v>47</v>
      </c>
      <c r="K48" s="1">
        <f t="shared" si="6"/>
        <v>45032</v>
      </c>
      <c r="L48">
        <f t="shared" si="3"/>
        <v>2377.7257512122906</v>
      </c>
      <c r="M48">
        <f t="shared" si="4"/>
        <v>0.23777257512122907</v>
      </c>
      <c r="Q48" s="5">
        <f>(Q47-$P$2*0.25-IF(WEEKDAY(K47,2)=5,60,0))*1.0175</f>
        <v>2129.2161739347625</v>
      </c>
    </row>
    <row r="49" spans="1:17">
      <c r="A49" s="1">
        <v>44609</v>
      </c>
      <c r="B49">
        <v>7.4</v>
      </c>
      <c r="C49">
        <v>9</v>
      </c>
      <c r="D49">
        <f t="shared" si="1"/>
        <v>2</v>
      </c>
      <c r="E49">
        <f>IF(AND(D50=staw3[[#This Row],[Miesiąc]],F49=1),E48+1,0)</f>
        <v>0</v>
      </c>
      <c r="F49">
        <f t="shared" si="0"/>
        <v>0</v>
      </c>
      <c r="G49">
        <v>48</v>
      </c>
      <c r="J49">
        <f t="shared" si="6"/>
        <v>48</v>
      </c>
      <c r="K49" s="1">
        <f t="shared" si="6"/>
        <v>45033</v>
      </c>
      <c r="L49">
        <f t="shared" si="3"/>
        <v>2398.9859518585058</v>
      </c>
      <c r="M49">
        <f t="shared" si="4"/>
        <v>0.23989859518585058</v>
      </c>
      <c r="Q49" s="5">
        <f>(Q48-$P$2*0.25-IF(WEEKDAY(K48,2)=5,60,0))*1.0175</f>
        <v>2142.5662069786208</v>
      </c>
    </row>
    <row r="50" spans="1:17">
      <c r="A50" s="1">
        <v>44610</v>
      </c>
      <c r="B50">
        <v>6.9</v>
      </c>
      <c r="C50">
        <v>0</v>
      </c>
      <c r="D50">
        <f t="shared" si="1"/>
        <v>2</v>
      </c>
      <c r="E50">
        <f>IF(AND(D51=staw3[[#This Row],[Miesiąc]],F50=1),E49+1,0)</f>
        <v>1</v>
      </c>
      <c r="F50">
        <f t="shared" si="0"/>
        <v>1</v>
      </c>
      <c r="G50">
        <v>49</v>
      </c>
      <c r="J50">
        <f t="shared" si="6"/>
        <v>49</v>
      </c>
      <c r="K50" s="1">
        <f t="shared" si="6"/>
        <v>45034</v>
      </c>
      <c r="L50">
        <f t="shared" si="3"/>
        <v>2420.6182060160299</v>
      </c>
      <c r="M50">
        <f t="shared" si="4"/>
        <v>0.242061820601603</v>
      </c>
      <c r="Q50" s="5">
        <f>(Q49-$P$2*0.25-IF(WEEKDAY(K49,2)=5,60,0))*1.0175</f>
        <v>2156.149865600747</v>
      </c>
    </row>
    <row r="51" spans="1:17">
      <c r="A51" s="1">
        <v>44611</v>
      </c>
      <c r="B51">
        <v>8.8000000000000007</v>
      </c>
      <c r="C51">
        <v>0</v>
      </c>
      <c r="D51">
        <f t="shared" si="1"/>
        <v>2</v>
      </c>
      <c r="E51">
        <f>IF(AND(D52=staw3[[#This Row],[Miesiąc]],F51=1),E50+1,0)</f>
        <v>2</v>
      </c>
      <c r="F51">
        <f t="shared" si="0"/>
        <v>1</v>
      </c>
      <c r="G51">
        <v>50</v>
      </c>
      <c r="J51">
        <f t="shared" si="6"/>
        <v>50</v>
      </c>
      <c r="K51" s="1">
        <f t="shared" si="6"/>
        <v>45035</v>
      </c>
      <c r="L51">
        <f t="shared" si="3"/>
        <v>2442.6290246213107</v>
      </c>
      <c r="M51">
        <f t="shared" si="4"/>
        <v>0.24426290246213106</v>
      </c>
      <c r="Q51" s="5">
        <f>(Q50-$P$2*0.25-IF(WEEKDAY(K50,2)=5,60,0))*1.0175</f>
        <v>2169.9712382487601</v>
      </c>
    </row>
    <row r="52" spans="1:17">
      <c r="A52" s="1">
        <v>44612</v>
      </c>
      <c r="B52">
        <v>5.2</v>
      </c>
      <c r="C52">
        <v>0</v>
      </c>
      <c r="D52">
        <f t="shared" si="1"/>
        <v>2</v>
      </c>
      <c r="E52">
        <f>IF(AND(D53=staw3[[#This Row],[Miesiąc]],F52=1),E51+1,0)</f>
        <v>3</v>
      </c>
      <c r="F52">
        <f t="shared" si="0"/>
        <v>1</v>
      </c>
      <c r="G52">
        <v>51</v>
      </c>
      <c r="J52">
        <f t="shared" ref="J52:K67" si="7">J51+1</f>
        <v>51</v>
      </c>
      <c r="K52" s="1">
        <f t="shared" si="7"/>
        <v>45036</v>
      </c>
      <c r="L52">
        <f t="shared" si="3"/>
        <v>2465.0250325521838</v>
      </c>
      <c r="M52">
        <f t="shared" si="4"/>
        <v>0.24650250325521839</v>
      </c>
      <c r="Q52" s="5">
        <f>(Q51-$P$2*0.25-IF(WEEKDAY(K51,2)=5,60,0))*1.0175</f>
        <v>2184.0344849181133</v>
      </c>
    </row>
    <row r="53" spans="1:17">
      <c r="A53" s="1">
        <v>44613</v>
      </c>
      <c r="B53">
        <v>7.2</v>
      </c>
      <c r="C53">
        <v>1</v>
      </c>
      <c r="D53">
        <f t="shared" si="1"/>
        <v>2</v>
      </c>
      <c r="E53">
        <f>IF(AND(D54=staw3[[#This Row],[Miesiąc]],F53=1),E52+1,0)</f>
        <v>0</v>
      </c>
      <c r="F53">
        <f t="shared" si="0"/>
        <v>0</v>
      </c>
      <c r="G53">
        <v>52</v>
      </c>
      <c r="J53">
        <f t="shared" si="7"/>
        <v>52</v>
      </c>
      <c r="K53" s="1">
        <f t="shared" si="7"/>
        <v>45037</v>
      </c>
      <c r="L53">
        <f t="shared" si="3"/>
        <v>2487.8129706218474</v>
      </c>
      <c r="M53">
        <f t="shared" si="4"/>
        <v>0.24878129706218474</v>
      </c>
      <c r="Q53" s="5">
        <f>(Q52-$P$2*0.25-IF(WEEKDAY(K52,2)=5,60,0))*1.0175</f>
        <v>2198.3438384041806</v>
      </c>
    </row>
    <row r="54" spans="1:17">
      <c r="A54" s="1">
        <v>44614</v>
      </c>
      <c r="B54">
        <v>4.5999999999999996</v>
      </c>
      <c r="C54">
        <v>0</v>
      </c>
      <c r="D54">
        <f t="shared" si="1"/>
        <v>2</v>
      </c>
      <c r="E54">
        <f>IF(AND(D55=staw3[[#This Row],[Miesiąc]],F54=1),E53+1,0)</f>
        <v>1</v>
      </c>
      <c r="F54">
        <f t="shared" si="0"/>
        <v>1</v>
      </c>
      <c r="G54">
        <v>53</v>
      </c>
      <c r="J54">
        <f t="shared" si="7"/>
        <v>53</v>
      </c>
      <c r="K54" s="1">
        <f t="shared" si="7"/>
        <v>45038</v>
      </c>
      <c r="L54">
        <f t="shared" si="3"/>
        <v>2449.9496976077298</v>
      </c>
      <c r="M54">
        <f t="shared" si="4"/>
        <v>0.24499496976077298</v>
      </c>
      <c r="Q54" s="5">
        <f>(Q53-$P$2*0.25-IF(WEEKDAY(K53,2)=5,60,0))*1.0175</f>
        <v>2151.8536055762538</v>
      </c>
    </row>
    <row r="55" spans="1:17">
      <c r="A55" s="1">
        <v>44615</v>
      </c>
      <c r="B55">
        <v>4.5999999999999996</v>
      </c>
      <c r="C55">
        <v>0</v>
      </c>
      <c r="D55">
        <f t="shared" si="1"/>
        <v>2</v>
      </c>
      <c r="E55">
        <f>IF(AND(D56=staw3[[#This Row],[Miesiąc]],F55=1),E54+1,0)</f>
        <v>2</v>
      </c>
      <c r="F55">
        <f t="shared" si="0"/>
        <v>1</v>
      </c>
      <c r="G55">
        <v>54</v>
      </c>
      <c r="J55">
        <f t="shared" si="7"/>
        <v>54</v>
      </c>
      <c r="K55" s="1">
        <f t="shared" si="7"/>
        <v>45039</v>
      </c>
      <c r="L55">
        <f t="shared" si="3"/>
        <v>2472.4738173158653</v>
      </c>
      <c r="M55">
        <f t="shared" si="4"/>
        <v>0.24724738173158653</v>
      </c>
      <c r="Q55" s="5">
        <f>(Q54-$P$2*0.25-IF(WEEKDAY(K54,2)=5,60,0))*1.0175</f>
        <v>2165.5997936738386</v>
      </c>
    </row>
    <row r="56" spans="1:17">
      <c r="A56" s="1">
        <v>44616</v>
      </c>
      <c r="B56">
        <v>5.2</v>
      </c>
      <c r="C56">
        <v>0</v>
      </c>
      <c r="D56">
        <f t="shared" si="1"/>
        <v>2</v>
      </c>
      <c r="E56">
        <f>IF(AND(D57=staw3[[#This Row],[Miesiąc]],F56=1),E55+1,0)</f>
        <v>3</v>
      </c>
      <c r="F56">
        <f t="shared" si="0"/>
        <v>1</v>
      </c>
      <c r="G56">
        <v>55</v>
      </c>
      <c r="J56">
        <f t="shared" si="7"/>
        <v>55</v>
      </c>
      <c r="K56" s="1">
        <f t="shared" si="7"/>
        <v>45040</v>
      </c>
      <c r="L56">
        <f t="shared" si="3"/>
        <v>2495.3921091188931</v>
      </c>
      <c r="M56">
        <f t="shared" si="4"/>
        <v>0.24953921091188933</v>
      </c>
      <c r="Q56" s="5">
        <f>(Q55-$P$2*0.25-IF(WEEKDAY(K55,2)=5,60,0))*1.0175</f>
        <v>2179.586540063131</v>
      </c>
    </row>
    <row r="57" spans="1:17">
      <c r="A57" s="1">
        <v>44617</v>
      </c>
      <c r="B57">
        <v>3.9</v>
      </c>
      <c r="C57">
        <v>0</v>
      </c>
      <c r="D57">
        <f t="shared" si="1"/>
        <v>2</v>
      </c>
      <c r="E57">
        <f>IF(AND(D58=staw3[[#This Row],[Miesiąc]],F57=1),E56+1,0)</f>
        <v>4</v>
      </c>
      <c r="F57">
        <f t="shared" si="0"/>
        <v>1</v>
      </c>
      <c r="G57">
        <v>56</v>
      </c>
      <c r="J57">
        <f t="shared" si="7"/>
        <v>56</v>
      </c>
      <c r="K57" s="1">
        <f t="shared" si="7"/>
        <v>45041</v>
      </c>
      <c r="L57">
        <f t="shared" si="3"/>
        <v>2518.7114710284741</v>
      </c>
      <c r="M57">
        <f t="shared" si="4"/>
        <v>0.25187114710284741</v>
      </c>
      <c r="Q57" s="5">
        <f>(Q56-$P$2*0.25-IF(WEEKDAY(K56,2)=5,60,0))*1.0175</f>
        <v>2193.8180545142359</v>
      </c>
    </row>
    <row r="58" spans="1:17">
      <c r="A58" s="1">
        <v>44618</v>
      </c>
      <c r="B58">
        <v>1.9</v>
      </c>
      <c r="C58">
        <v>0</v>
      </c>
      <c r="D58">
        <f t="shared" si="1"/>
        <v>2</v>
      </c>
      <c r="E58">
        <f>IF(AND(D59=staw3[[#This Row],[Miesiąc]],F58=1),E57+1,0)</f>
        <v>5</v>
      </c>
      <c r="F58">
        <f t="shared" si="0"/>
        <v>1</v>
      </c>
      <c r="G58">
        <v>57</v>
      </c>
      <c r="J58">
        <f t="shared" si="7"/>
        <v>57</v>
      </c>
      <c r="K58" s="1">
        <f t="shared" si="7"/>
        <v>45042</v>
      </c>
      <c r="L58">
        <f t="shared" si="3"/>
        <v>2542.4389217714725</v>
      </c>
      <c r="M58">
        <f t="shared" si="4"/>
        <v>0.25424389217714727</v>
      </c>
      <c r="Q58" s="5">
        <f>(Q57-$P$2*0.25-IF(WEEKDAY(K57,2)=5,60,0))*1.0175</f>
        <v>2208.2986204682352</v>
      </c>
    </row>
    <row r="59" spans="1:17">
      <c r="A59" s="1">
        <v>44619</v>
      </c>
      <c r="B59">
        <v>1.2</v>
      </c>
      <c r="C59">
        <v>0</v>
      </c>
      <c r="D59">
        <f t="shared" si="1"/>
        <v>2</v>
      </c>
      <c r="E59">
        <f>IF(AND(D60=staw3[[#This Row],[Miesiąc]],F59=1),E58+1,0)</f>
        <v>6</v>
      </c>
      <c r="F59">
        <f t="shared" si="0"/>
        <v>1</v>
      </c>
      <c r="G59">
        <v>58</v>
      </c>
      <c r="J59">
        <f t="shared" si="7"/>
        <v>58</v>
      </c>
      <c r="K59" s="1">
        <f t="shared" si="7"/>
        <v>45043</v>
      </c>
      <c r="L59">
        <f t="shared" si="3"/>
        <v>2566.5816029024736</v>
      </c>
      <c r="M59">
        <f t="shared" si="4"/>
        <v>0.25665816029024735</v>
      </c>
      <c r="Q59" s="5">
        <f>(Q58-$P$2*0.25-IF(WEEKDAY(K58,2)=5,60,0))*1.0175</f>
        <v>2223.0325963264295</v>
      </c>
    </row>
    <row r="60" spans="1:17">
      <c r="A60" s="1">
        <v>44620</v>
      </c>
      <c r="B60">
        <v>-0.9</v>
      </c>
      <c r="C60">
        <v>0</v>
      </c>
      <c r="D60">
        <f t="shared" si="1"/>
        <v>2</v>
      </c>
      <c r="E60">
        <f>IF(AND(D61=staw3[[#This Row],[Miesiąc]],F60=1),E59+1,0)</f>
        <v>0</v>
      </c>
      <c r="F60">
        <f t="shared" si="0"/>
        <v>1</v>
      </c>
      <c r="G60">
        <v>59</v>
      </c>
      <c r="J60">
        <f t="shared" si="7"/>
        <v>59</v>
      </c>
      <c r="K60" s="1">
        <f t="shared" si="7"/>
        <v>45044</v>
      </c>
      <c r="L60">
        <f t="shared" si="3"/>
        <v>2591.1467809532669</v>
      </c>
      <c r="M60">
        <f t="shared" si="4"/>
        <v>0.25911467809532668</v>
      </c>
      <c r="Q60" s="5">
        <f>(Q59-$P$2*0.25-IF(WEEKDAY(K59,2)=5,60,0))*1.0175</f>
        <v>2238.0244167621422</v>
      </c>
    </row>
    <row r="61" spans="1:17">
      <c r="A61" s="1">
        <v>44621</v>
      </c>
      <c r="B61">
        <v>-1.4</v>
      </c>
      <c r="C61">
        <v>0</v>
      </c>
      <c r="D61">
        <f t="shared" si="1"/>
        <v>3</v>
      </c>
      <c r="E61">
        <f>IF(AND(D62=staw3[[#This Row],[Miesiąc]],F61=1),E60+1,0)</f>
        <v>1</v>
      </c>
      <c r="F61">
        <f t="shared" si="0"/>
        <v>1</v>
      </c>
      <c r="G61">
        <v>60</v>
      </c>
      <c r="J61">
        <f t="shared" si="7"/>
        <v>60</v>
      </c>
      <c r="K61" s="1">
        <f t="shared" si="7"/>
        <v>45045</v>
      </c>
      <c r="L61">
        <f t="shared" si="3"/>
        <v>2555.0918496199492</v>
      </c>
      <c r="M61">
        <f t="shared" si="4"/>
        <v>0.25550918496199493</v>
      </c>
      <c r="Q61" s="5">
        <f>(Q60-$P$2*0.25-IF(WEEKDAY(K60,2)=5,60,0))*1.0175</f>
        <v>2192.2285940554798</v>
      </c>
    </row>
    <row r="62" spans="1:17">
      <c r="A62" s="1">
        <v>44622</v>
      </c>
      <c r="B62">
        <v>0.3</v>
      </c>
      <c r="C62">
        <v>0</v>
      </c>
      <c r="D62">
        <f t="shared" si="1"/>
        <v>3</v>
      </c>
      <c r="E62">
        <f>IF(AND(D63=staw3[[#This Row],[Miesiąc]],F62=1),E61+1,0)</f>
        <v>2</v>
      </c>
      <c r="F62">
        <f t="shared" si="0"/>
        <v>1</v>
      </c>
      <c r="G62">
        <v>61</v>
      </c>
      <c r="J62">
        <f t="shared" si="7"/>
        <v>61</v>
      </c>
      <c r="K62" s="1">
        <f t="shared" si="7"/>
        <v>45046</v>
      </c>
      <c r="L62">
        <f t="shared" si="3"/>
        <v>2579.4559569882986</v>
      </c>
      <c r="M62">
        <f t="shared" si="4"/>
        <v>0.25794559569882985</v>
      </c>
      <c r="Q62" s="5">
        <f>(Q61-$P$2*0.25-IF(WEEKDAY(K61,2)=5,60,0))*1.0175</f>
        <v>2206.681344451451</v>
      </c>
    </row>
    <row r="63" spans="1:17">
      <c r="A63" s="1">
        <v>44623</v>
      </c>
      <c r="B63">
        <v>2</v>
      </c>
      <c r="C63">
        <v>0</v>
      </c>
      <c r="D63">
        <f t="shared" si="1"/>
        <v>3</v>
      </c>
      <c r="E63">
        <f>IF(AND(D64=staw3[[#This Row],[Miesiąc]],F63=1),E62+1,0)</f>
        <v>3</v>
      </c>
      <c r="F63">
        <f t="shared" si="0"/>
        <v>1</v>
      </c>
      <c r="G63">
        <v>62</v>
      </c>
      <c r="J63">
        <f t="shared" si="7"/>
        <v>62</v>
      </c>
      <c r="K63" s="1">
        <f t="shared" si="7"/>
        <v>45047</v>
      </c>
      <c r="L63">
        <f t="shared" si="3"/>
        <v>2604.246436235594</v>
      </c>
      <c r="M63">
        <f t="shared" si="4"/>
        <v>0.26042464362355938</v>
      </c>
      <c r="Q63" s="5">
        <f>(Q62-$P$2*0.25-IF(WEEKDAY(K62,2)=5,60,0))*1.0175</f>
        <v>2221.3870179793516</v>
      </c>
    </row>
    <row r="64" spans="1:17">
      <c r="A64" s="1">
        <v>44624</v>
      </c>
      <c r="B64">
        <v>0.6</v>
      </c>
      <c r="C64">
        <v>0</v>
      </c>
      <c r="D64">
        <f t="shared" si="1"/>
        <v>3</v>
      </c>
      <c r="E64">
        <f>IF(AND(D65=staw3[[#This Row],[Miesiąc]],F64=1),E63+1,0)</f>
        <v>4</v>
      </c>
      <c r="F64">
        <f t="shared" si="0"/>
        <v>1</v>
      </c>
      <c r="G64">
        <v>63</v>
      </c>
      <c r="J64">
        <f t="shared" si="7"/>
        <v>63</v>
      </c>
      <c r="K64" s="1">
        <f t="shared" si="7"/>
        <v>45048</v>
      </c>
      <c r="L64">
        <f t="shared" si="3"/>
        <v>2629.4707488697172</v>
      </c>
      <c r="M64">
        <f t="shared" si="4"/>
        <v>0.26294707488697172</v>
      </c>
      <c r="Q64" s="5">
        <f>(Q63-$P$2*0.25-IF(WEEKDAY(K63,2)=5,60,0))*1.0175</f>
        <v>2236.3500407939905</v>
      </c>
    </row>
    <row r="65" spans="1:17">
      <c r="A65" s="1">
        <v>44625</v>
      </c>
      <c r="B65">
        <v>0.7</v>
      </c>
      <c r="C65">
        <v>0</v>
      </c>
      <c r="D65">
        <f t="shared" si="1"/>
        <v>3</v>
      </c>
      <c r="E65">
        <f>IF(AND(D66=staw3[[#This Row],[Miesiąc]],F65=1),E64+1,0)</f>
        <v>5</v>
      </c>
      <c r="F65">
        <f t="shared" si="0"/>
        <v>1</v>
      </c>
      <c r="G65">
        <v>64</v>
      </c>
      <c r="J65">
        <f t="shared" si="7"/>
        <v>64</v>
      </c>
      <c r="K65" s="1">
        <f t="shared" si="7"/>
        <v>45049</v>
      </c>
      <c r="L65">
        <f t="shared" si="3"/>
        <v>2655.1364869749373</v>
      </c>
      <c r="M65">
        <f t="shared" si="4"/>
        <v>0.26551364869749372</v>
      </c>
      <c r="Q65" s="5">
        <f>(Q64-$P$2*0.25-IF(WEEKDAY(K64,2)=5,60,0))*1.0175</f>
        <v>2251.5749165078855</v>
      </c>
    </row>
    <row r="66" spans="1:17">
      <c r="A66" s="1">
        <v>44626</v>
      </c>
      <c r="B66">
        <v>0</v>
      </c>
      <c r="C66">
        <v>0</v>
      </c>
      <c r="D66">
        <f t="shared" si="1"/>
        <v>3</v>
      </c>
      <c r="E66">
        <f>IF(AND(D67=staw3[[#This Row],[Miesiąc]],F66=1),E65+1,0)</f>
        <v>6</v>
      </c>
      <c r="F66">
        <f t="shared" ref="F66:F129" si="8">IF(C66=0,1,0)</f>
        <v>1</v>
      </c>
      <c r="G66">
        <v>65</v>
      </c>
      <c r="J66">
        <f t="shared" si="7"/>
        <v>65</v>
      </c>
      <c r="K66" s="1">
        <f t="shared" si="7"/>
        <v>45050</v>
      </c>
      <c r="L66">
        <f t="shared" si="3"/>
        <v>2681.2513754969987</v>
      </c>
      <c r="M66">
        <f t="shared" si="4"/>
        <v>0.26812513754969985</v>
      </c>
      <c r="Q66" s="5">
        <f>(Q65-$P$2*0.25-IF(WEEKDAY(K65,2)=5,60,0))*1.0175</f>
        <v>2267.0662275467735</v>
      </c>
    </row>
    <row r="67" spans="1:17">
      <c r="A67" s="1">
        <v>44627</v>
      </c>
      <c r="B67">
        <v>0</v>
      </c>
      <c r="C67">
        <v>0</v>
      </c>
      <c r="D67">
        <f t="shared" ref="D67:D130" si="9">MONTH(A67)</f>
        <v>3</v>
      </c>
      <c r="E67">
        <f>IF(AND(D68=staw3[[#This Row],[Miesiąc]],F67=1),E66+1,0)</f>
        <v>7</v>
      </c>
      <c r="F67">
        <f t="shared" si="8"/>
        <v>1</v>
      </c>
      <c r="G67">
        <v>66</v>
      </c>
      <c r="J67">
        <f t="shared" si="7"/>
        <v>66</v>
      </c>
      <c r="K67" s="1">
        <f t="shared" si="7"/>
        <v>45051</v>
      </c>
      <c r="L67">
        <f t="shared" si="3"/>
        <v>2707.8232745681962</v>
      </c>
      <c r="M67">
        <f t="shared" si="4"/>
        <v>0.27078232745681963</v>
      </c>
      <c r="Q67" s="5">
        <f>(Q66-$P$2*0.25-IF(WEEKDAY(K66,2)=5,60,0))*1.0175</f>
        <v>2282.8286365288423</v>
      </c>
    </row>
    <row r="68" spans="1:17">
      <c r="A68" s="1">
        <v>44628</v>
      </c>
      <c r="B68">
        <v>1.3</v>
      </c>
      <c r="C68">
        <v>0</v>
      </c>
      <c r="D68">
        <f t="shared" si="9"/>
        <v>3</v>
      </c>
      <c r="E68">
        <f>IF(AND(D69=staw3[[#This Row],[Miesiąc]],F68=1),E67+1,0)</f>
        <v>8</v>
      </c>
      <c r="F68">
        <f t="shared" si="8"/>
        <v>1</v>
      </c>
      <c r="G68">
        <v>67</v>
      </c>
      <c r="J68">
        <f t="shared" ref="J68:K83" si="10">J67+1</f>
        <v>67</v>
      </c>
      <c r="K68" s="1">
        <f t="shared" si="10"/>
        <v>45052</v>
      </c>
      <c r="L68">
        <f t="shared" ref="L68:L131" si="11">(L67-20-IF(WEEKDAY(K67,2)=5,60,0))*1.0175</f>
        <v>2673.8101818731398</v>
      </c>
      <c r="M68">
        <f t="shared" ref="M68:M131" si="12">L68/10000</f>
        <v>0.26738101818731397</v>
      </c>
      <c r="Q68" s="5">
        <f>(Q67-$P$2*0.25-IF(WEEKDAY(K67,2)=5,60,0))*1.0175</f>
        <v>2237.816887668097</v>
      </c>
    </row>
    <row r="69" spans="1:17">
      <c r="A69" s="1">
        <v>44629</v>
      </c>
      <c r="B69">
        <v>2</v>
      </c>
      <c r="C69">
        <v>2</v>
      </c>
      <c r="D69">
        <f t="shared" si="9"/>
        <v>3</v>
      </c>
      <c r="E69">
        <f>IF(AND(D70=staw3[[#This Row],[Miesiąc]],F69=1),E68+1,0)</f>
        <v>0</v>
      </c>
      <c r="F69">
        <f t="shared" si="8"/>
        <v>0</v>
      </c>
      <c r="G69">
        <v>68</v>
      </c>
      <c r="J69">
        <f t="shared" si="10"/>
        <v>68</v>
      </c>
      <c r="K69" s="1">
        <f t="shared" si="10"/>
        <v>45053</v>
      </c>
      <c r="L69">
        <f t="shared" si="11"/>
        <v>2700.2518600559197</v>
      </c>
      <c r="M69">
        <f t="shared" si="12"/>
        <v>0.27002518600559194</v>
      </c>
      <c r="Q69" s="5">
        <f>(Q68-$P$2*0.25-IF(WEEKDAY(K68,2)=5,60,0))*1.0175</f>
        <v>2253.0674332022891</v>
      </c>
    </row>
    <row r="70" spans="1:17">
      <c r="A70" s="1">
        <v>44630</v>
      </c>
      <c r="B70">
        <v>-1.6</v>
      </c>
      <c r="C70">
        <v>0</v>
      </c>
      <c r="D70">
        <f t="shared" si="9"/>
        <v>3</v>
      </c>
      <c r="E70">
        <f>IF(AND(D71=staw3[[#This Row],[Miesiąc]],F70=1),E69+1,0)</f>
        <v>1</v>
      </c>
      <c r="F70">
        <f t="shared" si="8"/>
        <v>1</v>
      </c>
      <c r="G70">
        <v>69</v>
      </c>
      <c r="J70">
        <f t="shared" si="10"/>
        <v>69</v>
      </c>
      <c r="K70" s="1">
        <f t="shared" si="10"/>
        <v>45054</v>
      </c>
      <c r="L70">
        <f t="shared" si="11"/>
        <v>2727.1562676068984</v>
      </c>
      <c r="M70">
        <f t="shared" si="12"/>
        <v>0.27271562676068983</v>
      </c>
      <c r="Q70" s="5">
        <f>(Q69-$P$2*0.25-IF(WEEKDAY(K69,2)=5,60,0))*1.0175</f>
        <v>2268.5848632833295</v>
      </c>
    </row>
    <row r="71" spans="1:17">
      <c r="A71" s="1">
        <v>44631</v>
      </c>
      <c r="B71">
        <v>-2.6</v>
      </c>
      <c r="C71">
        <v>0</v>
      </c>
      <c r="D71">
        <f t="shared" si="9"/>
        <v>3</v>
      </c>
      <c r="E71">
        <f>IF(AND(D72=staw3[[#This Row],[Miesiąc]],F71=1),E70+1,0)</f>
        <v>2</v>
      </c>
      <c r="F71">
        <f t="shared" si="8"/>
        <v>1</v>
      </c>
      <c r="G71">
        <v>70</v>
      </c>
      <c r="J71">
        <f t="shared" si="10"/>
        <v>70</v>
      </c>
      <c r="K71" s="1">
        <f t="shared" si="10"/>
        <v>45055</v>
      </c>
      <c r="L71">
        <f t="shared" si="11"/>
        <v>2754.5315022900195</v>
      </c>
      <c r="M71">
        <f t="shared" si="12"/>
        <v>0.27545315022900196</v>
      </c>
      <c r="Q71" s="5">
        <f>(Q70-$P$2*0.25-IF(WEEKDAY(K70,2)=5,60,0))*1.0175</f>
        <v>2284.3738483907878</v>
      </c>
    </row>
    <row r="72" spans="1:17">
      <c r="A72" s="1">
        <v>44632</v>
      </c>
      <c r="B72">
        <v>-0.2</v>
      </c>
      <c r="C72">
        <v>0</v>
      </c>
      <c r="D72">
        <f t="shared" si="9"/>
        <v>3</v>
      </c>
      <c r="E72">
        <f>IF(AND(D73=staw3[[#This Row],[Miesiąc]],F72=1),E71+1,0)</f>
        <v>3</v>
      </c>
      <c r="F72">
        <f t="shared" si="8"/>
        <v>1</v>
      </c>
      <c r="G72">
        <v>71</v>
      </c>
      <c r="J72">
        <f t="shared" si="10"/>
        <v>71</v>
      </c>
      <c r="K72" s="1">
        <f t="shared" si="10"/>
        <v>45056</v>
      </c>
      <c r="L72">
        <f t="shared" si="11"/>
        <v>2782.3858035800949</v>
      </c>
      <c r="M72">
        <f t="shared" si="12"/>
        <v>0.27823858035800947</v>
      </c>
      <c r="Q72" s="5">
        <f>(Q71-$P$2*0.25-IF(WEEKDAY(K71,2)=5,60,0))*1.0175</f>
        <v>2300.4391407376265</v>
      </c>
    </row>
    <row r="73" spans="1:17">
      <c r="A73" s="1">
        <v>44633</v>
      </c>
      <c r="B73">
        <v>3.1</v>
      </c>
      <c r="C73">
        <v>0</v>
      </c>
      <c r="D73">
        <f t="shared" si="9"/>
        <v>3</v>
      </c>
      <c r="E73">
        <f>IF(AND(D74=staw3[[#This Row],[Miesiąc]],F73=1),E72+1,0)</f>
        <v>4</v>
      </c>
      <c r="F73">
        <f t="shared" si="8"/>
        <v>1</v>
      </c>
      <c r="G73">
        <v>72</v>
      </c>
      <c r="J73">
        <f t="shared" si="10"/>
        <v>72</v>
      </c>
      <c r="K73" s="1">
        <f t="shared" si="10"/>
        <v>45057</v>
      </c>
      <c r="L73">
        <f t="shared" si="11"/>
        <v>2810.727555142747</v>
      </c>
      <c r="M73">
        <f t="shared" si="12"/>
        <v>0.28107275551427469</v>
      </c>
      <c r="Q73" s="5">
        <f>(Q72-$P$2*0.25-IF(WEEKDAY(K72,2)=5,60,0))*1.0175</f>
        <v>2316.785575700535</v>
      </c>
    </row>
    <row r="74" spans="1:17">
      <c r="A74" s="1">
        <v>44634</v>
      </c>
      <c r="B74">
        <v>5.5</v>
      </c>
      <c r="C74">
        <v>0</v>
      </c>
      <c r="D74">
        <f t="shared" si="9"/>
        <v>3</v>
      </c>
      <c r="E74">
        <f>IF(AND(D75=staw3[[#This Row],[Miesiąc]],F74=1),E73+1,0)</f>
        <v>5</v>
      </c>
      <c r="F74">
        <f t="shared" si="8"/>
        <v>1</v>
      </c>
      <c r="G74">
        <v>73</v>
      </c>
      <c r="J74">
        <f t="shared" si="10"/>
        <v>73</v>
      </c>
      <c r="K74" s="1">
        <f t="shared" si="10"/>
        <v>45058</v>
      </c>
      <c r="L74">
        <f t="shared" si="11"/>
        <v>2839.5652873577451</v>
      </c>
      <c r="M74">
        <f t="shared" si="12"/>
        <v>0.28395652873577448</v>
      </c>
      <c r="Q74" s="5">
        <f>(Q73-$P$2*0.25-IF(WEEKDAY(K73,2)=5,60,0))*1.0175</f>
        <v>2333.4180732752943</v>
      </c>
    </row>
    <row r="75" spans="1:17">
      <c r="A75" s="1">
        <v>44635</v>
      </c>
      <c r="B75">
        <v>8.6</v>
      </c>
      <c r="C75">
        <v>0</v>
      </c>
      <c r="D75">
        <f t="shared" si="9"/>
        <v>3</v>
      </c>
      <c r="E75">
        <f>IF(AND(D76=staw3[[#This Row],[Miesiąc]],F75=1),E74+1,0)</f>
        <v>6</v>
      </c>
      <c r="F75">
        <f t="shared" si="8"/>
        <v>1</v>
      </c>
      <c r="G75">
        <v>74</v>
      </c>
      <c r="J75">
        <f t="shared" si="10"/>
        <v>74</v>
      </c>
      <c r="K75" s="1">
        <f t="shared" si="10"/>
        <v>45059</v>
      </c>
      <c r="L75">
        <f t="shared" si="11"/>
        <v>2807.857679886506</v>
      </c>
      <c r="M75">
        <f t="shared" si="12"/>
        <v>0.28078576798865063</v>
      </c>
      <c r="Q75" s="5">
        <f>(Q74-$P$2*0.25-IF(WEEKDAY(K74,2)=5,60,0))*1.0175</f>
        <v>2289.2916395576121</v>
      </c>
    </row>
    <row r="76" spans="1:17">
      <c r="A76" s="1">
        <v>44636</v>
      </c>
      <c r="B76">
        <v>7.8</v>
      </c>
      <c r="C76">
        <v>0</v>
      </c>
      <c r="D76">
        <f t="shared" si="9"/>
        <v>3</v>
      </c>
      <c r="E76">
        <f>IF(AND(D77=staw3[[#This Row],[Miesiąc]],F76=1),E75+1,0)</f>
        <v>7</v>
      </c>
      <c r="F76">
        <f t="shared" si="8"/>
        <v>1</v>
      </c>
      <c r="G76">
        <v>75</v>
      </c>
      <c r="J76">
        <f t="shared" si="10"/>
        <v>75</v>
      </c>
      <c r="K76" s="1">
        <f t="shared" si="10"/>
        <v>45060</v>
      </c>
      <c r="L76">
        <f t="shared" si="11"/>
        <v>2836.6451892845203</v>
      </c>
      <c r="M76">
        <f t="shared" si="12"/>
        <v>0.28366451892845201</v>
      </c>
      <c r="Q76" s="5">
        <f>(Q75-$P$2*0.25-IF(WEEKDAY(K75,2)=5,60,0))*1.0175</f>
        <v>2305.4429932498706</v>
      </c>
    </row>
    <row r="77" spans="1:17">
      <c r="A77" s="1">
        <v>44637</v>
      </c>
      <c r="B77">
        <v>3.7</v>
      </c>
      <c r="C77">
        <v>0</v>
      </c>
      <c r="D77">
        <f t="shared" si="9"/>
        <v>3</v>
      </c>
      <c r="E77">
        <f>IF(AND(D78=staw3[[#This Row],[Miesiąc]],F77=1),E76+1,0)</f>
        <v>8</v>
      </c>
      <c r="F77">
        <f t="shared" si="8"/>
        <v>1</v>
      </c>
      <c r="G77">
        <v>76</v>
      </c>
      <c r="J77">
        <f t="shared" si="10"/>
        <v>76</v>
      </c>
      <c r="K77" s="1">
        <f t="shared" si="10"/>
        <v>45061</v>
      </c>
      <c r="L77">
        <f t="shared" si="11"/>
        <v>2865.9364800969997</v>
      </c>
      <c r="M77">
        <f t="shared" si="12"/>
        <v>0.2865936480097</v>
      </c>
      <c r="Q77" s="5">
        <f>(Q76-$P$2*0.25-IF(WEEKDAY(K76,2)=5,60,0))*1.0175</f>
        <v>2321.8769956317433</v>
      </c>
    </row>
    <row r="78" spans="1:17">
      <c r="A78" s="1">
        <v>44638</v>
      </c>
      <c r="B78">
        <v>3</v>
      </c>
      <c r="C78">
        <v>0</v>
      </c>
      <c r="D78">
        <f t="shared" si="9"/>
        <v>3</v>
      </c>
      <c r="E78">
        <f>IF(AND(D79=staw3[[#This Row],[Miesiąc]],F78=1),E77+1,0)</f>
        <v>9</v>
      </c>
      <c r="F78">
        <f t="shared" si="8"/>
        <v>1</v>
      </c>
      <c r="G78">
        <v>77</v>
      </c>
      <c r="J78">
        <f t="shared" si="10"/>
        <v>77</v>
      </c>
      <c r="K78" s="1">
        <f t="shared" si="10"/>
        <v>45062</v>
      </c>
      <c r="L78">
        <f t="shared" si="11"/>
        <v>2895.7403684986975</v>
      </c>
      <c r="M78">
        <f t="shared" si="12"/>
        <v>0.28957403684986976</v>
      </c>
      <c r="Q78" s="5">
        <f>(Q77-$P$2*0.25-IF(WEEKDAY(K77,2)=5,60,0))*1.0175</f>
        <v>2338.5985930552988</v>
      </c>
    </row>
    <row r="79" spans="1:17">
      <c r="A79" s="1">
        <v>44639</v>
      </c>
      <c r="B79">
        <v>2.1</v>
      </c>
      <c r="C79">
        <v>0</v>
      </c>
      <c r="D79">
        <f t="shared" si="9"/>
        <v>3</v>
      </c>
      <c r="E79">
        <f>IF(AND(D80=staw3[[#This Row],[Miesiąc]],F79=1),E78+1,0)</f>
        <v>10</v>
      </c>
      <c r="F79">
        <f t="shared" si="8"/>
        <v>1</v>
      </c>
      <c r="G79">
        <v>78</v>
      </c>
      <c r="J79">
        <f t="shared" si="10"/>
        <v>78</v>
      </c>
      <c r="K79" s="1">
        <f t="shared" si="10"/>
        <v>45063</v>
      </c>
      <c r="L79">
        <f t="shared" si="11"/>
        <v>2926.065824947425</v>
      </c>
      <c r="M79">
        <f t="shared" si="12"/>
        <v>0.29260658249474247</v>
      </c>
      <c r="Q79" s="5">
        <f>(Q78-$P$2*0.25-IF(WEEKDAY(K78,2)=5,60,0))*1.0175</f>
        <v>2355.6128184337667</v>
      </c>
    </row>
    <row r="80" spans="1:17">
      <c r="A80" s="1">
        <v>44640</v>
      </c>
      <c r="B80">
        <v>3.2</v>
      </c>
      <c r="C80">
        <v>0</v>
      </c>
      <c r="D80">
        <f t="shared" si="9"/>
        <v>3</v>
      </c>
      <c r="E80">
        <f>IF(AND(D81=staw3[[#This Row],[Miesiąc]],F80=1),E79+1,0)</f>
        <v>11</v>
      </c>
      <c r="F80">
        <f t="shared" si="8"/>
        <v>1</v>
      </c>
      <c r="G80">
        <v>79</v>
      </c>
      <c r="J80">
        <f t="shared" si="10"/>
        <v>79</v>
      </c>
      <c r="K80" s="1">
        <f t="shared" si="10"/>
        <v>45064</v>
      </c>
      <c r="L80">
        <f t="shared" si="11"/>
        <v>2956.9219768840053</v>
      </c>
      <c r="M80">
        <f t="shared" si="12"/>
        <v>0.29569219768840055</v>
      </c>
      <c r="Q80" s="5">
        <f>(Q79-$P$2*0.25-IF(WEEKDAY(K79,2)=5,60,0))*1.0175</f>
        <v>2372.9247927563579</v>
      </c>
    </row>
    <row r="81" spans="1:17">
      <c r="A81" s="1">
        <v>44641</v>
      </c>
      <c r="B81">
        <v>4.9000000000000004</v>
      </c>
      <c r="C81">
        <v>0</v>
      </c>
      <c r="D81">
        <f t="shared" si="9"/>
        <v>3</v>
      </c>
      <c r="E81">
        <f>IF(AND(D82=staw3[[#This Row],[Miesiąc]],F81=1),E80+1,0)</f>
        <v>12</v>
      </c>
      <c r="F81">
        <f t="shared" si="8"/>
        <v>1</v>
      </c>
      <c r="G81">
        <v>80</v>
      </c>
      <c r="J81">
        <f t="shared" si="10"/>
        <v>80</v>
      </c>
      <c r="K81" s="1">
        <f t="shared" si="10"/>
        <v>45065</v>
      </c>
      <c r="L81">
        <f t="shared" si="11"/>
        <v>2988.3181114794756</v>
      </c>
      <c r="M81">
        <f t="shared" si="12"/>
        <v>0.29883181114794755</v>
      </c>
      <c r="Q81" s="5">
        <f>(Q80-$P$2*0.25-IF(WEEKDAY(K80,2)=5,60,0))*1.0175</f>
        <v>2390.5397266295945</v>
      </c>
    </row>
    <row r="82" spans="1:17">
      <c r="A82" s="1">
        <v>44642</v>
      </c>
      <c r="B82">
        <v>7.8</v>
      </c>
      <c r="C82">
        <v>0</v>
      </c>
      <c r="D82">
        <f t="shared" si="9"/>
        <v>3</v>
      </c>
      <c r="E82">
        <f>IF(AND(D83=staw3[[#This Row],[Miesiąc]],F82=1),E81+1,0)</f>
        <v>13</v>
      </c>
      <c r="F82">
        <f t="shared" si="8"/>
        <v>1</v>
      </c>
      <c r="G82">
        <v>81</v>
      </c>
      <c r="J82">
        <f t="shared" si="10"/>
        <v>81</v>
      </c>
      <c r="K82" s="1">
        <f t="shared" si="10"/>
        <v>45066</v>
      </c>
      <c r="L82">
        <f t="shared" si="11"/>
        <v>2959.2136784303666</v>
      </c>
      <c r="M82">
        <f t="shared" si="12"/>
        <v>0.29592136784303669</v>
      </c>
      <c r="Q82" s="5">
        <f>(Q81-$P$2*0.25-IF(WEEKDAY(K81,2)=5,60,0))*1.0175</f>
        <v>2347.4129218456123</v>
      </c>
    </row>
    <row r="83" spans="1:17">
      <c r="A83" s="1">
        <v>44643</v>
      </c>
      <c r="B83">
        <v>9.1999999999999993</v>
      </c>
      <c r="C83">
        <v>0</v>
      </c>
      <c r="D83">
        <f t="shared" si="9"/>
        <v>3</v>
      </c>
      <c r="E83">
        <f>IF(AND(D84=staw3[[#This Row],[Miesiąc]],F83=1),E82+1,0)</f>
        <v>14</v>
      </c>
      <c r="F83">
        <f t="shared" si="8"/>
        <v>1</v>
      </c>
      <c r="G83">
        <v>82</v>
      </c>
      <c r="J83">
        <f t="shared" si="10"/>
        <v>82</v>
      </c>
      <c r="K83" s="1">
        <f t="shared" si="10"/>
        <v>45067</v>
      </c>
      <c r="L83">
        <f t="shared" si="11"/>
        <v>2990.649917802898</v>
      </c>
      <c r="M83">
        <f t="shared" si="12"/>
        <v>0.29906499178028978</v>
      </c>
      <c r="Q83" s="5">
        <f>(Q82-$P$2*0.25-IF(WEEKDAY(K82,2)=5,60,0))*1.0175</f>
        <v>2364.5813979779109</v>
      </c>
    </row>
    <row r="84" spans="1:17">
      <c r="A84" s="1">
        <v>44644</v>
      </c>
      <c r="B84">
        <v>7.2</v>
      </c>
      <c r="C84">
        <v>0</v>
      </c>
      <c r="D84">
        <f t="shared" si="9"/>
        <v>3</v>
      </c>
      <c r="E84">
        <f>IF(AND(D85=staw3[[#This Row],[Miesiąc]],F84=1),E83+1,0)</f>
        <v>15</v>
      </c>
      <c r="F84">
        <f t="shared" si="8"/>
        <v>1</v>
      </c>
      <c r="G84">
        <v>83</v>
      </c>
      <c r="J84">
        <f t="shared" ref="J84:K99" si="13">J83+1</f>
        <v>83</v>
      </c>
      <c r="K84" s="1">
        <f t="shared" si="13"/>
        <v>45068</v>
      </c>
      <c r="L84">
        <f t="shared" si="11"/>
        <v>3022.6362913644489</v>
      </c>
      <c r="M84">
        <f t="shared" si="12"/>
        <v>0.30226362913644489</v>
      </c>
      <c r="Q84" s="5">
        <f>(Q83-$P$2*0.25-IF(WEEKDAY(K83,2)=5,60,0))*1.0175</f>
        <v>2382.0503224425247</v>
      </c>
    </row>
    <row r="85" spans="1:17">
      <c r="A85" s="1">
        <v>44645</v>
      </c>
      <c r="B85">
        <v>8.5</v>
      </c>
      <c r="C85">
        <v>0</v>
      </c>
      <c r="D85">
        <f t="shared" si="9"/>
        <v>3</v>
      </c>
      <c r="E85">
        <f>IF(AND(D86=staw3[[#This Row],[Miesiąc]],F85=1),E84+1,0)</f>
        <v>16</v>
      </c>
      <c r="F85">
        <f t="shared" si="8"/>
        <v>1</v>
      </c>
      <c r="G85">
        <v>84</v>
      </c>
      <c r="J85">
        <f t="shared" si="13"/>
        <v>84</v>
      </c>
      <c r="K85" s="1">
        <f t="shared" si="13"/>
        <v>45069</v>
      </c>
      <c r="L85">
        <f t="shared" si="11"/>
        <v>3055.1824264633269</v>
      </c>
      <c r="M85">
        <f t="shared" si="12"/>
        <v>0.30551824264633271</v>
      </c>
      <c r="Q85" s="5">
        <f>(Q84-$P$2*0.25-IF(WEEKDAY(K84,2)=5,60,0))*1.0175</f>
        <v>2399.824953085269</v>
      </c>
    </row>
    <row r="86" spans="1:17">
      <c r="A86" s="1">
        <v>44646</v>
      </c>
      <c r="B86">
        <v>10.199999999999999</v>
      </c>
      <c r="C86">
        <v>0</v>
      </c>
      <c r="D86">
        <f t="shared" si="9"/>
        <v>3</v>
      </c>
      <c r="E86">
        <f>IF(AND(D87=staw3[[#This Row],[Miesiąc]],F86=1),E85+1,0)</f>
        <v>17</v>
      </c>
      <c r="F86">
        <f t="shared" si="8"/>
        <v>1</v>
      </c>
      <c r="G86">
        <v>85</v>
      </c>
      <c r="J86">
        <f t="shared" si="13"/>
        <v>85</v>
      </c>
      <c r="K86" s="1">
        <f t="shared" si="13"/>
        <v>45070</v>
      </c>
      <c r="L86">
        <f t="shared" si="11"/>
        <v>3088.2981189264356</v>
      </c>
      <c r="M86">
        <f t="shared" si="12"/>
        <v>0.30882981189264358</v>
      </c>
      <c r="Q86" s="5">
        <f>(Q85-$P$2*0.25-IF(WEEKDAY(K85,2)=5,60,0))*1.0175</f>
        <v>2417.9106397642613</v>
      </c>
    </row>
    <row r="87" spans="1:17">
      <c r="A87" s="1">
        <v>44647</v>
      </c>
      <c r="B87">
        <v>5.7</v>
      </c>
      <c r="C87">
        <v>0</v>
      </c>
      <c r="D87">
        <f t="shared" si="9"/>
        <v>3</v>
      </c>
      <c r="E87">
        <f>IF(AND(D88=staw3[[#This Row],[Miesiąc]],F87=1),E86+1,0)</f>
        <v>18</v>
      </c>
      <c r="F87">
        <f t="shared" si="8"/>
        <v>1</v>
      </c>
      <c r="G87">
        <v>86</v>
      </c>
      <c r="J87">
        <f t="shared" si="13"/>
        <v>86</v>
      </c>
      <c r="K87" s="1">
        <f t="shared" si="13"/>
        <v>45071</v>
      </c>
      <c r="L87">
        <f t="shared" si="11"/>
        <v>3121.9933360076484</v>
      </c>
      <c r="M87">
        <f t="shared" si="12"/>
        <v>0.31219933360076485</v>
      </c>
      <c r="Q87" s="5">
        <f>(Q86-$P$2*0.25-IF(WEEKDAY(K86,2)=5,60,0))*1.0175</f>
        <v>2436.3128259601363</v>
      </c>
    </row>
    <row r="88" spans="1:17">
      <c r="A88" s="1">
        <v>44648</v>
      </c>
      <c r="B88">
        <v>10.3</v>
      </c>
      <c r="C88">
        <v>0</v>
      </c>
      <c r="D88">
        <f t="shared" si="9"/>
        <v>3</v>
      </c>
      <c r="E88">
        <f>IF(AND(D89=staw3[[#This Row],[Miesiąc]],F88=1),E87+1,0)</f>
        <v>19</v>
      </c>
      <c r="F88">
        <f t="shared" si="8"/>
        <v>1</v>
      </c>
      <c r="G88">
        <v>87</v>
      </c>
      <c r="J88">
        <f t="shared" si="13"/>
        <v>87</v>
      </c>
      <c r="K88" s="1">
        <f t="shared" si="13"/>
        <v>45072</v>
      </c>
      <c r="L88">
        <f t="shared" si="11"/>
        <v>3156.2782193877824</v>
      </c>
      <c r="M88">
        <f t="shared" si="12"/>
        <v>0.31562782193877825</v>
      </c>
      <c r="Q88" s="5">
        <f>(Q87-$P$2*0.25-IF(WEEKDAY(K87,2)=5,60,0))*1.0175</f>
        <v>2455.0370504144389</v>
      </c>
    </row>
    <row r="89" spans="1:17">
      <c r="A89" s="1">
        <v>44649</v>
      </c>
      <c r="B89">
        <v>11.4</v>
      </c>
      <c r="C89">
        <v>0</v>
      </c>
      <c r="D89">
        <f t="shared" si="9"/>
        <v>3</v>
      </c>
      <c r="E89">
        <f>IF(AND(D90=staw3[[#This Row],[Miesiąc]],F89=1),E88+1,0)</f>
        <v>20</v>
      </c>
      <c r="F89">
        <f t="shared" si="8"/>
        <v>1</v>
      </c>
      <c r="G89">
        <v>88</v>
      </c>
      <c r="J89">
        <f t="shared" si="13"/>
        <v>88</v>
      </c>
      <c r="K89" s="1">
        <f t="shared" si="13"/>
        <v>45073</v>
      </c>
      <c r="L89">
        <f t="shared" si="11"/>
        <v>3130.1130882270691</v>
      </c>
      <c r="M89">
        <f t="shared" si="12"/>
        <v>0.31301130882270689</v>
      </c>
      <c r="Q89" s="5">
        <f>(Q88-$P$2*0.25-IF(WEEKDAY(K88,2)=5,60,0))*1.0175</f>
        <v>2413.0389487966918</v>
      </c>
    </row>
    <row r="90" spans="1:17">
      <c r="A90" s="1">
        <v>44650</v>
      </c>
      <c r="B90">
        <v>8.5</v>
      </c>
      <c r="C90">
        <v>3</v>
      </c>
      <c r="D90">
        <f t="shared" si="9"/>
        <v>3</v>
      </c>
      <c r="E90">
        <f>IF(AND(D91=staw3[[#This Row],[Miesiąc]],F90=1),E89+1,0)</f>
        <v>0</v>
      </c>
      <c r="F90">
        <f t="shared" si="8"/>
        <v>0</v>
      </c>
      <c r="G90">
        <v>89</v>
      </c>
      <c r="J90">
        <f t="shared" si="13"/>
        <v>89</v>
      </c>
      <c r="K90" s="1">
        <f t="shared" si="13"/>
        <v>45074</v>
      </c>
      <c r="L90">
        <f t="shared" si="11"/>
        <v>3164.540067271043</v>
      </c>
      <c r="M90">
        <f t="shared" si="12"/>
        <v>0.31645400672710428</v>
      </c>
      <c r="Q90" s="5">
        <f>(Q89-$P$2*0.25-IF(WEEKDAY(K89,2)=5,60,0))*1.0175</f>
        <v>2431.3558804006339</v>
      </c>
    </row>
    <row r="91" spans="1:17">
      <c r="A91" s="1">
        <v>44651</v>
      </c>
      <c r="B91">
        <v>3.9</v>
      </c>
      <c r="C91">
        <v>11</v>
      </c>
      <c r="D91">
        <f t="shared" si="9"/>
        <v>3</v>
      </c>
      <c r="E91">
        <f>IF(AND(D92=staw3[[#This Row],[Miesiąc]],F91=1),E90+1,0)</f>
        <v>0</v>
      </c>
      <c r="F91">
        <f t="shared" si="8"/>
        <v>0</v>
      </c>
      <c r="G91">
        <v>90</v>
      </c>
      <c r="J91">
        <f t="shared" si="13"/>
        <v>90</v>
      </c>
      <c r="K91" s="1">
        <f t="shared" si="13"/>
        <v>45075</v>
      </c>
      <c r="L91">
        <f t="shared" si="11"/>
        <v>3199.5695184482865</v>
      </c>
      <c r="M91">
        <f t="shared" si="12"/>
        <v>0.31995695184482864</v>
      </c>
      <c r="Q91" s="5">
        <f>(Q90-$P$2*0.25-IF(WEEKDAY(K90,2)=5,60,0))*1.0175</f>
        <v>2449.9933583076449</v>
      </c>
    </row>
    <row r="92" spans="1:17">
      <c r="A92" s="1">
        <v>44652</v>
      </c>
      <c r="B92">
        <v>1</v>
      </c>
      <c r="C92">
        <v>13</v>
      </c>
      <c r="D92">
        <f t="shared" si="9"/>
        <v>4</v>
      </c>
      <c r="E92">
        <f>IF(AND(D93=staw3[[#This Row],[Miesiąc]],F92=1),E91+1,0)</f>
        <v>0</v>
      </c>
      <c r="F92">
        <f t="shared" si="8"/>
        <v>0</v>
      </c>
      <c r="G92">
        <v>91</v>
      </c>
      <c r="J92">
        <f t="shared" si="13"/>
        <v>91</v>
      </c>
      <c r="K92" s="1">
        <f t="shared" si="13"/>
        <v>45076</v>
      </c>
      <c r="L92">
        <f t="shared" si="11"/>
        <v>3235.2119850211316</v>
      </c>
      <c r="M92">
        <f t="shared" si="12"/>
        <v>0.32352119850211314</v>
      </c>
      <c r="Q92" s="5">
        <f>(Q91-$P$2*0.25-IF(WEEKDAY(K91,2)=5,60,0))*1.0175</f>
        <v>2468.9569920780291</v>
      </c>
    </row>
    <row r="93" spans="1:17">
      <c r="A93" s="1">
        <v>44653</v>
      </c>
      <c r="B93">
        <v>-0.1</v>
      </c>
      <c r="C93">
        <v>0</v>
      </c>
      <c r="D93">
        <f t="shared" si="9"/>
        <v>4</v>
      </c>
      <c r="E93">
        <f>IF(AND(D94=staw3[[#This Row],[Miesiąc]],F93=1),E92+1,0)</f>
        <v>1</v>
      </c>
      <c r="F93">
        <f t="shared" si="8"/>
        <v>1</v>
      </c>
      <c r="G93">
        <v>92</v>
      </c>
      <c r="J93">
        <f t="shared" si="13"/>
        <v>92</v>
      </c>
      <c r="K93" s="1">
        <f t="shared" si="13"/>
        <v>45077</v>
      </c>
      <c r="L93">
        <f t="shared" si="11"/>
        <v>3271.4781947590018</v>
      </c>
      <c r="M93">
        <f t="shared" si="12"/>
        <v>0.32714781947590016</v>
      </c>
      <c r="Q93" s="5">
        <f>(Q92-$P$2*0.25-IF(WEEKDAY(K92,2)=5,60,0))*1.0175</f>
        <v>2488.2524894393946</v>
      </c>
    </row>
    <row r="94" spans="1:17">
      <c r="A94" s="1">
        <v>44654</v>
      </c>
      <c r="B94">
        <v>0.2</v>
      </c>
      <c r="C94">
        <v>2</v>
      </c>
      <c r="D94">
        <f t="shared" si="9"/>
        <v>4</v>
      </c>
      <c r="E94">
        <f>IF(AND(D95=staw3[[#This Row],[Miesiąc]],F94=1),E93+1,0)</f>
        <v>0</v>
      </c>
      <c r="F94">
        <f t="shared" si="8"/>
        <v>0</v>
      </c>
      <c r="G94">
        <v>93</v>
      </c>
      <c r="J94">
        <f t="shared" si="13"/>
        <v>93</v>
      </c>
      <c r="K94" s="1">
        <f t="shared" si="13"/>
        <v>45078</v>
      </c>
      <c r="L94">
        <f t="shared" si="11"/>
        <v>3308.3790631672846</v>
      </c>
      <c r="M94">
        <f t="shared" si="12"/>
        <v>0.33083790631672844</v>
      </c>
      <c r="Q94" s="5">
        <f>(Q93-$P$2*0.25-IF(WEEKDAY(K93,2)=5,60,0))*1.0175</f>
        <v>2507.885658004584</v>
      </c>
    </row>
    <row r="95" spans="1:17">
      <c r="A95" s="1">
        <v>44655</v>
      </c>
      <c r="B95">
        <v>2.8</v>
      </c>
      <c r="C95">
        <v>0</v>
      </c>
      <c r="D95">
        <f t="shared" si="9"/>
        <v>4</v>
      </c>
      <c r="E95">
        <f>IF(AND(D96=staw3[[#This Row],[Miesiąc]],F95=1),E94+1,0)</f>
        <v>1</v>
      </c>
      <c r="F95">
        <f t="shared" si="8"/>
        <v>1</v>
      </c>
      <c r="G95">
        <v>94</v>
      </c>
      <c r="J95">
        <f t="shared" si="13"/>
        <v>94</v>
      </c>
      <c r="K95" s="1">
        <f t="shared" si="13"/>
        <v>45079</v>
      </c>
      <c r="L95">
        <f t="shared" si="11"/>
        <v>3345.9256967727124</v>
      </c>
      <c r="M95">
        <f t="shared" si="12"/>
        <v>0.33459256967727125</v>
      </c>
      <c r="Q95" s="5">
        <f>(Q94-$P$2*0.25-IF(WEEKDAY(K94,2)=5,60,0))*1.0175</f>
        <v>2527.8624070196643</v>
      </c>
    </row>
    <row r="96" spans="1:17">
      <c r="A96" s="1">
        <v>44656</v>
      </c>
      <c r="B96">
        <v>5.7</v>
      </c>
      <c r="C96">
        <v>1</v>
      </c>
      <c r="D96">
        <f t="shared" si="9"/>
        <v>4</v>
      </c>
      <c r="E96">
        <f>IF(AND(D97=staw3[[#This Row],[Miesiąc]],F96=1),E95+1,0)</f>
        <v>0</v>
      </c>
      <c r="F96">
        <f t="shared" si="8"/>
        <v>0</v>
      </c>
      <c r="G96">
        <v>95</v>
      </c>
      <c r="J96">
        <f t="shared" si="13"/>
        <v>95</v>
      </c>
      <c r="K96" s="1">
        <f t="shared" si="13"/>
        <v>45080</v>
      </c>
      <c r="L96">
        <f t="shared" si="11"/>
        <v>3323.0793964662353</v>
      </c>
      <c r="M96">
        <f t="shared" si="12"/>
        <v>0.33230793964662353</v>
      </c>
      <c r="Q96" s="5">
        <f>(Q95-$P$2*0.25-IF(WEEKDAY(K95,2)=5,60,0))*1.0175</f>
        <v>2487.1387491425085</v>
      </c>
    </row>
    <row r="97" spans="1:17">
      <c r="A97" s="1">
        <v>44657</v>
      </c>
      <c r="B97">
        <v>11.6</v>
      </c>
      <c r="C97">
        <v>0</v>
      </c>
      <c r="D97">
        <f t="shared" si="9"/>
        <v>4</v>
      </c>
      <c r="E97">
        <f>IF(AND(D98=staw3[[#This Row],[Miesiąc]],F97=1),E96+1,0)</f>
        <v>1</v>
      </c>
      <c r="F97">
        <f t="shared" si="8"/>
        <v>1</v>
      </c>
      <c r="G97">
        <v>96</v>
      </c>
      <c r="J97">
        <f t="shared" si="13"/>
        <v>96</v>
      </c>
      <c r="K97" s="1">
        <f t="shared" si="13"/>
        <v>45081</v>
      </c>
      <c r="L97">
        <f t="shared" si="11"/>
        <v>3360.8832859043946</v>
      </c>
      <c r="M97">
        <f t="shared" si="12"/>
        <v>0.33608832859043947</v>
      </c>
      <c r="Q97" s="5">
        <f>(Q96-$P$2*0.25-IF(WEEKDAY(K96,2)=5,60,0))*1.0175</f>
        <v>2506.7524272525025</v>
      </c>
    </row>
    <row r="98" spans="1:17">
      <c r="A98" s="1">
        <v>44658</v>
      </c>
      <c r="B98">
        <v>14.3</v>
      </c>
      <c r="C98">
        <v>0</v>
      </c>
      <c r="D98">
        <f t="shared" si="9"/>
        <v>4</v>
      </c>
      <c r="E98">
        <f>IF(AND(D99=staw3[[#This Row],[Miesiąc]],F98=1),E97+1,0)</f>
        <v>2</v>
      </c>
      <c r="F98">
        <f t="shared" si="8"/>
        <v>1</v>
      </c>
      <c r="G98">
        <v>97</v>
      </c>
      <c r="J98">
        <f t="shared" si="13"/>
        <v>97</v>
      </c>
      <c r="K98" s="1">
        <f t="shared" si="13"/>
        <v>45082</v>
      </c>
      <c r="L98">
        <f t="shared" si="11"/>
        <v>3399.3487434077219</v>
      </c>
      <c r="M98">
        <f t="shared" si="12"/>
        <v>0.33993487434077219</v>
      </c>
      <c r="Q98" s="5">
        <f>(Q97-$P$2*0.25-IF(WEEKDAY(K97,2)=5,60,0))*1.0175</f>
        <v>2526.7093447294214</v>
      </c>
    </row>
    <row r="99" spans="1:17">
      <c r="A99" s="1">
        <v>44659</v>
      </c>
      <c r="B99">
        <v>11.3</v>
      </c>
      <c r="C99">
        <v>4</v>
      </c>
      <c r="D99">
        <f t="shared" si="9"/>
        <v>4</v>
      </c>
      <c r="E99">
        <f>IF(AND(D100=staw3[[#This Row],[Miesiąc]],F99=1),E98+1,0)</f>
        <v>0</v>
      </c>
      <c r="F99">
        <f t="shared" si="8"/>
        <v>0</v>
      </c>
      <c r="G99">
        <v>98</v>
      </c>
      <c r="J99">
        <f t="shared" si="13"/>
        <v>98</v>
      </c>
      <c r="K99" s="1">
        <f t="shared" si="13"/>
        <v>45083</v>
      </c>
      <c r="L99">
        <f t="shared" si="11"/>
        <v>3438.4873464173575</v>
      </c>
      <c r="M99">
        <f t="shared" si="12"/>
        <v>0.34384873464173576</v>
      </c>
      <c r="Q99" s="5">
        <f>(Q98-$P$2*0.25-IF(WEEKDAY(K98,2)=5,60,0))*1.0175</f>
        <v>2547.0155082621864</v>
      </c>
    </row>
    <row r="100" spans="1:17">
      <c r="A100" s="1">
        <v>44660</v>
      </c>
      <c r="B100">
        <v>5.8</v>
      </c>
      <c r="C100">
        <v>1</v>
      </c>
      <c r="D100">
        <f t="shared" si="9"/>
        <v>4</v>
      </c>
      <c r="E100">
        <f>IF(AND(D101=staw3[[#This Row],[Miesiąc]],F100=1),E99+1,0)</f>
        <v>0</v>
      </c>
      <c r="F100">
        <f t="shared" si="8"/>
        <v>0</v>
      </c>
      <c r="G100">
        <v>99</v>
      </c>
      <c r="J100">
        <f t="shared" ref="J100:K115" si="14">J99+1</f>
        <v>99</v>
      </c>
      <c r="K100" s="1">
        <f t="shared" si="14"/>
        <v>45084</v>
      </c>
      <c r="L100">
        <f t="shared" si="11"/>
        <v>3478.3108749796615</v>
      </c>
      <c r="M100">
        <f t="shared" si="12"/>
        <v>0.34783108749796615</v>
      </c>
      <c r="Q100" s="5">
        <f>(Q99-$P$2*0.25-IF(WEEKDAY(K99,2)=5,60,0))*1.0175</f>
        <v>2567.6770296567747</v>
      </c>
    </row>
    <row r="101" spans="1:17">
      <c r="A101" s="1">
        <v>44661</v>
      </c>
      <c r="B101">
        <v>4.3</v>
      </c>
      <c r="C101">
        <v>0</v>
      </c>
      <c r="D101">
        <f t="shared" si="9"/>
        <v>4</v>
      </c>
      <c r="E101">
        <f>IF(AND(D102=staw3[[#This Row],[Miesiąc]],F101=1),E100+1,0)</f>
        <v>1</v>
      </c>
      <c r="F101">
        <f t="shared" si="8"/>
        <v>1</v>
      </c>
      <c r="G101">
        <v>100</v>
      </c>
      <c r="J101">
        <f t="shared" si="14"/>
        <v>100</v>
      </c>
      <c r="K101" s="1">
        <f t="shared" si="14"/>
        <v>45085</v>
      </c>
      <c r="L101">
        <f t="shared" si="11"/>
        <v>3518.8313152918058</v>
      </c>
      <c r="M101">
        <f t="shared" si="12"/>
        <v>0.3518831315291806</v>
      </c>
      <c r="Q101" s="5">
        <f>(Q100-$P$2*0.25-IF(WEEKDAY(K100,2)=5,60,0))*1.0175</f>
        <v>2588.7001276757683</v>
      </c>
    </row>
    <row r="102" spans="1:17">
      <c r="A102" s="1">
        <v>44662</v>
      </c>
      <c r="B102">
        <v>3.6</v>
      </c>
      <c r="C102">
        <v>0</v>
      </c>
      <c r="D102">
        <f t="shared" si="9"/>
        <v>4</v>
      </c>
      <c r="E102">
        <f>IF(AND(D103=staw3[[#This Row],[Miesiąc]],F102=1),E101+1,0)</f>
        <v>2</v>
      </c>
      <c r="F102">
        <f t="shared" si="8"/>
        <v>1</v>
      </c>
      <c r="G102">
        <v>101</v>
      </c>
      <c r="J102">
        <f t="shared" si="14"/>
        <v>101</v>
      </c>
      <c r="K102" s="1">
        <f t="shared" si="14"/>
        <v>45086</v>
      </c>
      <c r="L102">
        <f t="shared" si="11"/>
        <v>3560.0608633094125</v>
      </c>
      <c r="M102">
        <f t="shared" si="12"/>
        <v>0.35600608633094127</v>
      </c>
      <c r="Q102" s="5">
        <f>(Q101-$P$2*0.25-IF(WEEKDAY(K101,2)=5,60,0))*1.0175</f>
        <v>2610.0911299100944</v>
      </c>
    </row>
    <row r="103" spans="1:17">
      <c r="A103" s="1">
        <v>44663</v>
      </c>
      <c r="B103">
        <v>6.8</v>
      </c>
      <c r="C103">
        <v>0</v>
      </c>
      <c r="D103">
        <f t="shared" si="9"/>
        <v>4</v>
      </c>
      <c r="E103">
        <f>IF(AND(D104=staw3[[#This Row],[Miesiąc]],F103=1),E102+1,0)</f>
        <v>3</v>
      </c>
      <c r="F103">
        <f t="shared" si="8"/>
        <v>1</v>
      </c>
      <c r="G103">
        <v>102</v>
      </c>
      <c r="J103">
        <f t="shared" si="14"/>
        <v>102</v>
      </c>
      <c r="K103" s="1">
        <f t="shared" si="14"/>
        <v>45087</v>
      </c>
      <c r="L103">
        <f t="shared" si="11"/>
        <v>3540.9619284173273</v>
      </c>
      <c r="M103">
        <f t="shared" si="12"/>
        <v>0.35409619284173272</v>
      </c>
      <c r="Q103" s="5">
        <f>(Q102-$P$2*0.25-IF(WEEKDAY(K102,2)=5,60,0))*1.0175</f>
        <v>2570.8064746835212</v>
      </c>
    </row>
    <row r="104" spans="1:17">
      <c r="A104" s="1">
        <v>44664</v>
      </c>
      <c r="B104">
        <v>9.1999999999999993</v>
      </c>
      <c r="C104">
        <v>0</v>
      </c>
      <c r="D104">
        <f t="shared" si="9"/>
        <v>4</v>
      </c>
      <c r="E104">
        <f>IF(AND(D105=staw3[[#This Row],[Miesiąc]],F104=1),E103+1,0)</f>
        <v>4</v>
      </c>
      <c r="F104">
        <f t="shared" si="8"/>
        <v>1</v>
      </c>
      <c r="G104">
        <v>103</v>
      </c>
      <c r="J104">
        <f t="shared" si="14"/>
        <v>103</v>
      </c>
      <c r="K104" s="1">
        <f t="shared" si="14"/>
        <v>45088</v>
      </c>
      <c r="L104">
        <f t="shared" si="11"/>
        <v>3582.5787621646309</v>
      </c>
      <c r="M104">
        <f t="shared" si="12"/>
        <v>0.3582578762164631</v>
      </c>
      <c r="Q104" s="5">
        <f>(Q103-$P$2*0.25-IF(WEEKDAY(K103,2)=5,60,0))*1.0175</f>
        <v>2591.8843379904829</v>
      </c>
    </row>
    <row r="105" spans="1:17">
      <c r="A105" s="1">
        <v>44665</v>
      </c>
      <c r="B105">
        <v>13.9</v>
      </c>
      <c r="C105">
        <v>0</v>
      </c>
      <c r="D105">
        <f t="shared" si="9"/>
        <v>4</v>
      </c>
      <c r="E105">
        <f>IF(AND(D106=staw3[[#This Row],[Miesiąc]],F105=1),E104+1,0)</f>
        <v>5</v>
      </c>
      <c r="F105">
        <f t="shared" si="8"/>
        <v>1</v>
      </c>
      <c r="G105">
        <v>104</v>
      </c>
      <c r="J105">
        <f t="shared" si="14"/>
        <v>104</v>
      </c>
      <c r="K105" s="1">
        <f t="shared" si="14"/>
        <v>45089</v>
      </c>
      <c r="L105">
        <f t="shared" si="11"/>
        <v>3624.9238905025122</v>
      </c>
      <c r="M105">
        <f t="shared" si="12"/>
        <v>0.36249238905025122</v>
      </c>
      <c r="Q105" s="5">
        <f>(Q104-$P$2*0.25-IF(WEEKDAY(K104,2)=5,60,0))*1.0175</f>
        <v>2613.3310639053166</v>
      </c>
    </row>
    <row r="106" spans="1:17">
      <c r="A106" s="1">
        <v>44666</v>
      </c>
      <c r="B106">
        <v>11.3</v>
      </c>
      <c r="C106">
        <v>2</v>
      </c>
      <c r="D106">
        <f t="shared" si="9"/>
        <v>4</v>
      </c>
      <c r="E106">
        <f>IF(AND(D107=staw3[[#This Row],[Miesiąc]],F106=1),E105+1,0)</f>
        <v>0</v>
      </c>
      <c r="F106">
        <f t="shared" si="8"/>
        <v>0</v>
      </c>
      <c r="G106">
        <v>105</v>
      </c>
      <c r="J106">
        <f t="shared" si="14"/>
        <v>105</v>
      </c>
      <c r="K106" s="1">
        <f t="shared" si="14"/>
        <v>45090</v>
      </c>
      <c r="L106">
        <f t="shared" si="11"/>
        <v>3668.0100585863065</v>
      </c>
      <c r="M106">
        <f t="shared" si="12"/>
        <v>0.36680100585863062</v>
      </c>
      <c r="Q106" s="5">
        <f>(Q105-$P$2*0.25-IF(WEEKDAY(K105,2)=5,60,0))*1.0175</f>
        <v>2635.1531075236599</v>
      </c>
    </row>
    <row r="107" spans="1:17">
      <c r="A107" s="1">
        <v>44667</v>
      </c>
      <c r="B107">
        <v>6.9</v>
      </c>
      <c r="C107">
        <v>4</v>
      </c>
      <c r="D107">
        <f t="shared" si="9"/>
        <v>4</v>
      </c>
      <c r="E107">
        <f>IF(AND(D108=staw3[[#This Row],[Miesiąc]],F107=1),E106+1,0)</f>
        <v>0</v>
      </c>
      <c r="F107">
        <f t="shared" si="8"/>
        <v>0</v>
      </c>
      <c r="G107">
        <v>106</v>
      </c>
      <c r="J107">
        <f t="shared" si="14"/>
        <v>106</v>
      </c>
      <c r="K107" s="1">
        <f t="shared" si="14"/>
        <v>45091</v>
      </c>
      <c r="L107">
        <f t="shared" si="11"/>
        <v>3711.850234611567</v>
      </c>
      <c r="M107">
        <f t="shared" si="12"/>
        <v>0.37118502346115667</v>
      </c>
      <c r="Q107" s="5">
        <f>(Q106-$P$2*0.25-IF(WEEKDAY(K106,2)=5,60,0))*1.0175</f>
        <v>2657.3570369053241</v>
      </c>
    </row>
    <row r="108" spans="1:17">
      <c r="A108" s="1">
        <v>44668</v>
      </c>
      <c r="B108">
        <v>6.2</v>
      </c>
      <c r="C108">
        <v>0</v>
      </c>
      <c r="D108">
        <f t="shared" si="9"/>
        <v>4</v>
      </c>
      <c r="E108">
        <f>IF(AND(D109=staw3[[#This Row],[Miesiąc]],F108=1),E107+1,0)</f>
        <v>1</v>
      </c>
      <c r="F108">
        <f t="shared" si="8"/>
        <v>1</v>
      </c>
      <c r="G108">
        <v>107</v>
      </c>
      <c r="J108">
        <f t="shared" si="14"/>
        <v>107</v>
      </c>
      <c r="K108" s="1">
        <f t="shared" si="14"/>
        <v>45092</v>
      </c>
      <c r="L108">
        <f t="shared" si="11"/>
        <v>3756.4576137172699</v>
      </c>
      <c r="M108">
        <f t="shared" si="12"/>
        <v>0.375645761371727</v>
      </c>
      <c r="Q108" s="5">
        <f>(Q107-$P$2*0.25-IF(WEEKDAY(K107,2)=5,60,0))*1.0175</f>
        <v>2679.9495350511675</v>
      </c>
    </row>
    <row r="109" spans="1:17">
      <c r="A109" s="1">
        <v>44669</v>
      </c>
      <c r="B109">
        <v>5.4</v>
      </c>
      <c r="C109">
        <v>0</v>
      </c>
      <c r="D109">
        <f t="shared" si="9"/>
        <v>4</v>
      </c>
      <c r="E109">
        <f>IF(AND(D110=staw3[[#This Row],[Miesiąc]],F109=1),E108+1,0)</f>
        <v>2</v>
      </c>
      <c r="F109">
        <f t="shared" si="8"/>
        <v>1</v>
      </c>
      <c r="G109">
        <v>108</v>
      </c>
      <c r="J109">
        <f t="shared" si="14"/>
        <v>108</v>
      </c>
      <c r="K109" s="1">
        <f t="shared" si="14"/>
        <v>45093</v>
      </c>
      <c r="L109">
        <f t="shared" si="11"/>
        <v>3801.8456219573222</v>
      </c>
      <c r="M109">
        <f t="shared" si="12"/>
        <v>0.38018456219573221</v>
      </c>
      <c r="Q109" s="5">
        <f>(Q108-$P$2*0.25-IF(WEEKDAY(K108,2)=5,60,0))*1.0175</f>
        <v>2702.937401914563</v>
      </c>
    </row>
    <row r="110" spans="1:17">
      <c r="A110" s="1">
        <v>44670</v>
      </c>
      <c r="B110">
        <v>5.3</v>
      </c>
      <c r="C110">
        <v>0</v>
      </c>
      <c r="D110">
        <f t="shared" si="9"/>
        <v>4</v>
      </c>
      <c r="E110">
        <f>IF(AND(D111=staw3[[#This Row],[Miesiąc]],F110=1),E109+1,0)</f>
        <v>3</v>
      </c>
      <c r="F110">
        <f t="shared" si="8"/>
        <v>1</v>
      </c>
      <c r="G110">
        <v>109</v>
      </c>
      <c r="J110">
        <f t="shared" si="14"/>
        <v>109</v>
      </c>
      <c r="K110" s="1">
        <f t="shared" si="14"/>
        <v>45094</v>
      </c>
      <c r="L110">
        <f t="shared" si="11"/>
        <v>3786.9779203415756</v>
      </c>
      <c r="M110">
        <f t="shared" si="12"/>
        <v>0.37869779203415754</v>
      </c>
      <c r="Q110" s="5">
        <f>(Q109-$P$2*0.25-IF(WEEKDAY(K109,2)=5,60,0))*1.0175</f>
        <v>2665.277556448068</v>
      </c>
    </row>
    <row r="111" spans="1:17">
      <c r="A111" s="1">
        <v>44671</v>
      </c>
      <c r="B111">
        <v>4.7</v>
      </c>
      <c r="C111">
        <v>0</v>
      </c>
      <c r="D111">
        <f t="shared" si="9"/>
        <v>4</v>
      </c>
      <c r="E111">
        <f>IF(AND(D112=staw3[[#This Row],[Miesiąc]],F111=1),E110+1,0)</f>
        <v>4</v>
      </c>
      <c r="F111">
        <f t="shared" si="8"/>
        <v>1</v>
      </c>
      <c r="G111">
        <v>110</v>
      </c>
      <c r="J111">
        <f t="shared" si="14"/>
        <v>110</v>
      </c>
      <c r="K111" s="1">
        <f t="shared" si="14"/>
        <v>45095</v>
      </c>
      <c r="L111">
        <f t="shared" si="11"/>
        <v>3832.9000339475533</v>
      </c>
      <c r="M111">
        <f t="shared" si="12"/>
        <v>0.38329000339475533</v>
      </c>
      <c r="Q111" s="5">
        <f>(Q110-$P$2*0.25-IF(WEEKDAY(K110,2)=5,60,0))*1.0175</f>
        <v>2688.0086636859096</v>
      </c>
    </row>
    <row r="112" spans="1:17">
      <c r="A112" s="1">
        <v>44672</v>
      </c>
      <c r="B112">
        <v>7.7</v>
      </c>
      <c r="C112">
        <v>0</v>
      </c>
      <c r="D112">
        <f t="shared" si="9"/>
        <v>4</v>
      </c>
      <c r="E112">
        <f>IF(AND(D113=staw3[[#This Row],[Miesiąc]],F112=1),E111+1,0)</f>
        <v>5</v>
      </c>
      <c r="F112">
        <f t="shared" si="8"/>
        <v>1</v>
      </c>
      <c r="G112">
        <v>111</v>
      </c>
      <c r="J112">
        <f t="shared" si="14"/>
        <v>111</v>
      </c>
      <c r="K112" s="1">
        <f t="shared" si="14"/>
        <v>45096</v>
      </c>
      <c r="L112">
        <f t="shared" si="11"/>
        <v>3879.6257845416358</v>
      </c>
      <c r="M112">
        <f t="shared" si="12"/>
        <v>0.3879625784541636</v>
      </c>
      <c r="Q112" s="5">
        <f>(Q111-$P$2*0.25-IF(WEEKDAY(K111,2)=5,60,0))*1.0175</f>
        <v>2711.1375653004134</v>
      </c>
    </row>
    <row r="113" spans="1:17">
      <c r="A113" s="1">
        <v>44673</v>
      </c>
      <c r="B113">
        <v>7.7</v>
      </c>
      <c r="C113">
        <v>0</v>
      </c>
      <c r="D113">
        <f t="shared" si="9"/>
        <v>4</v>
      </c>
      <c r="E113">
        <f>IF(AND(D114=staw3[[#This Row],[Miesiąc]],F113=1),E112+1,0)</f>
        <v>6</v>
      </c>
      <c r="F113">
        <f t="shared" si="8"/>
        <v>1</v>
      </c>
      <c r="G113">
        <v>112</v>
      </c>
      <c r="J113">
        <f t="shared" si="14"/>
        <v>112</v>
      </c>
      <c r="K113" s="1">
        <f t="shared" si="14"/>
        <v>45097</v>
      </c>
      <c r="L113">
        <f t="shared" si="11"/>
        <v>3927.1692357711145</v>
      </c>
      <c r="M113">
        <f t="shared" si="12"/>
        <v>0.39271692357711147</v>
      </c>
      <c r="Q113" s="5">
        <f>(Q112-$P$2*0.25-IF(WEEKDAY(K112,2)=5,60,0))*1.0175</f>
        <v>2734.6712226931709</v>
      </c>
    </row>
    <row r="114" spans="1:17">
      <c r="A114" s="1">
        <v>44674</v>
      </c>
      <c r="B114">
        <v>8.6</v>
      </c>
      <c r="C114">
        <v>0</v>
      </c>
      <c r="D114">
        <f t="shared" si="9"/>
        <v>4</v>
      </c>
      <c r="E114">
        <f>IF(AND(D115=staw3[[#This Row],[Miesiąc]],F114=1),E113+1,0)</f>
        <v>7</v>
      </c>
      <c r="F114">
        <f t="shared" si="8"/>
        <v>1</v>
      </c>
      <c r="G114">
        <v>113</v>
      </c>
      <c r="J114">
        <f t="shared" si="14"/>
        <v>113</v>
      </c>
      <c r="K114" s="1">
        <f t="shared" si="14"/>
        <v>45098</v>
      </c>
      <c r="L114">
        <f t="shared" si="11"/>
        <v>3975.5446973971093</v>
      </c>
      <c r="M114">
        <f t="shared" si="12"/>
        <v>0.39755446973971093</v>
      </c>
      <c r="Q114" s="5">
        <f>(Q113-$P$2*0.25-IF(WEEKDAY(K113,2)=5,60,0))*1.0175</f>
        <v>2758.6167190903016</v>
      </c>
    </row>
    <row r="115" spans="1:17">
      <c r="A115" s="1">
        <v>44675</v>
      </c>
      <c r="B115">
        <v>9.4</v>
      </c>
      <c r="C115">
        <v>0</v>
      </c>
      <c r="D115">
        <f t="shared" si="9"/>
        <v>4</v>
      </c>
      <c r="E115">
        <f>IF(AND(D116=staw3[[#This Row],[Miesiąc]],F115=1),E114+1,0)</f>
        <v>8</v>
      </c>
      <c r="F115">
        <f t="shared" si="8"/>
        <v>1</v>
      </c>
      <c r="G115">
        <v>114</v>
      </c>
      <c r="J115">
        <f t="shared" si="14"/>
        <v>114</v>
      </c>
      <c r="K115" s="1">
        <f t="shared" si="14"/>
        <v>45099</v>
      </c>
      <c r="L115">
        <f t="shared" si="11"/>
        <v>4024.7667296015588</v>
      </c>
      <c r="M115">
        <f t="shared" si="12"/>
        <v>0.40247667296015588</v>
      </c>
      <c r="Q115" s="5">
        <f>(Q114-$P$2*0.25-IF(WEEKDAY(K114,2)=5,60,0))*1.0175</f>
        <v>2782.981261674382</v>
      </c>
    </row>
    <row r="116" spans="1:17">
      <c r="A116" s="1">
        <v>44676</v>
      </c>
      <c r="B116">
        <v>11.1</v>
      </c>
      <c r="C116">
        <v>18</v>
      </c>
      <c r="D116">
        <f t="shared" si="9"/>
        <v>4</v>
      </c>
      <c r="E116">
        <f>IF(AND(D117=staw3[[#This Row],[Miesiąc]],F116=1),E115+1,0)</f>
        <v>0</v>
      </c>
      <c r="F116">
        <f t="shared" si="8"/>
        <v>0</v>
      </c>
      <c r="G116">
        <v>115</v>
      </c>
      <c r="J116">
        <f t="shared" ref="J116:K131" si="15">J115+1</f>
        <v>115</v>
      </c>
      <c r="K116" s="1">
        <f t="shared" si="15"/>
        <v>45100</v>
      </c>
      <c r="L116">
        <f t="shared" si="11"/>
        <v>4074.8501473695865</v>
      </c>
      <c r="M116">
        <f t="shared" si="12"/>
        <v>0.40748501473695864</v>
      </c>
      <c r="Q116" s="5">
        <f>(Q115-$P$2*0.25-IF(WEEKDAY(K115,2)=5,60,0))*1.0175</f>
        <v>2807.7721837536837</v>
      </c>
    </row>
    <row r="117" spans="1:17">
      <c r="A117" s="1">
        <v>44677</v>
      </c>
      <c r="B117">
        <v>9.5</v>
      </c>
      <c r="C117">
        <v>0</v>
      </c>
      <c r="D117">
        <f t="shared" si="9"/>
        <v>4</v>
      </c>
      <c r="E117">
        <f>IF(AND(D118=staw3[[#This Row],[Miesiąc]],F117=1),E116+1,0)</f>
        <v>1</v>
      </c>
      <c r="F117">
        <f t="shared" si="8"/>
        <v>1</v>
      </c>
      <c r="G117">
        <v>116</v>
      </c>
      <c r="J117">
        <f t="shared" si="15"/>
        <v>116</v>
      </c>
      <c r="K117" s="1">
        <f t="shared" si="15"/>
        <v>45101</v>
      </c>
      <c r="L117">
        <f t="shared" si="11"/>
        <v>4064.7600249485545</v>
      </c>
      <c r="M117">
        <f t="shared" si="12"/>
        <v>0.40647600249485544</v>
      </c>
      <c r="Q117" s="5">
        <f>(Q116-$P$2*0.25-IF(WEEKDAY(K116,2)=5,60,0))*1.0175</f>
        <v>2771.9469469693736</v>
      </c>
    </row>
    <row r="118" spans="1:17">
      <c r="A118" s="1">
        <v>44678</v>
      </c>
      <c r="B118">
        <v>9.8000000000000007</v>
      </c>
      <c r="C118">
        <v>0</v>
      </c>
      <c r="D118">
        <f t="shared" si="9"/>
        <v>4</v>
      </c>
      <c r="E118">
        <f>IF(AND(D119=staw3[[#This Row],[Miesiąc]],F118=1),E117+1,0)</f>
        <v>2</v>
      </c>
      <c r="F118">
        <f t="shared" si="8"/>
        <v>1</v>
      </c>
      <c r="G118">
        <v>117</v>
      </c>
      <c r="J118">
        <f t="shared" si="15"/>
        <v>117</v>
      </c>
      <c r="K118" s="1">
        <f t="shared" si="15"/>
        <v>45102</v>
      </c>
      <c r="L118">
        <f t="shared" si="11"/>
        <v>4115.5433253851543</v>
      </c>
      <c r="M118">
        <f t="shared" si="12"/>
        <v>0.41155433253851542</v>
      </c>
      <c r="Q118" s="5">
        <f>(Q117-$P$2*0.25-IF(WEEKDAY(K117,2)=5,60,0))*1.0175</f>
        <v>2796.5447685413378</v>
      </c>
    </row>
    <row r="119" spans="1:17">
      <c r="A119" s="1">
        <v>44679</v>
      </c>
      <c r="B119">
        <v>12.1</v>
      </c>
      <c r="C119">
        <v>0</v>
      </c>
      <c r="D119">
        <f t="shared" si="9"/>
        <v>4</v>
      </c>
      <c r="E119">
        <f>IF(AND(D120=staw3[[#This Row],[Miesiąc]],F119=1),E118+1,0)</f>
        <v>3</v>
      </c>
      <c r="F119">
        <f t="shared" si="8"/>
        <v>1</v>
      </c>
      <c r="G119">
        <v>118</v>
      </c>
      <c r="J119">
        <f t="shared" si="15"/>
        <v>118</v>
      </c>
      <c r="K119" s="1">
        <f t="shared" si="15"/>
        <v>45103</v>
      </c>
      <c r="L119">
        <f t="shared" si="11"/>
        <v>4167.2153335793946</v>
      </c>
      <c r="M119">
        <f t="shared" si="12"/>
        <v>0.41672153335793949</v>
      </c>
      <c r="Q119" s="5">
        <f>(Q118-$P$2*0.25-IF(WEEKDAY(K118,2)=5,60,0))*1.0175</f>
        <v>2821.5730519908116</v>
      </c>
    </row>
    <row r="120" spans="1:17">
      <c r="A120" s="1">
        <v>44680</v>
      </c>
      <c r="B120">
        <v>11.1</v>
      </c>
      <c r="C120">
        <v>0</v>
      </c>
      <c r="D120">
        <f t="shared" si="9"/>
        <v>4</v>
      </c>
      <c r="E120">
        <f>IF(AND(D121=staw3[[#This Row],[Miesiąc]],F120=1),E119+1,0)</f>
        <v>4</v>
      </c>
      <c r="F120">
        <f t="shared" si="8"/>
        <v>1</v>
      </c>
      <c r="G120">
        <v>119</v>
      </c>
      <c r="J120">
        <f t="shared" si="15"/>
        <v>119</v>
      </c>
      <c r="K120" s="1">
        <f t="shared" si="15"/>
        <v>45104</v>
      </c>
      <c r="L120">
        <f t="shared" si="11"/>
        <v>4219.7916019170343</v>
      </c>
      <c r="M120">
        <f t="shared" si="12"/>
        <v>0.42197916019170345</v>
      </c>
      <c r="Q120" s="5">
        <f>(Q119-$P$2*0.25-IF(WEEKDAY(K119,2)=5,60,0))*1.0175</f>
        <v>2847.0393304006511</v>
      </c>
    </row>
    <row r="121" spans="1:17">
      <c r="A121" s="1">
        <v>44681</v>
      </c>
      <c r="B121">
        <v>3.9</v>
      </c>
      <c r="C121">
        <v>11</v>
      </c>
      <c r="D121">
        <f t="shared" si="9"/>
        <v>4</v>
      </c>
      <c r="E121">
        <f>IF(AND(D122=staw3[[#This Row],[Miesiąc]],F121=1),E120+1,0)</f>
        <v>0</v>
      </c>
      <c r="F121">
        <f t="shared" si="8"/>
        <v>0</v>
      </c>
      <c r="G121">
        <v>120</v>
      </c>
      <c r="J121">
        <f t="shared" si="15"/>
        <v>120</v>
      </c>
      <c r="K121" s="1">
        <f t="shared" si="15"/>
        <v>45105</v>
      </c>
      <c r="L121">
        <f t="shared" si="11"/>
        <v>4273.2879549505824</v>
      </c>
      <c r="M121">
        <f t="shared" si="12"/>
        <v>0.42732879549505826</v>
      </c>
      <c r="Q121" s="5">
        <f>(Q120-$P$2*0.25-IF(WEEKDAY(K120,2)=5,60,0))*1.0175</f>
        <v>2872.9512686826629</v>
      </c>
    </row>
    <row r="122" spans="1:17">
      <c r="A122" s="1">
        <v>44682</v>
      </c>
      <c r="B122">
        <v>12.8</v>
      </c>
      <c r="C122">
        <v>0</v>
      </c>
      <c r="D122">
        <f t="shared" si="9"/>
        <v>5</v>
      </c>
      <c r="E122">
        <f>IF(AND(D123=staw3[[#This Row],[Miesiąc]],F122=1),E121+1,0)</f>
        <v>1</v>
      </c>
      <c r="F122">
        <f t="shared" si="8"/>
        <v>1</v>
      </c>
      <c r="G122">
        <v>121</v>
      </c>
      <c r="J122">
        <f t="shared" si="15"/>
        <v>121</v>
      </c>
      <c r="K122" s="1">
        <f t="shared" si="15"/>
        <v>45106</v>
      </c>
      <c r="L122">
        <f t="shared" si="11"/>
        <v>4327.7204941622176</v>
      </c>
      <c r="M122">
        <f t="shared" si="12"/>
        <v>0.43277204941622177</v>
      </c>
      <c r="Q122" s="5">
        <f>(Q121-$P$2*0.25-IF(WEEKDAY(K121,2)=5,60,0))*1.0175</f>
        <v>2899.3166658846098</v>
      </c>
    </row>
    <row r="123" spans="1:17">
      <c r="A123" s="1">
        <v>44683</v>
      </c>
      <c r="B123">
        <v>14.4</v>
      </c>
      <c r="C123">
        <v>0</v>
      </c>
      <c r="D123">
        <f t="shared" si="9"/>
        <v>5</v>
      </c>
      <c r="E123">
        <f>IF(AND(D124=staw3[[#This Row],[Miesiąc]],F123=1),E122+1,0)</f>
        <v>2</v>
      </c>
      <c r="F123">
        <f t="shared" si="8"/>
        <v>1</v>
      </c>
      <c r="G123">
        <v>122</v>
      </c>
      <c r="J123">
        <f t="shared" si="15"/>
        <v>122</v>
      </c>
      <c r="K123" s="1">
        <f t="shared" si="15"/>
        <v>45107</v>
      </c>
      <c r="L123">
        <f t="shared" si="11"/>
        <v>4383.1056028100566</v>
      </c>
      <c r="M123">
        <f t="shared" si="12"/>
        <v>0.43831056028100568</v>
      </c>
      <c r="Q123" s="5">
        <f>(Q122-$P$2*0.25-IF(WEEKDAY(K122,2)=5,60,0))*1.0175</f>
        <v>2926.1434575375906</v>
      </c>
    </row>
    <row r="124" spans="1:17">
      <c r="A124" s="1">
        <v>44684</v>
      </c>
      <c r="B124">
        <v>15.3</v>
      </c>
      <c r="C124">
        <v>0</v>
      </c>
      <c r="D124">
        <f t="shared" si="9"/>
        <v>5</v>
      </c>
      <c r="E124">
        <f>IF(AND(D125=staw3[[#This Row],[Miesiąc]],F124=1),E123+1,0)</f>
        <v>3</v>
      </c>
      <c r="F124">
        <f t="shared" si="8"/>
        <v>1</v>
      </c>
      <c r="G124">
        <v>123</v>
      </c>
      <c r="J124">
        <f t="shared" si="15"/>
        <v>123</v>
      </c>
      <c r="K124" s="1">
        <f t="shared" si="15"/>
        <v>45108</v>
      </c>
      <c r="L124">
        <f t="shared" si="11"/>
        <v>4378.4099508592326</v>
      </c>
      <c r="M124">
        <f t="shared" si="12"/>
        <v>0.43784099508592328</v>
      </c>
      <c r="Q124" s="5">
        <f>(Q123-$P$2*0.25-IF(WEEKDAY(K123,2)=5,60,0))*1.0175</f>
        <v>2892.3897180444987</v>
      </c>
    </row>
    <row r="125" spans="1:17">
      <c r="A125" s="1">
        <v>44685</v>
      </c>
      <c r="B125">
        <v>15.4</v>
      </c>
      <c r="C125">
        <v>0</v>
      </c>
      <c r="D125">
        <f t="shared" si="9"/>
        <v>5</v>
      </c>
      <c r="E125">
        <f>IF(AND(D126=staw3[[#This Row],[Miesiąc]],F125=1),E124+1,0)</f>
        <v>4</v>
      </c>
      <c r="F125">
        <f t="shared" si="8"/>
        <v>1</v>
      </c>
      <c r="G125">
        <v>124</v>
      </c>
      <c r="J125">
        <f t="shared" si="15"/>
        <v>124</v>
      </c>
      <c r="K125" s="1">
        <f t="shared" si="15"/>
        <v>45109</v>
      </c>
      <c r="L125">
        <f t="shared" si="11"/>
        <v>4434.682124999269</v>
      </c>
      <c r="M125">
        <f t="shared" si="12"/>
        <v>0.44346821249992691</v>
      </c>
      <c r="Q125" s="5">
        <f>(Q124-$P$2*0.25-IF(WEEKDAY(K124,2)=5,60,0))*1.0175</f>
        <v>2919.0952881102776</v>
      </c>
    </row>
    <row r="126" spans="1:17">
      <c r="A126" s="1">
        <v>44686</v>
      </c>
      <c r="B126">
        <v>16.100000000000001</v>
      </c>
      <c r="C126">
        <v>0</v>
      </c>
      <c r="D126">
        <f t="shared" si="9"/>
        <v>5</v>
      </c>
      <c r="E126">
        <f>IF(AND(D127=staw3[[#This Row],[Miesiąc]],F126=1),E125+1,0)</f>
        <v>5</v>
      </c>
      <c r="F126">
        <f t="shared" si="8"/>
        <v>1</v>
      </c>
      <c r="G126">
        <v>125</v>
      </c>
      <c r="J126">
        <f t="shared" si="15"/>
        <v>125</v>
      </c>
      <c r="K126" s="1">
        <f t="shared" si="15"/>
        <v>45110</v>
      </c>
      <c r="L126">
        <f t="shared" si="11"/>
        <v>4491.9390621867569</v>
      </c>
      <c r="M126">
        <f t="shared" si="12"/>
        <v>0.44919390621867572</v>
      </c>
      <c r="Q126" s="5">
        <f>(Q125-$P$2*0.25-IF(WEEKDAY(K125,2)=5,60,0))*1.0175</f>
        <v>2946.2682056522076</v>
      </c>
    </row>
    <row r="127" spans="1:17">
      <c r="A127" s="1">
        <v>44687</v>
      </c>
      <c r="B127">
        <v>14.9</v>
      </c>
      <c r="C127">
        <v>0</v>
      </c>
      <c r="D127">
        <f t="shared" si="9"/>
        <v>5</v>
      </c>
      <c r="E127">
        <f>IF(AND(D128=staw3[[#This Row],[Miesiąc]],F127=1),E126+1,0)</f>
        <v>6</v>
      </c>
      <c r="F127">
        <f t="shared" si="8"/>
        <v>1</v>
      </c>
      <c r="G127">
        <v>126</v>
      </c>
      <c r="J127">
        <f t="shared" si="15"/>
        <v>126</v>
      </c>
      <c r="K127" s="1">
        <f t="shared" si="15"/>
        <v>45111</v>
      </c>
      <c r="L127">
        <f t="shared" si="11"/>
        <v>4550.1979957750254</v>
      </c>
      <c r="M127">
        <f t="shared" si="12"/>
        <v>0.45501979957750255</v>
      </c>
      <c r="Q127" s="5">
        <f>(Q126-$P$2*0.25-IF(WEEKDAY(K126,2)=5,60,0))*1.0175</f>
        <v>2973.9166492511213</v>
      </c>
    </row>
    <row r="128" spans="1:17">
      <c r="A128" s="1">
        <v>44688</v>
      </c>
      <c r="B128">
        <v>16</v>
      </c>
      <c r="C128">
        <v>0</v>
      </c>
      <c r="D128">
        <f t="shared" si="9"/>
        <v>5</v>
      </c>
      <c r="E128">
        <f>IF(AND(D129=staw3[[#This Row],[Miesiąc]],F128=1),E127+1,0)</f>
        <v>7</v>
      </c>
      <c r="F128">
        <f t="shared" si="8"/>
        <v>1</v>
      </c>
      <c r="G128">
        <v>127</v>
      </c>
      <c r="J128">
        <f t="shared" si="15"/>
        <v>127</v>
      </c>
      <c r="K128" s="1">
        <f t="shared" si="15"/>
        <v>45112</v>
      </c>
      <c r="L128">
        <f t="shared" si="11"/>
        <v>4609.4764607010884</v>
      </c>
      <c r="M128">
        <f t="shared" si="12"/>
        <v>0.46094764607010885</v>
      </c>
      <c r="Q128" s="5">
        <f>(Q127-$P$2*0.25-IF(WEEKDAY(K127,2)=5,60,0))*1.0175</f>
        <v>3002.0489406130159</v>
      </c>
    </row>
    <row r="129" spans="1:17">
      <c r="A129" s="1">
        <v>44689</v>
      </c>
      <c r="B129">
        <v>16.3</v>
      </c>
      <c r="C129">
        <v>0</v>
      </c>
      <c r="D129">
        <f t="shared" si="9"/>
        <v>5</v>
      </c>
      <c r="E129">
        <f>IF(AND(D130=staw3[[#This Row],[Miesiąc]],F129=1),E128+1,0)</f>
        <v>8</v>
      </c>
      <c r="F129">
        <f t="shared" si="8"/>
        <v>1</v>
      </c>
      <c r="G129">
        <v>128</v>
      </c>
      <c r="J129">
        <f t="shared" si="15"/>
        <v>128</v>
      </c>
      <c r="K129" s="1">
        <f t="shared" si="15"/>
        <v>45113</v>
      </c>
      <c r="L129">
        <f t="shared" si="11"/>
        <v>4669.7922987633574</v>
      </c>
      <c r="M129">
        <f t="shared" si="12"/>
        <v>0.46697922987633572</v>
      </c>
      <c r="Q129" s="5">
        <f>(Q128-$P$2*0.25-IF(WEEKDAY(K128,2)=5,60,0))*1.0175</f>
        <v>3030.673547073744</v>
      </c>
    </row>
    <row r="130" spans="1:17">
      <c r="A130" s="1">
        <v>44690</v>
      </c>
      <c r="B130">
        <v>15.5</v>
      </c>
      <c r="C130">
        <v>0</v>
      </c>
      <c r="D130">
        <f t="shared" si="9"/>
        <v>5</v>
      </c>
      <c r="E130">
        <f>IF(AND(D131=staw3[[#This Row],[Miesiąc]],F130=1),E129+1,0)</f>
        <v>9</v>
      </c>
      <c r="F130">
        <f t="shared" ref="F130:F193" si="16">IF(C130=0,1,0)</f>
        <v>1</v>
      </c>
      <c r="G130">
        <v>129</v>
      </c>
      <c r="J130">
        <f t="shared" si="15"/>
        <v>129</v>
      </c>
      <c r="K130" s="1">
        <f t="shared" si="15"/>
        <v>45114</v>
      </c>
      <c r="L130">
        <f t="shared" si="11"/>
        <v>4731.1636639917169</v>
      </c>
      <c r="M130">
        <f t="shared" si="12"/>
        <v>0.47311636639917171</v>
      </c>
      <c r="Q130" s="5">
        <f>(Q129-$P$2*0.25-IF(WEEKDAY(K129,2)=5,60,0))*1.0175</f>
        <v>3059.7990841475348</v>
      </c>
    </row>
    <row r="131" spans="1:17">
      <c r="A131" s="1">
        <v>44691</v>
      </c>
      <c r="B131">
        <v>15</v>
      </c>
      <c r="C131">
        <v>0</v>
      </c>
      <c r="D131">
        <f t="shared" ref="D131:D194" si="17">MONTH(A131)</f>
        <v>5</v>
      </c>
      <c r="E131">
        <f>IF(AND(D132=staw3[[#This Row],[Miesiąc]],F131=1),E130+1,0)</f>
        <v>10</v>
      </c>
      <c r="F131">
        <f t="shared" si="16"/>
        <v>1</v>
      </c>
      <c r="G131">
        <v>130</v>
      </c>
      <c r="J131">
        <f t="shared" si="15"/>
        <v>130</v>
      </c>
      <c r="K131" s="1">
        <f t="shared" si="15"/>
        <v>45115</v>
      </c>
      <c r="L131">
        <f t="shared" si="11"/>
        <v>4732.5590281115719</v>
      </c>
      <c r="M131">
        <f t="shared" si="12"/>
        <v>0.4732559028111572</v>
      </c>
      <c r="Q131" s="5">
        <f>(Q130-$P$2*0.25-IF(WEEKDAY(K130,2)=5,60,0))*1.0175</f>
        <v>3028.3843181201169</v>
      </c>
    </row>
    <row r="132" spans="1:17">
      <c r="A132" s="1">
        <v>44692</v>
      </c>
      <c r="B132">
        <v>18.600000000000001</v>
      </c>
      <c r="C132">
        <v>0</v>
      </c>
      <c r="D132">
        <f t="shared" si="17"/>
        <v>5</v>
      </c>
      <c r="E132">
        <f>IF(AND(D133=staw3[[#This Row],[Miesiąc]],F132=1),E131+1,0)</f>
        <v>11</v>
      </c>
      <c r="F132">
        <f t="shared" si="16"/>
        <v>1</v>
      </c>
      <c r="G132">
        <v>131</v>
      </c>
      <c r="J132">
        <f t="shared" ref="J132:K147" si="18">J131+1</f>
        <v>131</v>
      </c>
      <c r="K132" s="1">
        <f t="shared" si="18"/>
        <v>45116</v>
      </c>
      <c r="L132">
        <f t="shared" ref="L132:L185" si="19">(L131-20-IF(WEEKDAY(K131,2)=5,60,0))*1.0175</f>
        <v>4795.0288111035252</v>
      </c>
      <c r="M132">
        <f t="shared" ref="M132:M185" si="20">L132/10000</f>
        <v>0.4795028811103525</v>
      </c>
      <c r="Q132" s="5">
        <f>(Q131-$P$2*0.25-IF(WEEKDAY(K131,2)=5,60,0))*1.0175</f>
        <v>3057.469793687219</v>
      </c>
    </row>
    <row r="133" spans="1:17">
      <c r="A133" s="1">
        <v>44693</v>
      </c>
      <c r="B133">
        <v>22.2</v>
      </c>
      <c r="C133">
        <v>0</v>
      </c>
      <c r="D133">
        <f t="shared" si="17"/>
        <v>5</v>
      </c>
      <c r="E133">
        <f>IF(AND(D134=staw3[[#This Row],[Miesiąc]],F133=1),E132+1,0)</f>
        <v>12</v>
      </c>
      <c r="F133">
        <f t="shared" si="16"/>
        <v>1</v>
      </c>
      <c r="G133">
        <v>132</v>
      </c>
      <c r="J133">
        <f t="shared" si="18"/>
        <v>132</v>
      </c>
      <c r="K133" s="1">
        <f t="shared" si="18"/>
        <v>45117</v>
      </c>
      <c r="L133">
        <f t="shared" si="19"/>
        <v>4858.5918152978375</v>
      </c>
      <c r="M133">
        <f t="shared" si="20"/>
        <v>0.48585918152978375</v>
      </c>
      <c r="Q133" s="5">
        <f>(Q132-$P$2*0.25-IF(WEEKDAY(K132,2)=5,60,0))*1.0175</f>
        <v>3087.0642650767454</v>
      </c>
    </row>
    <row r="134" spans="1:17">
      <c r="A134" s="1">
        <v>44694</v>
      </c>
      <c r="B134">
        <v>17.399999999999999</v>
      </c>
      <c r="C134">
        <v>0</v>
      </c>
      <c r="D134">
        <f t="shared" si="17"/>
        <v>5</v>
      </c>
      <c r="E134">
        <f>IF(AND(D135=staw3[[#This Row],[Miesiąc]],F134=1),E133+1,0)</f>
        <v>13</v>
      </c>
      <c r="F134">
        <f t="shared" si="16"/>
        <v>1</v>
      </c>
      <c r="G134">
        <v>133</v>
      </c>
      <c r="J134">
        <f t="shared" si="18"/>
        <v>133</v>
      </c>
      <c r="K134" s="1">
        <f t="shared" si="18"/>
        <v>45118</v>
      </c>
      <c r="L134">
        <f t="shared" si="19"/>
        <v>4923.2671720655499</v>
      </c>
      <c r="M134">
        <f t="shared" si="20"/>
        <v>0.49232671720655496</v>
      </c>
      <c r="Q134" s="5">
        <f>(Q133-$P$2*0.25-IF(WEEKDAY(K133,2)=5,60,0))*1.0175</f>
        <v>3117.1766397155889</v>
      </c>
    </row>
    <row r="135" spans="1:17">
      <c r="A135" s="1">
        <v>44695</v>
      </c>
      <c r="B135">
        <v>16.2</v>
      </c>
      <c r="C135">
        <v>0</v>
      </c>
      <c r="D135">
        <f t="shared" si="17"/>
        <v>5</v>
      </c>
      <c r="E135">
        <f>IF(AND(D136=staw3[[#This Row],[Miesiąc]],F135=1),E134+1,0)</f>
        <v>14</v>
      </c>
      <c r="F135">
        <f t="shared" si="16"/>
        <v>1</v>
      </c>
      <c r="G135">
        <v>134</v>
      </c>
      <c r="J135">
        <f t="shared" si="18"/>
        <v>134</v>
      </c>
      <c r="K135" s="1">
        <f t="shared" si="18"/>
        <v>45119</v>
      </c>
      <c r="L135">
        <f t="shared" si="19"/>
        <v>4989.0743475766976</v>
      </c>
      <c r="M135">
        <f t="shared" si="20"/>
        <v>0.49890743475766974</v>
      </c>
      <c r="Q135" s="5">
        <f>(Q134-$P$2*0.25-IF(WEEKDAY(K134,2)=5,60,0))*1.0175</f>
        <v>3147.8159809106119</v>
      </c>
    </row>
    <row r="136" spans="1:17">
      <c r="A136" s="1">
        <v>44696</v>
      </c>
      <c r="B136">
        <v>16.399999999999999</v>
      </c>
      <c r="C136">
        <v>0</v>
      </c>
      <c r="D136">
        <f t="shared" si="17"/>
        <v>5</v>
      </c>
      <c r="E136">
        <f>IF(AND(D137=staw3[[#This Row],[Miesiąc]],F136=1),E135+1,0)</f>
        <v>15</v>
      </c>
      <c r="F136">
        <f t="shared" si="16"/>
        <v>1</v>
      </c>
      <c r="G136">
        <v>135</v>
      </c>
      <c r="J136">
        <f t="shared" si="18"/>
        <v>135</v>
      </c>
      <c r="K136" s="1">
        <f t="shared" si="18"/>
        <v>45120</v>
      </c>
      <c r="L136">
        <f t="shared" si="19"/>
        <v>5056.0331486592904</v>
      </c>
      <c r="M136">
        <f t="shared" si="20"/>
        <v>0.50560331486592902</v>
      </c>
      <c r="Q136" s="5">
        <f>(Q135-$P$2*0.25-IF(WEEKDAY(K135,2)=5,60,0))*1.0175</f>
        <v>3178.9915105765476</v>
      </c>
    </row>
    <row r="137" spans="1:17">
      <c r="A137" s="1">
        <v>44697</v>
      </c>
      <c r="B137">
        <v>15.9</v>
      </c>
      <c r="C137">
        <v>0</v>
      </c>
      <c r="D137">
        <f t="shared" si="17"/>
        <v>5</v>
      </c>
      <c r="E137">
        <f>IF(AND(D138=staw3[[#This Row],[Miesiąc]],F137=1),E136+1,0)</f>
        <v>16</v>
      </c>
      <c r="F137">
        <f t="shared" si="16"/>
        <v>1</v>
      </c>
      <c r="G137">
        <v>136</v>
      </c>
      <c r="J137">
        <f t="shared" si="18"/>
        <v>136</v>
      </c>
      <c r="K137" s="1">
        <f t="shared" si="18"/>
        <v>45121</v>
      </c>
      <c r="L137">
        <f t="shared" si="19"/>
        <v>5124.1637287608282</v>
      </c>
      <c r="M137">
        <f t="shared" si="20"/>
        <v>0.51241637287608277</v>
      </c>
      <c r="Q137" s="5">
        <f>(Q136-$P$2*0.25-IF(WEEKDAY(K136,2)=5,60,0))*1.0175</f>
        <v>3210.7126120116372</v>
      </c>
    </row>
    <row r="138" spans="1:17">
      <c r="A138" s="1">
        <v>44698</v>
      </c>
      <c r="B138">
        <v>15.8</v>
      </c>
      <c r="C138">
        <v>0</v>
      </c>
      <c r="D138">
        <f t="shared" si="17"/>
        <v>5</v>
      </c>
      <c r="E138">
        <f>IF(AND(D139=staw3[[#This Row],[Miesiąc]],F138=1),E137+1,0)</f>
        <v>17</v>
      </c>
      <c r="F138">
        <f t="shared" si="16"/>
        <v>1</v>
      </c>
      <c r="G138">
        <v>137</v>
      </c>
      <c r="J138">
        <f t="shared" si="18"/>
        <v>137</v>
      </c>
      <c r="K138" s="1">
        <f t="shared" si="18"/>
        <v>45122</v>
      </c>
      <c r="L138">
        <f t="shared" si="19"/>
        <v>5132.4365940141433</v>
      </c>
      <c r="M138">
        <f t="shared" si="20"/>
        <v>0.51324365940141436</v>
      </c>
      <c r="Q138" s="5">
        <f>(Q137-$P$2*0.25-IF(WEEKDAY(K137,2)=5,60,0))*1.0175</f>
        <v>3181.9388327218412</v>
      </c>
    </row>
    <row r="139" spans="1:17">
      <c r="A139" s="1">
        <v>44699</v>
      </c>
      <c r="B139">
        <v>12.4</v>
      </c>
      <c r="C139">
        <v>0</v>
      </c>
      <c r="D139">
        <f t="shared" si="17"/>
        <v>5</v>
      </c>
      <c r="E139">
        <f>IF(AND(D140=staw3[[#This Row],[Miesiąc]],F139=1),E138+1,0)</f>
        <v>18</v>
      </c>
      <c r="F139">
        <f t="shared" si="16"/>
        <v>1</v>
      </c>
      <c r="G139">
        <v>138</v>
      </c>
      <c r="J139">
        <f t="shared" si="18"/>
        <v>138</v>
      </c>
      <c r="K139" s="1">
        <f t="shared" si="18"/>
        <v>45123</v>
      </c>
      <c r="L139">
        <f t="shared" si="19"/>
        <v>5201.9042344093914</v>
      </c>
      <c r="M139">
        <f t="shared" si="20"/>
        <v>0.52019042344093913</v>
      </c>
      <c r="Q139" s="5">
        <f>(Q138-$P$2*0.25-IF(WEEKDAY(K138,2)=5,60,0))*1.0175</f>
        <v>3213.7115122944738</v>
      </c>
    </row>
    <row r="140" spans="1:17">
      <c r="A140" s="1">
        <v>44700</v>
      </c>
      <c r="B140">
        <v>16</v>
      </c>
      <c r="C140">
        <v>0</v>
      </c>
      <c r="D140">
        <f t="shared" si="17"/>
        <v>5</v>
      </c>
      <c r="E140">
        <f>IF(AND(D141=staw3[[#This Row],[Miesiąc]],F140=1),E139+1,0)</f>
        <v>19</v>
      </c>
      <c r="F140">
        <f t="shared" si="16"/>
        <v>1</v>
      </c>
      <c r="G140">
        <v>139</v>
      </c>
      <c r="J140">
        <f t="shared" si="18"/>
        <v>139</v>
      </c>
      <c r="K140" s="1">
        <f t="shared" si="18"/>
        <v>45124</v>
      </c>
      <c r="L140">
        <f t="shared" si="19"/>
        <v>5272.5875585115564</v>
      </c>
      <c r="M140">
        <f t="shared" si="20"/>
        <v>0.52725875585115567</v>
      </c>
      <c r="Q140" s="5">
        <f>(Q139-$P$2*0.25-IF(WEEKDAY(K139,2)=5,60,0))*1.0175</f>
        <v>3246.0402137596275</v>
      </c>
    </row>
    <row r="141" spans="1:17">
      <c r="A141" s="1">
        <v>44701</v>
      </c>
      <c r="B141">
        <v>20.3</v>
      </c>
      <c r="C141">
        <v>0</v>
      </c>
      <c r="D141">
        <f t="shared" si="17"/>
        <v>5</v>
      </c>
      <c r="E141">
        <f>IF(AND(D142=staw3[[#This Row],[Miesiąc]],F141=1),E140+1,0)</f>
        <v>20</v>
      </c>
      <c r="F141">
        <f t="shared" si="16"/>
        <v>1</v>
      </c>
      <c r="G141">
        <v>140</v>
      </c>
      <c r="J141">
        <f t="shared" si="18"/>
        <v>140</v>
      </c>
      <c r="K141" s="1">
        <f t="shared" si="18"/>
        <v>45125</v>
      </c>
      <c r="L141">
        <f t="shared" si="19"/>
        <v>5344.507840785509</v>
      </c>
      <c r="M141">
        <f t="shared" si="20"/>
        <v>0.53445078407855084</v>
      </c>
      <c r="Q141" s="5">
        <f>(Q140-$P$2*0.25-IF(WEEKDAY(K140,2)=5,60,0))*1.0175</f>
        <v>3278.9346675004213</v>
      </c>
    </row>
    <row r="142" spans="1:17">
      <c r="A142" s="1">
        <v>44702</v>
      </c>
      <c r="B142">
        <v>19.8</v>
      </c>
      <c r="C142">
        <v>1</v>
      </c>
      <c r="D142">
        <f t="shared" si="17"/>
        <v>5</v>
      </c>
      <c r="E142">
        <f>IF(AND(D143=staw3[[#This Row],[Miesiąc]],F142=1),E141+1,0)</f>
        <v>0</v>
      </c>
      <c r="F142">
        <f t="shared" si="16"/>
        <v>0</v>
      </c>
      <c r="G142">
        <v>141</v>
      </c>
      <c r="J142">
        <f t="shared" si="18"/>
        <v>141</v>
      </c>
      <c r="K142" s="1">
        <f t="shared" si="18"/>
        <v>45126</v>
      </c>
      <c r="L142">
        <f t="shared" si="19"/>
        <v>5417.6867279992557</v>
      </c>
      <c r="M142">
        <f t="shared" si="20"/>
        <v>0.54176867279992558</v>
      </c>
      <c r="Q142" s="5">
        <f>(Q141-$P$2*0.25-IF(WEEKDAY(K141,2)=5,60,0))*1.0175</f>
        <v>3312.4047741816789</v>
      </c>
    </row>
    <row r="143" spans="1:17">
      <c r="A143" s="1">
        <v>44703</v>
      </c>
      <c r="B143">
        <v>14.1</v>
      </c>
      <c r="C143">
        <v>0</v>
      </c>
      <c r="D143">
        <f t="shared" si="17"/>
        <v>5</v>
      </c>
      <c r="E143">
        <f>IF(AND(D144=staw3[[#This Row],[Miesiąc]],F143=1),E142+1,0)</f>
        <v>1</v>
      </c>
      <c r="F143">
        <f t="shared" si="16"/>
        <v>1</v>
      </c>
      <c r="G143">
        <v>142</v>
      </c>
      <c r="J143">
        <f t="shared" si="18"/>
        <v>142</v>
      </c>
      <c r="K143" s="1">
        <f t="shared" si="18"/>
        <v>45127</v>
      </c>
      <c r="L143">
        <f t="shared" si="19"/>
        <v>5492.1462457392427</v>
      </c>
      <c r="M143">
        <f t="shared" si="20"/>
        <v>0.54921462457392423</v>
      </c>
      <c r="Q143" s="5">
        <f>(Q142-$P$2*0.25-IF(WEEKDAY(K142,2)=5,60,0))*1.0175</f>
        <v>3346.4606077298586</v>
      </c>
    </row>
    <row r="144" spans="1:17">
      <c r="A144" s="1">
        <v>44704</v>
      </c>
      <c r="B144">
        <v>13.1</v>
      </c>
      <c r="C144">
        <v>0</v>
      </c>
      <c r="D144">
        <f t="shared" si="17"/>
        <v>5</v>
      </c>
      <c r="E144">
        <f>IF(AND(D145=staw3[[#This Row],[Miesiąc]],F144=1),E143+1,0)</f>
        <v>2</v>
      </c>
      <c r="F144">
        <f t="shared" si="16"/>
        <v>1</v>
      </c>
      <c r="G144">
        <v>143</v>
      </c>
      <c r="J144">
        <f t="shared" si="18"/>
        <v>143</v>
      </c>
      <c r="K144" s="1">
        <f t="shared" si="18"/>
        <v>45128</v>
      </c>
      <c r="L144">
        <f t="shared" si="19"/>
        <v>5567.9088050396795</v>
      </c>
      <c r="M144">
        <f t="shared" si="20"/>
        <v>0.55679088050396797</v>
      </c>
      <c r="Q144" s="5">
        <f>(Q143-$P$2*0.25-IF(WEEKDAY(K143,2)=5,60,0))*1.0175</f>
        <v>3381.1124183651314</v>
      </c>
    </row>
    <row r="145" spans="1:17">
      <c r="A145" s="1">
        <v>44705</v>
      </c>
      <c r="B145">
        <v>16.100000000000001</v>
      </c>
      <c r="C145">
        <v>0</v>
      </c>
      <c r="D145">
        <f t="shared" si="17"/>
        <v>5</v>
      </c>
      <c r="E145">
        <f>IF(AND(D146=staw3[[#This Row],[Miesiąc]],F145=1),E144+1,0)</f>
        <v>3</v>
      </c>
      <c r="F145">
        <f t="shared" si="16"/>
        <v>1</v>
      </c>
      <c r="G145">
        <v>144</v>
      </c>
      <c r="J145">
        <f t="shared" si="18"/>
        <v>144</v>
      </c>
      <c r="K145" s="1">
        <f t="shared" si="18"/>
        <v>45129</v>
      </c>
      <c r="L145">
        <f t="shared" si="19"/>
        <v>5583.947209127874</v>
      </c>
      <c r="M145">
        <f t="shared" si="20"/>
        <v>0.55839472091278741</v>
      </c>
      <c r="Q145" s="5">
        <f>(Q144-$P$2*0.25-IF(WEEKDAY(K144,2)=5,60,0))*1.0175</f>
        <v>3355.3206356865212</v>
      </c>
    </row>
    <row r="146" spans="1:17">
      <c r="A146" s="1">
        <v>44706</v>
      </c>
      <c r="B146">
        <v>16.100000000000001</v>
      </c>
      <c r="C146">
        <v>0</v>
      </c>
      <c r="D146">
        <f t="shared" si="17"/>
        <v>5</v>
      </c>
      <c r="E146">
        <f>IF(AND(D147=staw3[[#This Row],[Miesiąc]],F146=1),E145+1,0)</f>
        <v>4</v>
      </c>
      <c r="F146">
        <f t="shared" si="16"/>
        <v>1</v>
      </c>
      <c r="G146">
        <v>145</v>
      </c>
      <c r="J146">
        <f t="shared" si="18"/>
        <v>145</v>
      </c>
      <c r="K146" s="1">
        <f t="shared" si="18"/>
        <v>45130</v>
      </c>
      <c r="L146">
        <f t="shared" si="19"/>
        <v>5661.3162852876121</v>
      </c>
      <c r="M146">
        <f t="shared" si="20"/>
        <v>0.5661316285287612</v>
      </c>
      <c r="Q146" s="5">
        <f>(Q145-$P$2*0.25-IF(WEEKDAY(K145,2)=5,60,0))*1.0175</f>
        <v>3390.1274968110356</v>
      </c>
    </row>
    <row r="147" spans="1:17">
      <c r="A147" s="1">
        <v>44707</v>
      </c>
      <c r="B147">
        <v>16.7</v>
      </c>
      <c r="C147">
        <v>0</v>
      </c>
      <c r="D147">
        <f t="shared" si="17"/>
        <v>5</v>
      </c>
      <c r="E147">
        <f>IF(AND(D148=staw3[[#This Row],[Miesiąc]],F147=1),E146+1,0)</f>
        <v>5</v>
      </c>
      <c r="F147">
        <f t="shared" si="16"/>
        <v>1</v>
      </c>
      <c r="G147">
        <v>146</v>
      </c>
      <c r="J147">
        <f t="shared" si="18"/>
        <v>146</v>
      </c>
      <c r="K147" s="1">
        <f t="shared" si="18"/>
        <v>45131</v>
      </c>
      <c r="L147">
        <f t="shared" si="19"/>
        <v>5740.0393202801461</v>
      </c>
      <c r="M147">
        <f t="shared" si="20"/>
        <v>0.57400393202801459</v>
      </c>
      <c r="Q147" s="5">
        <f>(Q146-$P$2*0.25-IF(WEEKDAY(K146,2)=5,60,0))*1.0175</f>
        <v>3425.5434780052287</v>
      </c>
    </row>
    <row r="148" spans="1:17">
      <c r="A148" s="1">
        <v>44708</v>
      </c>
      <c r="B148">
        <v>16</v>
      </c>
      <c r="C148">
        <v>0</v>
      </c>
      <c r="D148">
        <f t="shared" si="17"/>
        <v>5</v>
      </c>
      <c r="E148">
        <f>IF(AND(D149=staw3[[#This Row],[Miesiąc]],F148=1),E147+1,0)</f>
        <v>6</v>
      </c>
      <c r="F148">
        <f t="shared" si="16"/>
        <v>1</v>
      </c>
      <c r="G148">
        <v>147</v>
      </c>
      <c r="J148">
        <f t="shared" ref="J148:K163" si="21">J147+1</f>
        <v>147</v>
      </c>
      <c r="K148" s="1">
        <f t="shared" si="21"/>
        <v>45132</v>
      </c>
      <c r="L148">
        <f t="shared" si="19"/>
        <v>5820.1400083850494</v>
      </c>
      <c r="M148">
        <f t="shared" si="20"/>
        <v>0.58201400083850496</v>
      </c>
      <c r="Q148" s="5">
        <f>(Q147-$P$2*0.25-IF(WEEKDAY(K147,2)=5,60,0))*1.0175</f>
        <v>3461.5792388703203</v>
      </c>
    </row>
    <row r="149" spans="1:17">
      <c r="A149" s="1">
        <v>44709</v>
      </c>
      <c r="B149">
        <v>12.3</v>
      </c>
      <c r="C149">
        <v>0</v>
      </c>
      <c r="D149">
        <f t="shared" si="17"/>
        <v>5</v>
      </c>
      <c r="E149">
        <f>IF(AND(D150=staw3[[#This Row],[Miesiąc]],F149=1),E148+1,0)</f>
        <v>7</v>
      </c>
      <c r="F149">
        <f t="shared" si="16"/>
        <v>1</v>
      </c>
      <c r="G149">
        <v>148</v>
      </c>
      <c r="J149">
        <f t="shared" si="21"/>
        <v>148</v>
      </c>
      <c r="K149" s="1">
        <f t="shared" si="21"/>
        <v>45133</v>
      </c>
      <c r="L149">
        <f t="shared" si="19"/>
        <v>5901.6424585317882</v>
      </c>
      <c r="M149">
        <f t="shared" si="20"/>
        <v>0.59016424585317884</v>
      </c>
      <c r="Q149" s="5">
        <f>(Q148-$P$2*0.25-IF(WEEKDAY(K148,2)=5,60,0))*1.0175</f>
        <v>3498.2456255505513</v>
      </c>
    </row>
    <row r="150" spans="1:17">
      <c r="A150" s="1">
        <v>44710</v>
      </c>
      <c r="B150">
        <v>13.3</v>
      </c>
      <c r="C150">
        <v>0</v>
      </c>
      <c r="D150">
        <f t="shared" si="17"/>
        <v>5</v>
      </c>
      <c r="E150">
        <f>IF(AND(D151=staw3[[#This Row],[Miesiąc]],F150=1),E149+1,0)</f>
        <v>8</v>
      </c>
      <c r="F150">
        <f t="shared" si="16"/>
        <v>1</v>
      </c>
      <c r="G150">
        <v>149</v>
      </c>
      <c r="J150">
        <f t="shared" si="21"/>
        <v>149</v>
      </c>
      <c r="K150" s="1">
        <f t="shared" si="21"/>
        <v>45134</v>
      </c>
      <c r="L150">
        <f t="shared" si="19"/>
        <v>5984.5712015560948</v>
      </c>
      <c r="M150">
        <f t="shared" si="20"/>
        <v>0.59845712015560948</v>
      </c>
      <c r="Q150" s="5">
        <f>(Q149-$P$2*0.25-IF(WEEKDAY(K149,2)=5,60,0))*1.0175</f>
        <v>3535.553673997686</v>
      </c>
    </row>
    <row r="151" spans="1:17">
      <c r="A151" s="1">
        <v>44711</v>
      </c>
      <c r="B151">
        <v>14.2</v>
      </c>
      <c r="C151">
        <v>1</v>
      </c>
      <c r="D151">
        <f t="shared" si="17"/>
        <v>5</v>
      </c>
      <c r="E151">
        <f>IF(AND(D152=staw3[[#This Row],[Miesiąc]],F151=1),E150+1,0)</f>
        <v>0</v>
      </c>
      <c r="F151">
        <f t="shared" si="16"/>
        <v>0</v>
      </c>
      <c r="G151">
        <v>150</v>
      </c>
      <c r="J151">
        <f t="shared" si="21"/>
        <v>150</v>
      </c>
      <c r="K151" s="1">
        <f t="shared" si="21"/>
        <v>45135</v>
      </c>
      <c r="L151">
        <f t="shared" si="19"/>
        <v>6068.9511975833266</v>
      </c>
      <c r="M151">
        <f t="shared" si="20"/>
        <v>0.60689511975833266</v>
      </c>
      <c r="Q151" s="5">
        <f>(Q150-$P$2*0.25-IF(WEEKDAY(K150,2)=5,60,0))*1.0175</f>
        <v>3573.5146132926457</v>
      </c>
    </row>
    <row r="152" spans="1:17">
      <c r="A152" s="1">
        <v>44712</v>
      </c>
      <c r="B152">
        <v>17.2</v>
      </c>
      <c r="C152">
        <v>0</v>
      </c>
      <c r="D152">
        <f t="shared" si="17"/>
        <v>5</v>
      </c>
      <c r="E152">
        <f>IF(AND(D153=staw3[[#This Row],[Miesiąc]],F152=1),E151+1,0)</f>
        <v>0</v>
      </c>
      <c r="F152">
        <f t="shared" si="16"/>
        <v>1</v>
      </c>
      <c r="G152">
        <v>151</v>
      </c>
      <c r="J152">
        <f t="shared" si="21"/>
        <v>151</v>
      </c>
      <c r="K152" s="1">
        <f t="shared" si="21"/>
        <v>45136</v>
      </c>
      <c r="L152">
        <f t="shared" si="19"/>
        <v>6093.7578435410351</v>
      </c>
      <c r="M152">
        <f t="shared" si="20"/>
        <v>0.60937578435410356</v>
      </c>
      <c r="Q152" s="5">
        <f>(Q151-$P$2*0.25-IF(WEEKDAY(K151,2)=5,60,0))*1.0175</f>
        <v>3551.089869025267</v>
      </c>
    </row>
    <row r="153" spans="1:17">
      <c r="A153" s="1">
        <v>44713</v>
      </c>
      <c r="B153">
        <v>19</v>
      </c>
      <c r="C153">
        <v>0</v>
      </c>
      <c r="D153">
        <f t="shared" si="17"/>
        <v>6</v>
      </c>
      <c r="E153">
        <f>IF(AND(D154=staw3[[#This Row],[Miesiąc]],F153=1),E152+1,0)</f>
        <v>1</v>
      </c>
      <c r="F153">
        <f t="shared" si="16"/>
        <v>1</v>
      </c>
      <c r="G153">
        <v>152</v>
      </c>
      <c r="J153">
        <f t="shared" si="21"/>
        <v>152</v>
      </c>
      <c r="K153" s="1">
        <f t="shared" si="21"/>
        <v>45137</v>
      </c>
      <c r="L153">
        <f t="shared" si="19"/>
        <v>6180.0486058030037</v>
      </c>
      <c r="M153">
        <f t="shared" si="20"/>
        <v>0.61800486058030035</v>
      </c>
      <c r="Q153" s="5">
        <f>(Q152-$P$2*0.25-IF(WEEKDAY(K152,2)=5,60,0))*1.0175</f>
        <v>3589.3226917332095</v>
      </c>
    </row>
    <row r="154" spans="1:17">
      <c r="A154" s="1">
        <v>44714</v>
      </c>
      <c r="B154">
        <v>16.899999999999999</v>
      </c>
      <c r="C154">
        <v>1</v>
      </c>
      <c r="D154">
        <f t="shared" si="17"/>
        <v>6</v>
      </c>
      <c r="E154">
        <f>IF(AND(D155=staw3[[#This Row],[Miesiąc]],F154=1),E153+1,0)</f>
        <v>0</v>
      </c>
      <c r="F154">
        <f t="shared" si="16"/>
        <v>0</v>
      </c>
      <c r="G154">
        <v>153</v>
      </c>
      <c r="J154">
        <f t="shared" si="21"/>
        <v>153</v>
      </c>
      <c r="K154" s="1">
        <f t="shared" si="21"/>
        <v>45138</v>
      </c>
      <c r="L154">
        <f t="shared" si="19"/>
        <v>6267.8494564045568</v>
      </c>
      <c r="M154">
        <f t="shared" si="20"/>
        <v>0.62678494564045573</v>
      </c>
      <c r="Q154" s="5">
        <f>(Q153-$P$2*0.25-IF(WEEKDAY(K153,2)=5,60,0))*1.0175</f>
        <v>3628.224588838541</v>
      </c>
    </row>
    <row r="155" spans="1:17">
      <c r="A155" s="1">
        <v>44715</v>
      </c>
      <c r="B155">
        <v>18.399999999999999</v>
      </c>
      <c r="C155">
        <v>0</v>
      </c>
      <c r="D155">
        <f t="shared" si="17"/>
        <v>6</v>
      </c>
      <c r="E155">
        <f>IF(AND(D156=staw3[[#This Row],[Miesiąc]],F155=1),E154+1,0)</f>
        <v>1</v>
      </c>
      <c r="F155">
        <f t="shared" si="16"/>
        <v>1</v>
      </c>
      <c r="G155">
        <v>154</v>
      </c>
      <c r="J155">
        <f t="shared" si="21"/>
        <v>154</v>
      </c>
      <c r="K155" s="1">
        <f t="shared" si="21"/>
        <v>45139</v>
      </c>
      <c r="L155">
        <f t="shared" si="19"/>
        <v>6357.186821891637</v>
      </c>
      <c r="M155">
        <f t="shared" si="20"/>
        <v>0.63571868218916372</v>
      </c>
      <c r="Q155" s="5">
        <f>(Q154-$P$2*0.25-IF(WEEKDAY(K154,2)=5,60,0))*1.0175</f>
        <v>3667.8072691432158</v>
      </c>
    </row>
    <row r="156" spans="1:17">
      <c r="A156" s="1">
        <v>44716</v>
      </c>
      <c r="B156">
        <v>17.5</v>
      </c>
      <c r="C156">
        <v>0</v>
      </c>
      <c r="D156">
        <f t="shared" si="17"/>
        <v>6</v>
      </c>
      <c r="E156">
        <f>IF(AND(D157=staw3[[#This Row],[Miesiąc]],F156=1),E155+1,0)</f>
        <v>2</v>
      </c>
      <c r="F156">
        <f t="shared" si="16"/>
        <v>1</v>
      </c>
      <c r="G156">
        <v>155</v>
      </c>
      <c r="J156">
        <f t="shared" si="21"/>
        <v>155</v>
      </c>
      <c r="K156" s="1">
        <f t="shared" si="21"/>
        <v>45140</v>
      </c>
      <c r="L156">
        <f t="shared" si="19"/>
        <v>6448.0875912747415</v>
      </c>
      <c r="M156">
        <f t="shared" si="20"/>
        <v>0.64480875912747415</v>
      </c>
      <c r="Q156" s="5">
        <f>(Q155-$P$2*0.25-IF(WEEKDAY(K155,2)=5,60,0))*1.0175</f>
        <v>3708.0826463532221</v>
      </c>
    </row>
    <row r="157" spans="1:17">
      <c r="A157" s="1">
        <v>44717</v>
      </c>
      <c r="B157">
        <v>19.899999999999999</v>
      </c>
      <c r="C157">
        <v>0</v>
      </c>
      <c r="D157">
        <f t="shared" si="17"/>
        <v>6</v>
      </c>
      <c r="E157">
        <f>IF(AND(D158=staw3[[#This Row],[Miesiąc]],F157=1),E156+1,0)</f>
        <v>3</v>
      </c>
      <c r="F157">
        <f t="shared" si="16"/>
        <v>1</v>
      </c>
      <c r="G157">
        <v>156</v>
      </c>
      <c r="J157">
        <f t="shared" si="21"/>
        <v>156</v>
      </c>
      <c r="K157" s="1">
        <f t="shared" si="21"/>
        <v>45141</v>
      </c>
      <c r="L157">
        <f t="shared" si="19"/>
        <v>6540.5791241220495</v>
      </c>
      <c r="M157">
        <f t="shared" si="20"/>
        <v>0.6540579124122049</v>
      </c>
      <c r="Q157" s="5">
        <f>(Q156-$P$2*0.25-IF(WEEKDAY(K156,2)=5,60,0))*1.0175</f>
        <v>3749.0628426644039</v>
      </c>
    </row>
    <row r="158" spans="1:17">
      <c r="A158" s="1">
        <v>44718</v>
      </c>
      <c r="B158">
        <v>21</v>
      </c>
      <c r="C158">
        <v>0</v>
      </c>
      <c r="D158">
        <f t="shared" si="17"/>
        <v>6</v>
      </c>
      <c r="E158">
        <f>IF(AND(D159=staw3[[#This Row],[Miesiąc]],F158=1),E157+1,0)</f>
        <v>4</v>
      </c>
      <c r="F158">
        <f t="shared" si="16"/>
        <v>1</v>
      </c>
      <c r="G158">
        <v>157</v>
      </c>
      <c r="J158">
        <f t="shared" si="21"/>
        <v>157</v>
      </c>
      <c r="K158" s="1">
        <f t="shared" si="21"/>
        <v>45142</v>
      </c>
      <c r="L158">
        <f t="shared" si="19"/>
        <v>6634.6892587941857</v>
      </c>
      <c r="M158">
        <f t="shared" si="20"/>
        <v>0.66346892587941853</v>
      </c>
      <c r="Q158" s="5">
        <f>(Q157-$P$2*0.25-IF(WEEKDAY(K157,2)=5,60,0))*1.0175</f>
        <v>3790.7601924110313</v>
      </c>
    </row>
    <row r="159" spans="1:17">
      <c r="A159" s="1">
        <v>44719</v>
      </c>
      <c r="B159">
        <v>22.7</v>
      </c>
      <c r="C159">
        <v>0</v>
      </c>
      <c r="D159">
        <f t="shared" si="17"/>
        <v>6</v>
      </c>
      <c r="E159">
        <f>IF(AND(D160=staw3[[#This Row],[Miesiąc]],F159=1),E158+1,0)</f>
        <v>5</v>
      </c>
      <c r="F159">
        <f t="shared" si="16"/>
        <v>1</v>
      </c>
      <c r="G159">
        <v>158</v>
      </c>
      <c r="J159">
        <f t="shared" si="21"/>
        <v>158</v>
      </c>
      <c r="K159" s="1">
        <f t="shared" si="21"/>
        <v>45143</v>
      </c>
      <c r="L159">
        <f t="shared" si="19"/>
        <v>6669.3963208230844</v>
      </c>
      <c r="M159">
        <f t="shared" si="20"/>
        <v>0.66693963208230844</v>
      </c>
      <c r="Q159" s="5">
        <f>(Q158-$P$2*0.25-IF(WEEKDAY(K158,2)=5,60,0))*1.0175</f>
        <v>3772.1372457782245</v>
      </c>
    </row>
    <row r="160" spans="1:17">
      <c r="A160" s="1">
        <v>44720</v>
      </c>
      <c r="B160">
        <v>19.2</v>
      </c>
      <c r="C160">
        <v>0</v>
      </c>
      <c r="D160">
        <f t="shared" si="17"/>
        <v>6</v>
      </c>
      <c r="E160">
        <f>IF(AND(D161=staw3[[#This Row],[Miesiąc]],F160=1),E159+1,0)</f>
        <v>6</v>
      </c>
      <c r="F160">
        <f t="shared" si="16"/>
        <v>1</v>
      </c>
      <c r="G160">
        <v>159</v>
      </c>
      <c r="J160">
        <f t="shared" si="21"/>
        <v>159</v>
      </c>
      <c r="K160" s="1">
        <f t="shared" si="21"/>
        <v>45144</v>
      </c>
      <c r="L160">
        <f t="shared" si="19"/>
        <v>6765.7607564374885</v>
      </c>
      <c r="M160">
        <f t="shared" si="20"/>
        <v>0.67657607564374889</v>
      </c>
      <c r="Q160" s="5">
        <f>(Q159-$P$2*0.25-IF(WEEKDAY(K159,2)=5,60,0))*1.0175</f>
        <v>3814.2383975793437</v>
      </c>
    </row>
    <row r="161" spans="1:17">
      <c r="A161" s="1">
        <v>44721</v>
      </c>
      <c r="B161">
        <v>18.600000000000001</v>
      </c>
      <c r="C161">
        <v>43</v>
      </c>
      <c r="D161">
        <f t="shared" si="17"/>
        <v>6</v>
      </c>
      <c r="E161">
        <f>IF(AND(D162=staw3[[#This Row],[Miesiąc]],F161=1),E160+1,0)</f>
        <v>0</v>
      </c>
      <c r="F161">
        <f t="shared" si="16"/>
        <v>0</v>
      </c>
      <c r="G161">
        <v>160</v>
      </c>
      <c r="J161">
        <f t="shared" si="21"/>
        <v>160</v>
      </c>
      <c r="K161" s="1">
        <f t="shared" si="21"/>
        <v>45145</v>
      </c>
      <c r="L161">
        <f t="shared" si="19"/>
        <v>6863.8115696751447</v>
      </c>
      <c r="M161">
        <f t="shared" si="20"/>
        <v>0.68638115696751445</v>
      </c>
      <c r="Q161" s="5">
        <f>(Q160-$P$2*0.25-IF(WEEKDAY(K160,2)=5,60,0))*1.0175</f>
        <v>3857.0763195369823</v>
      </c>
    </row>
    <row r="162" spans="1:17">
      <c r="A162" s="1">
        <v>44722</v>
      </c>
      <c r="B162">
        <v>18.399999999999999</v>
      </c>
      <c r="C162">
        <v>0</v>
      </c>
      <c r="D162">
        <f t="shared" si="17"/>
        <v>6</v>
      </c>
      <c r="E162">
        <f>IF(AND(D163=staw3[[#This Row],[Miesiąc]],F162=1),E161+1,0)</f>
        <v>1</v>
      </c>
      <c r="F162">
        <f t="shared" si="16"/>
        <v>1</v>
      </c>
      <c r="G162">
        <v>161</v>
      </c>
      <c r="J162">
        <f t="shared" si="21"/>
        <v>161</v>
      </c>
      <c r="K162" s="1">
        <f t="shared" si="21"/>
        <v>45146</v>
      </c>
      <c r="L162">
        <f t="shared" si="19"/>
        <v>6963.5782721444602</v>
      </c>
      <c r="M162">
        <f t="shared" si="20"/>
        <v>0.69635782721444606</v>
      </c>
      <c r="Q162" s="5">
        <f>(Q161-$P$2*0.25-IF(WEEKDAY(K161,2)=5,60,0))*1.0175</f>
        <v>3900.6639051288798</v>
      </c>
    </row>
    <row r="163" spans="1:17">
      <c r="A163" s="1">
        <v>44723</v>
      </c>
      <c r="B163">
        <v>19.399999999999999</v>
      </c>
      <c r="C163">
        <v>0</v>
      </c>
      <c r="D163">
        <f t="shared" si="17"/>
        <v>6</v>
      </c>
      <c r="E163">
        <f>IF(AND(D164=staw3[[#This Row],[Miesiąc]],F163=1),E162+1,0)</f>
        <v>2</v>
      </c>
      <c r="F163">
        <f t="shared" si="16"/>
        <v>1</v>
      </c>
      <c r="G163">
        <v>162</v>
      </c>
      <c r="J163">
        <f t="shared" si="21"/>
        <v>162</v>
      </c>
      <c r="K163" s="1">
        <f t="shared" si="21"/>
        <v>45147</v>
      </c>
      <c r="L163">
        <f t="shared" si="19"/>
        <v>7065.0908919069889</v>
      </c>
      <c r="M163">
        <f t="shared" si="20"/>
        <v>0.70650908919069888</v>
      </c>
      <c r="Q163" s="5">
        <f>(Q162-$P$2*0.25-IF(WEEKDAY(K162,2)=5,60,0))*1.0175</f>
        <v>3945.0142734686356</v>
      </c>
    </row>
    <row r="164" spans="1:17">
      <c r="A164" s="1">
        <v>44724</v>
      </c>
      <c r="B164">
        <v>19.899999999999999</v>
      </c>
      <c r="C164">
        <v>0</v>
      </c>
      <c r="D164">
        <f t="shared" si="17"/>
        <v>6</v>
      </c>
      <c r="E164">
        <f>IF(AND(D165=staw3[[#This Row],[Miesiąc]],F164=1),E163+1,0)</f>
        <v>3</v>
      </c>
      <c r="F164">
        <f t="shared" si="16"/>
        <v>1</v>
      </c>
      <c r="G164">
        <v>163</v>
      </c>
      <c r="J164">
        <f t="shared" ref="J164:K179" si="22">J163+1</f>
        <v>163</v>
      </c>
      <c r="K164" s="1">
        <f t="shared" si="22"/>
        <v>45148</v>
      </c>
      <c r="L164">
        <f t="shared" si="19"/>
        <v>7168.3799825153619</v>
      </c>
      <c r="M164">
        <f t="shared" si="20"/>
        <v>0.71683799825153616</v>
      </c>
      <c r="Q164" s="5">
        <f>(Q163-$P$2*0.25-IF(WEEKDAY(K163,2)=5,60,0))*1.0175</f>
        <v>3990.1407732543371</v>
      </c>
    </row>
    <row r="165" spans="1:17">
      <c r="A165" s="1">
        <v>44725</v>
      </c>
      <c r="B165">
        <v>18.100000000000001</v>
      </c>
      <c r="C165">
        <v>7</v>
      </c>
      <c r="D165">
        <f t="shared" si="17"/>
        <v>6</v>
      </c>
      <c r="E165">
        <f>IF(AND(D166=staw3[[#This Row],[Miesiąc]],F165=1),E164+1,0)</f>
        <v>0</v>
      </c>
      <c r="F165">
        <f t="shared" si="16"/>
        <v>0</v>
      </c>
      <c r="G165">
        <v>164</v>
      </c>
      <c r="J165">
        <f t="shared" si="22"/>
        <v>164</v>
      </c>
      <c r="K165" s="1">
        <f t="shared" si="22"/>
        <v>45149</v>
      </c>
      <c r="L165">
        <f t="shared" si="19"/>
        <v>7273.476632209381</v>
      </c>
      <c r="M165">
        <f t="shared" si="20"/>
        <v>0.72734766322093813</v>
      </c>
      <c r="Q165" s="5">
        <f>(Q164-$P$2*0.25-IF(WEEKDAY(K164,2)=5,60,0))*1.0175</f>
        <v>4036.0569867862882</v>
      </c>
    </row>
    <row r="166" spans="1:17">
      <c r="A166" s="1">
        <v>44726</v>
      </c>
      <c r="B166">
        <v>15.3</v>
      </c>
      <c r="C166">
        <v>0</v>
      </c>
      <c r="D166">
        <f t="shared" si="17"/>
        <v>6</v>
      </c>
      <c r="E166">
        <f>IF(AND(D167=staw3[[#This Row],[Miesiąc]],F166=1),E165+1,0)</f>
        <v>1</v>
      </c>
      <c r="F166">
        <f t="shared" si="16"/>
        <v>1</v>
      </c>
      <c r="G166">
        <v>165</v>
      </c>
      <c r="J166">
        <f t="shared" si="22"/>
        <v>165</v>
      </c>
      <c r="K166" s="1">
        <f t="shared" si="22"/>
        <v>45150</v>
      </c>
      <c r="L166">
        <f t="shared" si="19"/>
        <v>7319.3624732730459</v>
      </c>
      <c r="M166">
        <f t="shared" si="20"/>
        <v>0.73193624732730456</v>
      </c>
      <c r="Q166" s="5">
        <f>(Q165-$P$2*0.25-IF(WEEKDAY(K165,2)=5,60,0))*1.0175</f>
        <v>4021.7267340550484</v>
      </c>
    </row>
    <row r="167" spans="1:17">
      <c r="A167" s="1">
        <v>44727</v>
      </c>
      <c r="B167">
        <v>16.100000000000001</v>
      </c>
      <c r="C167">
        <v>0</v>
      </c>
      <c r="D167">
        <f t="shared" si="17"/>
        <v>6</v>
      </c>
      <c r="E167">
        <f>IF(AND(D168=staw3[[#This Row],[Miesiąc]],F167=1),E166+1,0)</f>
        <v>2</v>
      </c>
      <c r="F167">
        <f t="shared" si="16"/>
        <v>1</v>
      </c>
      <c r="G167">
        <v>166</v>
      </c>
      <c r="J167">
        <f t="shared" si="22"/>
        <v>166</v>
      </c>
      <c r="K167" s="1">
        <f t="shared" si="22"/>
        <v>45151</v>
      </c>
      <c r="L167">
        <f t="shared" si="19"/>
        <v>7427.101316555325</v>
      </c>
      <c r="M167">
        <f t="shared" si="20"/>
        <v>0.74271013165553246</v>
      </c>
      <c r="Q167" s="5">
        <f>(Q166-$P$2*0.25-IF(WEEKDAY(K166,2)=5,60,0))*1.0175</f>
        <v>4068.1957019010119</v>
      </c>
    </row>
    <row r="168" spans="1:17">
      <c r="A168" s="1">
        <v>44728</v>
      </c>
      <c r="B168">
        <v>18.2</v>
      </c>
      <c r="C168">
        <v>15</v>
      </c>
      <c r="D168">
        <f t="shared" si="17"/>
        <v>6</v>
      </c>
      <c r="E168">
        <f>IF(AND(D169=staw3[[#This Row],[Miesiąc]],F168=1),E167+1,0)</f>
        <v>0</v>
      </c>
      <c r="F168">
        <f t="shared" si="16"/>
        <v>0</v>
      </c>
      <c r="G168">
        <v>167</v>
      </c>
      <c r="J168">
        <f t="shared" si="22"/>
        <v>167</v>
      </c>
      <c r="K168" s="1">
        <f t="shared" si="22"/>
        <v>45152</v>
      </c>
      <c r="L168">
        <f t="shared" si="19"/>
        <v>7536.7255895950439</v>
      </c>
      <c r="M168">
        <f t="shared" si="20"/>
        <v>0.75367255895950436</v>
      </c>
      <c r="Q168" s="5">
        <f>(Q167-$P$2*0.25-IF(WEEKDAY(K167,2)=5,60,0))*1.0175</f>
        <v>4115.4778766842801</v>
      </c>
    </row>
    <row r="169" spans="1:17">
      <c r="A169" s="1">
        <v>44729</v>
      </c>
      <c r="B169">
        <v>17.899999999999999</v>
      </c>
      <c r="C169">
        <v>0</v>
      </c>
      <c r="D169">
        <f t="shared" si="17"/>
        <v>6</v>
      </c>
      <c r="E169">
        <f>IF(AND(D170=staw3[[#This Row],[Miesiąc]],F169=1),E168+1,0)</f>
        <v>1</v>
      </c>
      <c r="F169">
        <f t="shared" si="16"/>
        <v>1</v>
      </c>
      <c r="G169">
        <v>168</v>
      </c>
      <c r="J169">
        <f t="shared" si="22"/>
        <v>168</v>
      </c>
      <c r="K169" s="1">
        <f t="shared" si="22"/>
        <v>45153</v>
      </c>
      <c r="L169">
        <f t="shared" si="19"/>
        <v>7648.2682874129578</v>
      </c>
      <c r="M169">
        <f t="shared" si="20"/>
        <v>0.76482682874129582</v>
      </c>
      <c r="Q169" s="5">
        <f>(Q168-$P$2*0.25-IF(WEEKDAY(K168,2)=5,60,0))*1.0175</f>
        <v>4163.587489526255</v>
      </c>
    </row>
    <row r="170" spans="1:17">
      <c r="A170" s="1">
        <v>44730</v>
      </c>
      <c r="B170">
        <v>20.100000000000001</v>
      </c>
      <c r="C170">
        <v>0</v>
      </c>
      <c r="D170">
        <f t="shared" si="17"/>
        <v>6</v>
      </c>
      <c r="E170">
        <f>IF(AND(D171=staw3[[#This Row],[Miesiąc]],F170=1),E169+1,0)</f>
        <v>2</v>
      </c>
      <c r="F170">
        <f t="shared" si="16"/>
        <v>1</v>
      </c>
      <c r="G170">
        <v>169</v>
      </c>
      <c r="J170">
        <f t="shared" si="22"/>
        <v>169</v>
      </c>
      <c r="K170" s="1">
        <f t="shared" si="22"/>
        <v>45154</v>
      </c>
      <c r="L170">
        <f t="shared" si="19"/>
        <v>7761.7629824426849</v>
      </c>
      <c r="M170">
        <f t="shared" si="20"/>
        <v>0.77617629824426848</v>
      </c>
      <c r="Q170" s="5">
        <f>(Q169-$P$2*0.25-IF(WEEKDAY(K169,2)=5,60,0))*1.0175</f>
        <v>4212.5390205929643</v>
      </c>
    </row>
    <row r="171" spans="1:17">
      <c r="A171" s="1">
        <v>44731</v>
      </c>
      <c r="B171">
        <v>24.6</v>
      </c>
      <c r="C171">
        <v>0</v>
      </c>
      <c r="D171">
        <f t="shared" si="17"/>
        <v>6</v>
      </c>
      <c r="E171">
        <f>IF(AND(D172=staw3[[#This Row],[Miesiąc]],F171=1),E170+1,0)</f>
        <v>3</v>
      </c>
      <c r="F171">
        <f t="shared" si="16"/>
        <v>1</v>
      </c>
      <c r="G171">
        <v>170</v>
      </c>
      <c r="J171">
        <f t="shared" si="22"/>
        <v>170</v>
      </c>
      <c r="K171" s="1">
        <f t="shared" si="22"/>
        <v>45155</v>
      </c>
      <c r="L171">
        <f t="shared" si="19"/>
        <v>7877.2438346354329</v>
      </c>
      <c r="M171">
        <f t="shared" si="20"/>
        <v>0.78772438346354334</v>
      </c>
      <c r="Q171" s="5">
        <f>(Q170-$P$2*0.25-IF(WEEKDAY(K170,2)=5,60,0))*1.0175</f>
        <v>4262.3472034533415</v>
      </c>
    </row>
    <row r="172" spans="1:17">
      <c r="A172" s="1">
        <v>44732</v>
      </c>
      <c r="B172">
        <v>24.7</v>
      </c>
      <c r="C172">
        <v>0</v>
      </c>
      <c r="D172">
        <f t="shared" si="17"/>
        <v>6</v>
      </c>
      <c r="E172">
        <f>IF(AND(D173=staw3[[#This Row],[Miesiąc]],F172=1),E171+1,0)</f>
        <v>4</v>
      </c>
      <c r="F172">
        <f t="shared" si="16"/>
        <v>1</v>
      </c>
      <c r="G172">
        <v>171</v>
      </c>
      <c r="J172">
        <f t="shared" si="22"/>
        <v>171</v>
      </c>
      <c r="K172" s="1">
        <f t="shared" si="22"/>
        <v>45156</v>
      </c>
      <c r="L172">
        <f t="shared" si="19"/>
        <v>7994.7456017415534</v>
      </c>
      <c r="M172">
        <f t="shared" si="20"/>
        <v>0.7994745601741553</v>
      </c>
      <c r="Q172" s="5">
        <f>(Q171-$P$2*0.25-IF(WEEKDAY(K171,2)=5,60,0))*1.0175</f>
        <v>4313.0270295137752</v>
      </c>
    </row>
    <row r="173" spans="1:17">
      <c r="A173" s="1">
        <v>44733</v>
      </c>
      <c r="B173">
        <v>16.399999999999999</v>
      </c>
      <c r="C173">
        <v>0</v>
      </c>
      <c r="D173">
        <f t="shared" si="17"/>
        <v>6</v>
      </c>
      <c r="E173">
        <f>IF(AND(D174=staw3[[#This Row],[Miesiąc]],F173=1),E172+1,0)</f>
        <v>5</v>
      </c>
      <c r="F173">
        <f t="shared" si="16"/>
        <v>1</v>
      </c>
      <c r="G173">
        <v>172</v>
      </c>
      <c r="J173">
        <f t="shared" si="22"/>
        <v>172</v>
      </c>
      <c r="K173" s="1">
        <f t="shared" si="22"/>
        <v>45157</v>
      </c>
      <c r="L173">
        <f t="shared" si="19"/>
        <v>8053.2536497720312</v>
      </c>
      <c r="M173">
        <f t="shared" si="20"/>
        <v>0.80532536497720308</v>
      </c>
      <c r="Q173" s="5">
        <f>(Q172-$P$2*0.25-IF(WEEKDAY(K172,2)=5,60,0))*1.0175</f>
        <v>4303.5437525302668</v>
      </c>
    </row>
    <row r="174" spans="1:17">
      <c r="A174" s="1">
        <v>44734</v>
      </c>
      <c r="B174">
        <v>18.7</v>
      </c>
      <c r="C174">
        <v>0</v>
      </c>
      <c r="D174">
        <f t="shared" si="17"/>
        <v>6</v>
      </c>
      <c r="E174">
        <f>IF(AND(D175=staw3[[#This Row],[Miesiąc]],F174=1),E173+1,0)</f>
        <v>6</v>
      </c>
      <c r="F174">
        <f t="shared" si="16"/>
        <v>1</v>
      </c>
      <c r="G174">
        <v>173</v>
      </c>
      <c r="J174">
        <f t="shared" si="22"/>
        <v>173</v>
      </c>
      <c r="K174" s="1">
        <f t="shared" si="22"/>
        <v>45158</v>
      </c>
      <c r="L174">
        <f t="shared" si="19"/>
        <v>8173.8355886430427</v>
      </c>
      <c r="M174">
        <f t="shared" si="20"/>
        <v>0.81738355886430425</v>
      </c>
      <c r="Q174" s="5">
        <f>(Q173-$P$2*0.25-IF(WEEKDAY(K173,2)=5,60,0))*1.0175</f>
        <v>4354.944518199547</v>
      </c>
    </row>
    <row r="175" spans="1:17">
      <c r="A175" s="1">
        <v>44735</v>
      </c>
      <c r="B175">
        <v>19.100000000000001</v>
      </c>
      <c r="C175">
        <v>0</v>
      </c>
      <c r="D175">
        <f t="shared" si="17"/>
        <v>6</v>
      </c>
      <c r="E175">
        <f>IF(AND(D176=staw3[[#This Row],[Miesiąc]],F175=1),E174+1,0)</f>
        <v>7</v>
      </c>
      <c r="F175">
        <f t="shared" si="16"/>
        <v>1</v>
      </c>
      <c r="G175">
        <v>174</v>
      </c>
      <c r="J175">
        <f t="shared" si="22"/>
        <v>174</v>
      </c>
      <c r="K175" s="1">
        <f t="shared" si="22"/>
        <v>45159</v>
      </c>
      <c r="L175">
        <f t="shared" si="19"/>
        <v>8296.5277114442961</v>
      </c>
      <c r="M175">
        <f t="shared" si="20"/>
        <v>0.82965277114442959</v>
      </c>
      <c r="Q175" s="5">
        <f>(Q174-$P$2*0.25-IF(WEEKDAY(K174,2)=5,60,0))*1.0175</f>
        <v>4407.2447972680393</v>
      </c>
    </row>
    <row r="176" spans="1:17">
      <c r="A176" s="1">
        <v>44736</v>
      </c>
      <c r="B176">
        <v>21.4</v>
      </c>
      <c r="C176">
        <v>0</v>
      </c>
      <c r="D176">
        <f t="shared" si="17"/>
        <v>6</v>
      </c>
      <c r="E176">
        <f>IF(AND(D177=staw3[[#This Row],[Miesiąc]],F176=1),E175+1,0)</f>
        <v>8</v>
      </c>
      <c r="F176">
        <f t="shared" si="16"/>
        <v>1</v>
      </c>
      <c r="G176">
        <v>175</v>
      </c>
      <c r="J176">
        <f t="shared" si="22"/>
        <v>175</v>
      </c>
      <c r="K176" s="1">
        <f t="shared" si="22"/>
        <v>45160</v>
      </c>
      <c r="L176">
        <f t="shared" si="19"/>
        <v>8421.3669463945716</v>
      </c>
      <c r="M176">
        <f t="shared" si="20"/>
        <v>0.84213669463945717</v>
      </c>
      <c r="Q176" s="5">
        <f>(Q175-$P$2*0.25-IF(WEEKDAY(K175,2)=5,60,0))*1.0175</f>
        <v>4460.4603312202307</v>
      </c>
    </row>
    <row r="177" spans="1:17">
      <c r="A177" s="1">
        <v>44737</v>
      </c>
      <c r="B177">
        <v>24.4</v>
      </c>
      <c r="C177">
        <v>0</v>
      </c>
      <c r="D177">
        <f t="shared" si="17"/>
        <v>6</v>
      </c>
      <c r="E177">
        <f>IF(AND(D178=staw3[[#This Row],[Miesiąc]],F177=1),E176+1,0)</f>
        <v>9</v>
      </c>
      <c r="F177">
        <f t="shared" si="16"/>
        <v>1</v>
      </c>
      <c r="G177">
        <v>176</v>
      </c>
      <c r="J177">
        <f t="shared" si="22"/>
        <v>176</v>
      </c>
      <c r="K177" s="1">
        <f t="shared" si="22"/>
        <v>45161</v>
      </c>
      <c r="L177">
        <f t="shared" si="19"/>
        <v>8548.3908679564775</v>
      </c>
      <c r="M177">
        <f t="shared" si="20"/>
        <v>0.8548390867956478</v>
      </c>
      <c r="Q177" s="5">
        <f>(Q176-$P$2*0.25-IF(WEEKDAY(K176,2)=5,60,0))*1.0175</f>
        <v>4514.6071370165855</v>
      </c>
    </row>
    <row r="178" spans="1:17">
      <c r="A178" s="1">
        <v>44738</v>
      </c>
      <c r="B178">
        <v>24.1</v>
      </c>
      <c r="C178">
        <v>0</v>
      </c>
      <c r="D178">
        <f t="shared" si="17"/>
        <v>6</v>
      </c>
      <c r="E178">
        <f>IF(AND(D179=staw3[[#This Row],[Miesiąc]],F178=1),E177+1,0)</f>
        <v>10</v>
      </c>
      <c r="F178">
        <f t="shared" si="16"/>
        <v>1</v>
      </c>
      <c r="G178">
        <v>177</v>
      </c>
      <c r="J178">
        <f t="shared" si="22"/>
        <v>177</v>
      </c>
      <c r="K178" s="1">
        <f t="shared" si="22"/>
        <v>45162</v>
      </c>
      <c r="L178">
        <f t="shared" si="19"/>
        <v>8677.6377081457158</v>
      </c>
      <c r="M178">
        <f t="shared" si="20"/>
        <v>0.86776377081457157</v>
      </c>
      <c r="Q178" s="5">
        <f>(Q177-$P$2*0.25-IF(WEEKDAY(K177,2)=5,60,0))*1.0175</f>
        <v>4569.7015119143762</v>
      </c>
    </row>
    <row r="179" spans="1:17">
      <c r="A179" s="1">
        <v>44739</v>
      </c>
      <c r="B179">
        <v>26.1</v>
      </c>
      <c r="C179">
        <v>0</v>
      </c>
      <c r="D179">
        <f t="shared" si="17"/>
        <v>6</v>
      </c>
      <c r="E179">
        <f>IF(AND(D180=staw3[[#This Row],[Miesiąc]],F179=1),E178+1,0)</f>
        <v>11</v>
      </c>
      <c r="F179">
        <f t="shared" si="16"/>
        <v>1</v>
      </c>
      <c r="G179">
        <v>178</v>
      </c>
      <c r="J179">
        <f t="shared" si="22"/>
        <v>178</v>
      </c>
      <c r="K179" s="1">
        <f t="shared" si="22"/>
        <v>45163</v>
      </c>
      <c r="L179">
        <f t="shared" si="19"/>
        <v>8809.1463680382658</v>
      </c>
      <c r="M179">
        <f t="shared" si="20"/>
        <v>0.88091463680382653</v>
      </c>
      <c r="Q179" s="5">
        <f>(Q178-$P$2*0.25-IF(WEEKDAY(K178,2)=5,60,0))*1.0175</f>
        <v>4625.7600383728777</v>
      </c>
    </row>
    <row r="180" spans="1:17">
      <c r="A180" s="1">
        <v>44740</v>
      </c>
      <c r="B180">
        <v>24.6</v>
      </c>
      <c r="C180">
        <v>1</v>
      </c>
      <c r="D180">
        <f t="shared" si="17"/>
        <v>6</v>
      </c>
      <c r="E180">
        <f>IF(AND(D181=staw3[[#This Row],[Miesiąc]],F180=1),E179+1,0)</f>
        <v>0</v>
      </c>
      <c r="F180">
        <f t="shared" si="16"/>
        <v>0</v>
      </c>
      <c r="G180">
        <v>179</v>
      </c>
      <c r="J180">
        <f t="shared" ref="J180:K185" si="23">J179+1</f>
        <v>179</v>
      </c>
      <c r="K180" s="1">
        <f t="shared" si="23"/>
        <v>45164</v>
      </c>
      <c r="L180">
        <f t="shared" si="19"/>
        <v>8881.9064294789368</v>
      </c>
      <c r="M180">
        <f t="shared" si="20"/>
        <v>0.88819064294789374</v>
      </c>
      <c r="Q180" s="5">
        <f>(Q179-$P$2*0.25-IF(WEEKDAY(K179,2)=5,60,0))*1.0175</f>
        <v>4621.7495890444034</v>
      </c>
    </row>
    <row r="181" spans="1:17">
      <c r="A181" s="1">
        <v>44741</v>
      </c>
      <c r="B181">
        <v>24.9</v>
      </c>
      <c r="C181">
        <v>0</v>
      </c>
      <c r="D181">
        <f t="shared" si="17"/>
        <v>6</v>
      </c>
      <c r="E181">
        <f>IF(AND(D182=staw3[[#This Row],[Miesiąc]],F181=1),E180+1,0)</f>
        <v>1</v>
      </c>
      <c r="F181">
        <f t="shared" si="16"/>
        <v>1</v>
      </c>
      <c r="G181">
        <v>180</v>
      </c>
      <c r="J181">
        <f t="shared" si="23"/>
        <v>180</v>
      </c>
      <c r="K181" s="1">
        <f t="shared" si="23"/>
        <v>45165</v>
      </c>
      <c r="L181">
        <f t="shared" si="19"/>
        <v>9016.989791994818</v>
      </c>
      <c r="M181">
        <f t="shared" si="20"/>
        <v>0.90169897919948183</v>
      </c>
      <c r="Q181" s="5">
        <f>(Q180-$P$2*0.25-IF(WEEKDAY(K180,2)=5,60,0))*1.0175</f>
        <v>4678.718956852681</v>
      </c>
    </row>
    <row r="182" spans="1:17">
      <c r="A182" s="1">
        <v>44742</v>
      </c>
      <c r="B182">
        <v>29</v>
      </c>
      <c r="C182">
        <v>0</v>
      </c>
      <c r="D182">
        <f t="shared" si="17"/>
        <v>6</v>
      </c>
      <c r="E182">
        <f>IF(AND(D183=staw3[[#This Row],[Miesiąc]],F182=1),E181+1,0)</f>
        <v>0</v>
      </c>
      <c r="F182">
        <f t="shared" si="16"/>
        <v>1</v>
      </c>
      <c r="G182">
        <v>181</v>
      </c>
      <c r="J182">
        <f t="shared" si="23"/>
        <v>181</v>
      </c>
      <c r="K182" s="1">
        <f t="shared" si="23"/>
        <v>45166</v>
      </c>
      <c r="L182">
        <f t="shared" si="19"/>
        <v>9154.4371133547284</v>
      </c>
      <c r="M182">
        <f t="shared" si="20"/>
        <v>0.91544371133547287</v>
      </c>
      <c r="Q182" s="5">
        <f>(Q181-$P$2*0.25-IF(WEEKDAY(K181,2)=5,60,0))*1.0175</f>
        <v>4736.6852885976032</v>
      </c>
    </row>
    <row r="183" spans="1:17">
      <c r="A183" s="1">
        <v>44743</v>
      </c>
      <c r="B183">
        <v>29.9</v>
      </c>
      <c r="C183">
        <v>0</v>
      </c>
      <c r="D183">
        <f t="shared" si="17"/>
        <v>7</v>
      </c>
      <c r="E183">
        <f>IF(AND(D184=staw3[[#This Row],[Miesiąc]],F183=1),E182+1,0)</f>
        <v>1</v>
      </c>
      <c r="F183">
        <f t="shared" si="16"/>
        <v>1</v>
      </c>
      <c r="G183">
        <v>182</v>
      </c>
      <c r="J183">
        <f t="shared" si="23"/>
        <v>182</v>
      </c>
      <c r="K183" s="1">
        <f t="shared" si="23"/>
        <v>45167</v>
      </c>
      <c r="L183">
        <f t="shared" si="19"/>
        <v>9294.2897628384362</v>
      </c>
      <c r="M183">
        <f t="shared" si="20"/>
        <v>0.92942897628384358</v>
      </c>
      <c r="Q183" s="5">
        <f>(Q182-$P$2*0.25-IF(WEEKDAY(K182,2)=5,60,0))*1.0175</f>
        <v>4795.6660311480618</v>
      </c>
    </row>
    <row r="184" spans="1:17">
      <c r="A184" s="1">
        <v>44744</v>
      </c>
      <c r="B184">
        <v>19.7</v>
      </c>
      <c r="C184">
        <v>0</v>
      </c>
      <c r="D184">
        <f t="shared" si="17"/>
        <v>7</v>
      </c>
      <c r="E184">
        <f>IF(AND(D185=staw3[[#This Row],[Miesiąc]],F184=1),E183+1,0)</f>
        <v>2</v>
      </c>
      <c r="F184">
        <f t="shared" si="16"/>
        <v>1</v>
      </c>
      <c r="G184">
        <v>183</v>
      </c>
      <c r="J184">
        <f t="shared" si="23"/>
        <v>183</v>
      </c>
      <c r="K184" s="1">
        <f t="shared" si="23"/>
        <v>45168</v>
      </c>
      <c r="L184">
        <f t="shared" si="19"/>
        <v>9436.5898336881091</v>
      </c>
      <c r="M184">
        <f t="shared" si="20"/>
        <v>0.94365898336881093</v>
      </c>
      <c r="Q184" s="5">
        <f>(Q183-$P$2*0.25-IF(WEEKDAY(K183,2)=5,60,0))*1.0175</f>
        <v>4855.6789366931534</v>
      </c>
    </row>
    <row r="185" spans="1:17">
      <c r="A185" s="1">
        <v>44745</v>
      </c>
      <c r="B185">
        <v>21.6</v>
      </c>
      <c r="C185">
        <v>0</v>
      </c>
      <c r="D185">
        <f t="shared" si="17"/>
        <v>7</v>
      </c>
      <c r="E185">
        <f>IF(AND(D186=staw3[[#This Row],[Miesiąc]],F185=1),E184+1,0)</f>
        <v>3</v>
      </c>
      <c r="F185">
        <f t="shared" si="16"/>
        <v>1</v>
      </c>
      <c r="G185">
        <v>184</v>
      </c>
      <c r="J185">
        <f t="shared" si="23"/>
        <v>184</v>
      </c>
      <c r="K185" s="1">
        <f t="shared" si="23"/>
        <v>45169</v>
      </c>
      <c r="L185">
        <f t="shared" si="19"/>
        <v>9581.3801557776515</v>
      </c>
      <c r="M185">
        <f t="shared" si="20"/>
        <v>0.95813801557776512</v>
      </c>
      <c r="Q185" s="5">
        <f>(Q184-$P$2*0.25-IF(WEEKDAY(K184,2)=5,60,0))*1.0175</f>
        <v>4916.7420680852838</v>
      </c>
    </row>
    <row r="186" spans="1:17">
      <c r="A186" s="1">
        <v>44746</v>
      </c>
      <c r="B186">
        <v>24.1</v>
      </c>
      <c r="C186">
        <v>0</v>
      </c>
      <c r="D186">
        <f t="shared" si="17"/>
        <v>7</v>
      </c>
      <c r="E186">
        <f>IF(AND(D187=staw3[[#This Row],[Miesiąc]],F186=1),E185+1,0)</f>
        <v>4</v>
      </c>
      <c r="F186">
        <f t="shared" si="16"/>
        <v>1</v>
      </c>
    </row>
    <row r="187" spans="1:17">
      <c r="A187" s="1">
        <v>44747</v>
      </c>
      <c r="B187">
        <v>19.8</v>
      </c>
      <c r="C187">
        <v>17</v>
      </c>
      <c r="D187">
        <f t="shared" si="17"/>
        <v>7</v>
      </c>
      <c r="E187">
        <f>IF(AND(D188=staw3[[#This Row],[Miesiąc]],F187=1),E186+1,0)</f>
        <v>0</v>
      </c>
      <c r="F187">
        <f t="shared" si="16"/>
        <v>0</v>
      </c>
    </row>
    <row r="188" spans="1:17">
      <c r="A188" s="1">
        <v>44748</v>
      </c>
      <c r="B188">
        <v>17.600000000000001</v>
      </c>
      <c r="C188">
        <v>21</v>
      </c>
      <c r="D188">
        <f t="shared" si="17"/>
        <v>7</v>
      </c>
      <c r="E188">
        <f>IF(AND(D189=staw3[[#This Row],[Miesiąc]],F188=1),E187+1,0)</f>
        <v>0</v>
      </c>
      <c r="F188">
        <f t="shared" si="16"/>
        <v>0</v>
      </c>
    </row>
    <row r="189" spans="1:17">
      <c r="A189" s="1">
        <v>44749</v>
      </c>
      <c r="B189">
        <v>18.2</v>
      </c>
      <c r="C189">
        <v>0</v>
      </c>
      <c r="D189">
        <f t="shared" si="17"/>
        <v>7</v>
      </c>
      <c r="E189">
        <f>IF(AND(D190=staw3[[#This Row],[Miesiąc]],F189=1),E188+1,0)</f>
        <v>1</v>
      </c>
      <c r="F189">
        <f t="shared" si="16"/>
        <v>1</v>
      </c>
    </row>
    <row r="190" spans="1:17">
      <c r="A190" s="1">
        <v>44750</v>
      </c>
      <c r="B190">
        <v>17.399999999999999</v>
      </c>
      <c r="C190">
        <v>0</v>
      </c>
      <c r="D190">
        <f t="shared" si="17"/>
        <v>7</v>
      </c>
      <c r="E190">
        <f>IF(AND(D191=staw3[[#This Row],[Miesiąc]],F190=1),E189+1,0)</f>
        <v>2</v>
      </c>
      <c r="F190">
        <f t="shared" si="16"/>
        <v>1</v>
      </c>
    </row>
    <row r="191" spans="1:17">
      <c r="A191" s="1">
        <v>44751</v>
      </c>
      <c r="B191">
        <v>17.899999999999999</v>
      </c>
      <c r="C191">
        <v>0</v>
      </c>
      <c r="D191">
        <f t="shared" si="17"/>
        <v>7</v>
      </c>
      <c r="E191">
        <f>IF(AND(D192=staw3[[#This Row],[Miesiąc]],F191=1),E190+1,0)</f>
        <v>3</v>
      </c>
      <c r="F191">
        <f t="shared" si="16"/>
        <v>1</v>
      </c>
    </row>
    <row r="192" spans="1:17">
      <c r="A192" s="1">
        <v>44752</v>
      </c>
      <c r="B192">
        <v>16.100000000000001</v>
      </c>
      <c r="C192">
        <v>4</v>
      </c>
      <c r="D192">
        <f t="shared" si="17"/>
        <v>7</v>
      </c>
      <c r="E192">
        <f>IF(AND(D193=staw3[[#This Row],[Miesiąc]],F192=1),E191+1,0)</f>
        <v>0</v>
      </c>
      <c r="F192">
        <f t="shared" si="16"/>
        <v>0</v>
      </c>
    </row>
    <row r="193" spans="1:6">
      <c r="A193" s="1">
        <v>44753</v>
      </c>
      <c r="B193">
        <v>14</v>
      </c>
      <c r="C193">
        <v>3</v>
      </c>
      <c r="D193">
        <f t="shared" si="17"/>
        <v>7</v>
      </c>
      <c r="E193">
        <f>IF(AND(D194=staw3[[#This Row],[Miesiąc]],F193=1),E192+1,0)</f>
        <v>0</v>
      </c>
      <c r="F193">
        <f t="shared" si="16"/>
        <v>0</v>
      </c>
    </row>
    <row r="194" spans="1:6">
      <c r="A194" s="1">
        <v>44754</v>
      </c>
      <c r="B194">
        <v>16.3</v>
      </c>
      <c r="C194">
        <v>2</v>
      </c>
      <c r="D194">
        <f t="shared" si="17"/>
        <v>7</v>
      </c>
      <c r="E194">
        <f>IF(AND(D195=staw3[[#This Row],[Miesiąc]],F194=1),E193+1,0)</f>
        <v>0</v>
      </c>
      <c r="F194">
        <f t="shared" ref="F194:F257" si="24">IF(C194=0,1,0)</f>
        <v>0</v>
      </c>
    </row>
    <row r="195" spans="1:6">
      <c r="A195" s="1">
        <v>44755</v>
      </c>
      <c r="B195">
        <v>21.7</v>
      </c>
      <c r="C195">
        <v>0</v>
      </c>
      <c r="D195">
        <f t="shared" ref="D195:D258" si="25">MONTH(A195)</f>
        <v>7</v>
      </c>
      <c r="E195">
        <f>IF(AND(D196=staw3[[#This Row],[Miesiąc]],F195=1),E194+1,0)</f>
        <v>1</v>
      </c>
      <c r="F195">
        <f t="shared" si="24"/>
        <v>1</v>
      </c>
    </row>
    <row r="196" spans="1:6">
      <c r="A196" s="1">
        <v>44756</v>
      </c>
      <c r="B196">
        <v>23.2</v>
      </c>
      <c r="C196">
        <v>4</v>
      </c>
      <c r="D196">
        <f t="shared" si="25"/>
        <v>7</v>
      </c>
      <c r="E196">
        <f>IF(AND(D197=staw3[[#This Row],[Miesiąc]],F196=1),E195+1,0)</f>
        <v>0</v>
      </c>
      <c r="F196">
        <f t="shared" si="24"/>
        <v>0</v>
      </c>
    </row>
    <row r="197" spans="1:6">
      <c r="A197" s="1">
        <v>44757</v>
      </c>
      <c r="B197">
        <v>19.100000000000001</v>
      </c>
      <c r="C197">
        <v>2</v>
      </c>
      <c r="D197">
        <f t="shared" si="25"/>
        <v>7</v>
      </c>
      <c r="E197">
        <f>IF(AND(D198=staw3[[#This Row],[Miesiąc]],F197=1),E196+1,0)</f>
        <v>0</v>
      </c>
      <c r="F197">
        <f t="shared" si="24"/>
        <v>0</v>
      </c>
    </row>
    <row r="198" spans="1:6">
      <c r="A198" s="1">
        <v>44758</v>
      </c>
      <c r="B198">
        <v>16.100000000000001</v>
      </c>
      <c r="C198">
        <v>0</v>
      </c>
      <c r="D198">
        <f t="shared" si="25"/>
        <v>7</v>
      </c>
      <c r="E198">
        <f>IF(AND(D199=staw3[[#This Row],[Miesiąc]],F198=1),E197+1,0)</f>
        <v>1</v>
      </c>
      <c r="F198">
        <f t="shared" si="24"/>
        <v>1</v>
      </c>
    </row>
    <row r="199" spans="1:6">
      <c r="A199" s="1">
        <v>44759</v>
      </c>
      <c r="B199">
        <v>17.100000000000001</v>
      </c>
      <c r="C199">
        <v>0</v>
      </c>
      <c r="D199">
        <f t="shared" si="25"/>
        <v>7</v>
      </c>
      <c r="E199">
        <f>IF(AND(D200=staw3[[#This Row],[Miesiąc]],F199=1),E198+1,0)</f>
        <v>2</v>
      </c>
      <c r="F199">
        <f t="shared" si="24"/>
        <v>1</v>
      </c>
    </row>
    <row r="200" spans="1:6">
      <c r="A200" s="1">
        <v>44760</v>
      </c>
      <c r="B200">
        <v>18.7</v>
      </c>
      <c r="C200">
        <v>0</v>
      </c>
      <c r="D200">
        <f t="shared" si="25"/>
        <v>7</v>
      </c>
      <c r="E200">
        <f>IF(AND(D201=staw3[[#This Row],[Miesiąc]],F200=1),E199+1,0)</f>
        <v>3</v>
      </c>
      <c r="F200">
        <f t="shared" si="24"/>
        <v>1</v>
      </c>
    </row>
    <row r="201" spans="1:6">
      <c r="A201" s="1">
        <v>44761</v>
      </c>
      <c r="B201">
        <v>22.1</v>
      </c>
      <c r="C201">
        <v>0</v>
      </c>
      <c r="D201">
        <f t="shared" si="25"/>
        <v>7</v>
      </c>
      <c r="E201">
        <f>IF(AND(D202=staw3[[#This Row],[Miesiąc]],F201=1),E200+1,0)</f>
        <v>4</v>
      </c>
      <c r="F201">
        <f t="shared" si="24"/>
        <v>1</v>
      </c>
    </row>
    <row r="202" spans="1:6">
      <c r="A202" s="1">
        <v>44762</v>
      </c>
      <c r="B202">
        <v>24.6</v>
      </c>
      <c r="C202">
        <v>0</v>
      </c>
      <c r="D202">
        <f t="shared" si="25"/>
        <v>7</v>
      </c>
      <c r="E202">
        <f>IF(AND(D203=staw3[[#This Row],[Miesiąc]],F202=1),E201+1,0)</f>
        <v>5</v>
      </c>
      <c r="F202">
        <f t="shared" si="24"/>
        <v>1</v>
      </c>
    </row>
    <row r="203" spans="1:6">
      <c r="A203" s="1">
        <v>44763</v>
      </c>
      <c r="B203">
        <v>24.1</v>
      </c>
      <c r="C203">
        <v>0</v>
      </c>
      <c r="D203">
        <f t="shared" si="25"/>
        <v>7</v>
      </c>
      <c r="E203">
        <f>IF(AND(D204=staw3[[#This Row],[Miesiąc]],F203=1),E202+1,0)</f>
        <v>6</v>
      </c>
      <c r="F203">
        <f t="shared" si="24"/>
        <v>1</v>
      </c>
    </row>
    <row r="204" spans="1:6">
      <c r="A204" s="1">
        <v>44764</v>
      </c>
      <c r="B204">
        <v>25.6</v>
      </c>
      <c r="C204">
        <v>0</v>
      </c>
      <c r="D204">
        <f t="shared" si="25"/>
        <v>7</v>
      </c>
      <c r="E204">
        <f>IF(AND(D205=staw3[[#This Row],[Miesiąc]],F204=1),E203+1,0)</f>
        <v>7</v>
      </c>
      <c r="F204">
        <f t="shared" si="24"/>
        <v>1</v>
      </c>
    </row>
    <row r="205" spans="1:6">
      <c r="A205" s="1">
        <v>44765</v>
      </c>
      <c r="B205">
        <v>25</v>
      </c>
      <c r="C205">
        <v>0</v>
      </c>
      <c r="D205">
        <f t="shared" si="25"/>
        <v>7</v>
      </c>
      <c r="E205">
        <f>IF(AND(D206=staw3[[#This Row],[Miesiąc]],F205=1),E204+1,0)</f>
        <v>8</v>
      </c>
      <c r="F205">
        <f t="shared" si="24"/>
        <v>1</v>
      </c>
    </row>
    <row r="206" spans="1:6">
      <c r="A206" s="1">
        <v>44766</v>
      </c>
      <c r="B206">
        <v>21.8</v>
      </c>
      <c r="C206">
        <v>0</v>
      </c>
      <c r="D206">
        <f t="shared" si="25"/>
        <v>7</v>
      </c>
      <c r="E206">
        <f>IF(AND(D207=staw3[[#This Row],[Miesiąc]],F206=1),E205+1,0)</f>
        <v>9</v>
      </c>
      <c r="F206">
        <f t="shared" si="24"/>
        <v>1</v>
      </c>
    </row>
    <row r="207" spans="1:6">
      <c r="A207" s="1">
        <v>44767</v>
      </c>
      <c r="B207">
        <v>21.9</v>
      </c>
      <c r="C207">
        <v>0</v>
      </c>
      <c r="D207">
        <f t="shared" si="25"/>
        <v>7</v>
      </c>
      <c r="E207">
        <f>IF(AND(D208=staw3[[#This Row],[Miesiąc]],F207=1),E206+1,0)</f>
        <v>10</v>
      </c>
      <c r="F207">
        <f t="shared" si="24"/>
        <v>1</v>
      </c>
    </row>
    <row r="208" spans="1:6">
      <c r="A208" s="1">
        <v>44768</v>
      </c>
      <c r="B208">
        <v>20.399999999999999</v>
      </c>
      <c r="C208">
        <v>3</v>
      </c>
      <c r="D208">
        <f t="shared" si="25"/>
        <v>7</v>
      </c>
      <c r="E208">
        <f>IF(AND(D209=staw3[[#This Row],[Miesiąc]],F208=1),E207+1,0)</f>
        <v>0</v>
      </c>
      <c r="F208">
        <f t="shared" si="24"/>
        <v>0</v>
      </c>
    </row>
    <row r="209" spans="1:6">
      <c r="A209" s="1">
        <v>44769</v>
      </c>
      <c r="B209">
        <v>19.899999999999999</v>
      </c>
      <c r="C209">
        <v>0</v>
      </c>
      <c r="D209">
        <f t="shared" si="25"/>
        <v>7</v>
      </c>
      <c r="E209">
        <f>IF(AND(D210=staw3[[#This Row],[Miesiąc]],F209=1),E208+1,0)</f>
        <v>1</v>
      </c>
      <c r="F209">
        <f t="shared" si="24"/>
        <v>1</v>
      </c>
    </row>
    <row r="210" spans="1:6">
      <c r="A210" s="1">
        <v>44770</v>
      </c>
      <c r="B210">
        <v>19.899999999999999</v>
      </c>
      <c r="C210">
        <v>7</v>
      </c>
      <c r="D210">
        <f t="shared" si="25"/>
        <v>7</v>
      </c>
      <c r="E210">
        <f>IF(AND(D211=staw3[[#This Row],[Miesiąc]],F210=1),E209+1,0)</f>
        <v>0</v>
      </c>
      <c r="F210">
        <f t="shared" si="24"/>
        <v>0</v>
      </c>
    </row>
    <row r="211" spans="1:6">
      <c r="A211" s="1">
        <v>44771</v>
      </c>
      <c r="B211">
        <v>21.1</v>
      </c>
      <c r="C211">
        <v>0</v>
      </c>
      <c r="D211">
        <f t="shared" si="25"/>
        <v>7</v>
      </c>
      <c r="E211">
        <f>IF(AND(D212=staw3[[#This Row],[Miesiąc]],F211=1),E210+1,0)</f>
        <v>1</v>
      </c>
      <c r="F211">
        <f t="shared" si="24"/>
        <v>1</v>
      </c>
    </row>
    <row r="212" spans="1:6">
      <c r="A212" s="1">
        <v>44772</v>
      </c>
      <c r="B212">
        <v>20.7</v>
      </c>
      <c r="C212">
        <v>37</v>
      </c>
      <c r="D212">
        <f t="shared" si="25"/>
        <v>7</v>
      </c>
      <c r="E212">
        <f>IF(AND(D213=staw3[[#This Row],[Miesiąc]],F212=1),E211+1,0)</f>
        <v>0</v>
      </c>
      <c r="F212">
        <f t="shared" si="24"/>
        <v>0</v>
      </c>
    </row>
    <row r="213" spans="1:6">
      <c r="A213" s="1">
        <v>44773</v>
      </c>
      <c r="B213">
        <v>16.600000000000001</v>
      </c>
      <c r="C213">
        <v>0</v>
      </c>
      <c r="D213">
        <f t="shared" si="25"/>
        <v>7</v>
      </c>
      <c r="E213">
        <f>IF(AND(D214=staw3[[#This Row],[Miesiąc]],F213=1),E212+1,0)</f>
        <v>0</v>
      </c>
      <c r="F213">
        <f t="shared" si="24"/>
        <v>1</v>
      </c>
    </row>
    <row r="214" spans="1:6">
      <c r="A214" s="1">
        <v>44774</v>
      </c>
      <c r="B214">
        <v>19.7</v>
      </c>
      <c r="C214">
        <v>5</v>
      </c>
      <c r="D214">
        <f t="shared" si="25"/>
        <v>8</v>
      </c>
      <c r="E214">
        <f>IF(AND(D215=staw3[[#This Row],[Miesiąc]],F214=1),E213+1,0)</f>
        <v>0</v>
      </c>
      <c r="F214">
        <f t="shared" si="24"/>
        <v>0</v>
      </c>
    </row>
    <row r="215" spans="1:6">
      <c r="A215" s="1">
        <v>44775</v>
      </c>
      <c r="B215">
        <v>21</v>
      </c>
      <c r="C215">
        <v>1</v>
      </c>
      <c r="D215">
        <f t="shared" si="25"/>
        <v>8</v>
      </c>
      <c r="E215">
        <f>IF(AND(D216=staw3[[#This Row],[Miesiąc]],F215=1),E214+1,0)</f>
        <v>0</v>
      </c>
      <c r="F215">
        <f t="shared" si="24"/>
        <v>0</v>
      </c>
    </row>
    <row r="216" spans="1:6">
      <c r="A216" s="1">
        <v>44776</v>
      </c>
      <c r="B216">
        <v>21.9</v>
      </c>
      <c r="C216">
        <v>0</v>
      </c>
      <c r="D216">
        <f t="shared" si="25"/>
        <v>8</v>
      </c>
      <c r="E216">
        <f>IF(AND(D217=staw3[[#This Row],[Miesiąc]],F216=1),E215+1,0)</f>
        <v>1</v>
      </c>
      <c r="F216">
        <f t="shared" si="24"/>
        <v>1</v>
      </c>
    </row>
    <row r="217" spans="1:6">
      <c r="A217" s="1">
        <v>44777</v>
      </c>
      <c r="B217">
        <v>22.6</v>
      </c>
      <c r="C217">
        <v>0</v>
      </c>
      <c r="D217">
        <f t="shared" si="25"/>
        <v>8</v>
      </c>
      <c r="E217">
        <f>IF(AND(D218=staw3[[#This Row],[Miesiąc]],F217=1),E216+1,0)</f>
        <v>2</v>
      </c>
      <c r="F217">
        <f t="shared" si="24"/>
        <v>1</v>
      </c>
    </row>
    <row r="218" spans="1:6">
      <c r="A218" s="1">
        <v>44778</v>
      </c>
      <c r="B218">
        <v>24.4</v>
      </c>
      <c r="C218">
        <v>0</v>
      </c>
      <c r="D218">
        <f t="shared" si="25"/>
        <v>8</v>
      </c>
      <c r="E218">
        <f>IF(AND(D219=staw3[[#This Row],[Miesiąc]],F218=1),E217+1,0)</f>
        <v>3</v>
      </c>
      <c r="F218">
        <f t="shared" si="24"/>
        <v>1</v>
      </c>
    </row>
    <row r="219" spans="1:6">
      <c r="A219" s="1">
        <v>44779</v>
      </c>
      <c r="B219">
        <v>20.100000000000001</v>
      </c>
      <c r="C219">
        <v>0</v>
      </c>
      <c r="D219">
        <f t="shared" si="25"/>
        <v>8</v>
      </c>
      <c r="E219">
        <f>IF(AND(D220=staw3[[#This Row],[Miesiąc]],F219=1),E218+1,0)</f>
        <v>4</v>
      </c>
      <c r="F219">
        <f t="shared" si="24"/>
        <v>1</v>
      </c>
    </row>
    <row r="220" spans="1:6">
      <c r="A220" s="1">
        <v>44780</v>
      </c>
      <c r="B220">
        <v>18.5</v>
      </c>
      <c r="C220">
        <v>0</v>
      </c>
      <c r="D220">
        <f t="shared" si="25"/>
        <v>8</v>
      </c>
      <c r="E220">
        <f>IF(AND(D221=staw3[[#This Row],[Miesiąc]],F220=1),E219+1,0)</f>
        <v>5</v>
      </c>
      <c r="F220">
        <f t="shared" si="24"/>
        <v>1</v>
      </c>
    </row>
    <row r="221" spans="1:6">
      <c r="A221" s="1">
        <v>44781</v>
      </c>
      <c r="B221">
        <v>17.100000000000001</v>
      </c>
      <c r="C221">
        <v>0</v>
      </c>
      <c r="D221">
        <f t="shared" si="25"/>
        <v>8</v>
      </c>
      <c r="E221">
        <f>IF(AND(D222=staw3[[#This Row],[Miesiąc]],F221=1),E220+1,0)</f>
        <v>6</v>
      </c>
      <c r="F221">
        <f t="shared" si="24"/>
        <v>1</v>
      </c>
    </row>
    <row r="222" spans="1:6">
      <c r="A222" s="1">
        <v>44782</v>
      </c>
      <c r="B222">
        <v>19.600000000000001</v>
      </c>
      <c r="C222">
        <v>0</v>
      </c>
      <c r="D222">
        <f t="shared" si="25"/>
        <v>8</v>
      </c>
      <c r="E222">
        <f>IF(AND(D223=staw3[[#This Row],[Miesiąc]],F222=1),E221+1,0)</f>
        <v>7</v>
      </c>
      <c r="F222">
        <f t="shared" si="24"/>
        <v>1</v>
      </c>
    </row>
    <row r="223" spans="1:6">
      <c r="A223" s="1">
        <v>44783</v>
      </c>
      <c r="B223">
        <v>19.2</v>
      </c>
      <c r="C223">
        <v>0</v>
      </c>
      <c r="D223">
        <f t="shared" si="25"/>
        <v>8</v>
      </c>
      <c r="E223">
        <f>IF(AND(D224=staw3[[#This Row],[Miesiąc]],F223=1),E222+1,0)</f>
        <v>8</v>
      </c>
      <c r="F223">
        <f t="shared" si="24"/>
        <v>1</v>
      </c>
    </row>
    <row r="224" spans="1:6">
      <c r="A224" s="1">
        <v>44784</v>
      </c>
      <c r="B224">
        <v>17.100000000000001</v>
      </c>
      <c r="C224">
        <v>3</v>
      </c>
      <c r="D224">
        <f t="shared" si="25"/>
        <v>8</v>
      </c>
      <c r="E224">
        <f>IF(AND(D225=staw3[[#This Row],[Miesiąc]],F224=1),E223+1,0)</f>
        <v>0</v>
      </c>
      <c r="F224">
        <f t="shared" si="24"/>
        <v>0</v>
      </c>
    </row>
    <row r="225" spans="1:6">
      <c r="A225" s="1">
        <v>44785</v>
      </c>
      <c r="B225">
        <v>17.600000000000001</v>
      </c>
      <c r="C225">
        <v>0</v>
      </c>
      <c r="D225">
        <f t="shared" si="25"/>
        <v>8</v>
      </c>
      <c r="E225">
        <f>IF(AND(D226=staw3[[#This Row],[Miesiąc]],F225=1),E224+1,0)</f>
        <v>1</v>
      </c>
      <c r="F225">
        <f t="shared" si="24"/>
        <v>1</v>
      </c>
    </row>
    <row r="226" spans="1:6">
      <c r="A226" s="1">
        <v>44786</v>
      </c>
      <c r="B226">
        <v>19.8</v>
      </c>
      <c r="C226">
        <v>0</v>
      </c>
      <c r="D226">
        <f t="shared" si="25"/>
        <v>8</v>
      </c>
      <c r="E226">
        <f>IF(AND(D227=staw3[[#This Row],[Miesiąc]],F226=1),E225+1,0)</f>
        <v>2</v>
      </c>
      <c r="F226">
        <f t="shared" si="24"/>
        <v>1</v>
      </c>
    </row>
    <row r="227" spans="1:6">
      <c r="A227" s="1">
        <v>44787</v>
      </c>
      <c r="B227">
        <v>22</v>
      </c>
      <c r="C227">
        <v>4</v>
      </c>
      <c r="D227">
        <f t="shared" si="25"/>
        <v>8</v>
      </c>
      <c r="E227">
        <f>IF(AND(D228=staw3[[#This Row],[Miesiąc]],F227=1),E226+1,0)</f>
        <v>0</v>
      </c>
      <c r="F227">
        <f t="shared" si="24"/>
        <v>0</v>
      </c>
    </row>
    <row r="228" spans="1:6">
      <c r="A228" s="1">
        <v>44788</v>
      </c>
      <c r="B228">
        <v>23</v>
      </c>
      <c r="C228">
        <v>0</v>
      </c>
      <c r="D228">
        <f t="shared" si="25"/>
        <v>8</v>
      </c>
      <c r="E228">
        <f>IF(AND(D229=staw3[[#This Row],[Miesiąc]],F228=1),E227+1,0)</f>
        <v>1</v>
      </c>
      <c r="F228">
        <f t="shared" si="24"/>
        <v>1</v>
      </c>
    </row>
    <row r="229" spans="1:6">
      <c r="A229" s="1">
        <v>44789</v>
      </c>
      <c r="B229">
        <v>22.2</v>
      </c>
      <c r="C229">
        <v>0</v>
      </c>
      <c r="D229">
        <f t="shared" si="25"/>
        <v>8</v>
      </c>
      <c r="E229">
        <f>IF(AND(D230=staw3[[#This Row],[Miesiąc]],F229=1),E228+1,0)</f>
        <v>2</v>
      </c>
      <c r="F229">
        <f t="shared" si="24"/>
        <v>1</v>
      </c>
    </row>
    <row r="230" spans="1:6">
      <c r="A230" s="1">
        <v>44790</v>
      </c>
      <c r="B230">
        <v>22.9</v>
      </c>
      <c r="C230">
        <v>0</v>
      </c>
      <c r="D230">
        <f t="shared" si="25"/>
        <v>8</v>
      </c>
      <c r="E230">
        <f>IF(AND(D231=staw3[[#This Row],[Miesiąc]],F230=1),E229+1,0)</f>
        <v>3</v>
      </c>
      <c r="F230">
        <f t="shared" si="24"/>
        <v>1</v>
      </c>
    </row>
    <row r="231" spans="1:6">
      <c r="A231" s="1">
        <v>44791</v>
      </c>
      <c r="B231">
        <v>24.1</v>
      </c>
      <c r="C231">
        <v>0</v>
      </c>
      <c r="D231">
        <f t="shared" si="25"/>
        <v>8</v>
      </c>
      <c r="E231">
        <f>IF(AND(D232=staw3[[#This Row],[Miesiąc]],F231=1),E230+1,0)</f>
        <v>4</v>
      </c>
      <c r="F231">
        <f t="shared" si="24"/>
        <v>1</v>
      </c>
    </row>
    <row r="232" spans="1:6">
      <c r="A232" s="1">
        <v>44792</v>
      </c>
      <c r="B232">
        <v>26.8</v>
      </c>
      <c r="C232">
        <v>0</v>
      </c>
      <c r="D232">
        <f t="shared" si="25"/>
        <v>8</v>
      </c>
      <c r="E232">
        <f>IF(AND(D233=staw3[[#This Row],[Miesiąc]],F232=1),E231+1,0)</f>
        <v>5</v>
      </c>
      <c r="F232">
        <f t="shared" si="24"/>
        <v>1</v>
      </c>
    </row>
    <row r="233" spans="1:6">
      <c r="A233" s="1">
        <v>44793</v>
      </c>
      <c r="B233">
        <v>24.5</v>
      </c>
      <c r="C233">
        <v>0</v>
      </c>
      <c r="D233">
        <f t="shared" si="25"/>
        <v>8</v>
      </c>
      <c r="E233">
        <f>IF(AND(D234=staw3[[#This Row],[Miesiąc]],F233=1),E232+1,0)</f>
        <v>6</v>
      </c>
      <c r="F233">
        <f t="shared" si="24"/>
        <v>1</v>
      </c>
    </row>
    <row r="234" spans="1:6">
      <c r="A234" s="1">
        <v>44794</v>
      </c>
      <c r="B234">
        <v>20.7</v>
      </c>
      <c r="C234">
        <v>4</v>
      </c>
      <c r="D234">
        <f t="shared" si="25"/>
        <v>8</v>
      </c>
      <c r="E234">
        <f>IF(AND(D235=staw3[[#This Row],[Miesiąc]],F234=1),E233+1,0)</f>
        <v>0</v>
      </c>
      <c r="F234">
        <f t="shared" si="24"/>
        <v>0</v>
      </c>
    </row>
    <row r="235" spans="1:6">
      <c r="A235" s="1">
        <v>44795</v>
      </c>
      <c r="B235">
        <v>20.100000000000001</v>
      </c>
      <c r="C235">
        <v>11</v>
      </c>
      <c r="D235">
        <f t="shared" si="25"/>
        <v>8</v>
      </c>
      <c r="E235">
        <f>IF(AND(D236=staw3[[#This Row],[Miesiąc]],F235=1),E234+1,0)</f>
        <v>0</v>
      </c>
      <c r="F235">
        <f t="shared" si="24"/>
        <v>0</v>
      </c>
    </row>
    <row r="236" spans="1:6">
      <c r="A236" s="1">
        <v>44796</v>
      </c>
      <c r="B236">
        <v>21.9</v>
      </c>
      <c r="C236">
        <v>0</v>
      </c>
      <c r="D236">
        <f t="shared" si="25"/>
        <v>8</v>
      </c>
      <c r="E236">
        <f>IF(AND(D237=staw3[[#This Row],[Miesiąc]],F236=1),E235+1,0)</f>
        <v>1</v>
      </c>
      <c r="F236">
        <f t="shared" si="24"/>
        <v>1</v>
      </c>
    </row>
    <row r="237" spans="1:6">
      <c r="A237" s="1">
        <v>44797</v>
      </c>
      <c r="B237">
        <v>21.2</v>
      </c>
      <c r="C237">
        <v>4</v>
      </c>
      <c r="D237">
        <f t="shared" si="25"/>
        <v>8</v>
      </c>
      <c r="E237">
        <f>IF(AND(D238=staw3[[#This Row],[Miesiąc]],F237=1),E236+1,0)</f>
        <v>0</v>
      </c>
      <c r="F237">
        <f t="shared" si="24"/>
        <v>0</v>
      </c>
    </row>
    <row r="238" spans="1:6">
      <c r="A238" s="1">
        <v>44798</v>
      </c>
      <c r="B238">
        <v>23.2</v>
      </c>
      <c r="C238">
        <v>0</v>
      </c>
      <c r="D238">
        <f t="shared" si="25"/>
        <v>8</v>
      </c>
      <c r="E238">
        <f>IF(AND(D239=staw3[[#This Row],[Miesiąc]],F238=1),E237+1,0)</f>
        <v>1</v>
      </c>
      <c r="F238">
        <f t="shared" si="24"/>
        <v>1</v>
      </c>
    </row>
    <row r="239" spans="1:6">
      <c r="A239" s="1">
        <v>44799</v>
      </c>
      <c r="B239">
        <v>22.9</v>
      </c>
      <c r="C239">
        <v>0</v>
      </c>
      <c r="D239">
        <f t="shared" si="25"/>
        <v>8</v>
      </c>
      <c r="E239">
        <f>IF(AND(D240=staw3[[#This Row],[Miesiąc]],F239=1),E238+1,0)</f>
        <v>2</v>
      </c>
      <c r="F239">
        <f t="shared" si="24"/>
        <v>1</v>
      </c>
    </row>
    <row r="240" spans="1:6">
      <c r="A240" s="1">
        <v>44800</v>
      </c>
      <c r="B240">
        <v>22.9</v>
      </c>
      <c r="C240">
        <v>0</v>
      </c>
      <c r="D240">
        <f t="shared" si="25"/>
        <v>8</v>
      </c>
      <c r="E240">
        <f>IF(AND(D241=staw3[[#This Row],[Miesiąc]],F240=1),E239+1,0)</f>
        <v>3</v>
      </c>
      <c r="F240">
        <f t="shared" si="24"/>
        <v>1</v>
      </c>
    </row>
    <row r="241" spans="1:6">
      <c r="A241" s="1">
        <v>44801</v>
      </c>
      <c r="B241">
        <v>22.7</v>
      </c>
      <c r="C241">
        <v>0</v>
      </c>
      <c r="D241">
        <f t="shared" si="25"/>
        <v>8</v>
      </c>
      <c r="E241">
        <f>IF(AND(D242=staw3[[#This Row],[Miesiąc]],F241=1),E240+1,0)</f>
        <v>4</v>
      </c>
      <c r="F241">
        <f t="shared" si="24"/>
        <v>1</v>
      </c>
    </row>
    <row r="242" spans="1:6">
      <c r="A242" s="1">
        <v>44802</v>
      </c>
      <c r="B242">
        <v>20.6</v>
      </c>
      <c r="C242">
        <v>0</v>
      </c>
      <c r="D242">
        <f t="shared" si="25"/>
        <v>8</v>
      </c>
      <c r="E242">
        <f>IF(AND(D243=staw3[[#This Row],[Miesiąc]],F242=1),E241+1,0)</f>
        <v>5</v>
      </c>
      <c r="F242">
        <f t="shared" si="24"/>
        <v>1</v>
      </c>
    </row>
    <row r="243" spans="1:6">
      <c r="A243" s="1">
        <v>44803</v>
      </c>
      <c r="B243">
        <v>18.600000000000001</v>
      </c>
      <c r="C243">
        <v>0</v>
      </c>
      <c r="D243">
        <f t="shared" si="25"/>
        <v>8</v>
      </c>
      <c r="E243">
        <f>IF(AND(D244=staw3[[#This Row],[Miesiąc]],F243=1),E242+1,0)</f>
        <v>6</v>
      </c>
      <c r="F243">
        <f t="shared" si="24"/>
        <v>1</v>
      </c>
    </row>
    <row r="244" spans="1:6">
      <c r="A244" s="1">
        <v>44804</v>
      </c>
      <c r="B244">
        <v>16.2</v>
      </c>
      <c r="C244">
        <v>1</v>
      </c>
      <c r="D244">
        <f t="shared" si="25"/>
        <v>8</v>
      </c>
      <c r="E244">
        <f>IF(AND(D245=staw3[[#This Row],[Miesiąc]],F244=1),E243+1,0)</f>
        <v>0</v>
      </c>
      <c r="F244">
        <f t="shared" si="24"/>
        <v>0</v>
      </c>
    </row>
    <row r="245" spans="1:6">
      <c r="A245" s="1">
        <v>44805</v>
      </c>
      <c r="B245">
        <v>15.5</v>
      </c>
      <c r="C245">
        <v>0</v>
      </c>
      <c r="D245">
        <f t="shared" si="25"/>
        <v>9</v>
      </c>
      <c r="E245">
        <f>IF(AND(D246=staw3[[#This Row],[Miesiąc]],F245=1),E244+1,0)</f>
        <v>1</v>
      </c>
      <c r="F245">
        <f t="shared" si="24"/>
        <v>1</v>
      </c>
    </row>
    <row r="246" spans="1:6">
      <c r="A246" s="1">
        <v>44806</v>
      </c>
      <c r="B246">
        <v>14.4</v>
      </c>
      <c r="C246">
        <v>0</v>
      </c>
      <c r="D246">
        <f t="shared" si="25"/>
        <v>9</v>
      </c>
      <c r="E246">
        <f>IF(AND(D247=staw3[[#This Row],[Miesiąc]],F246=1),E245+1,0)</f>
        <v>2</v>
      </c>
      <c r="F246">
        <f t="shared" si="24"/>
        <v>1</v>
      </c>
    </row>
    <row r="247" spans="1:6">
      <c r="A247" s="1">
        <v>44807</v>
      </c>
      <c r="B247">
        <v>14.3</v>
      </c>
      <c r="C247">
        <v>0</v>
      </c>
      <c r="D247">
        <f t="shared" si="25"/>
        <v>9</v>
      </c>
      <c r="E247">
        <f>IF(AND(D248=staw3[[#This Row],[Miesiąc]],F247=1),E246+1,0)</f>
        <v>3</v>
      </c>
      <c r="F247">
        <f t="shared" si="24"/>
        <v>1</v>
      </c>
    </row>
    <row r="248" spans="1:6">
      <c r="A248" s="1">
        <v>44808</v>
      </c>
      <c r="B248">
        <v>15.5</v>
      </c>
      <c r="C248">
        <v>0</v>
      </c>
      <c r="D248">
        <f t="shared" si="25"/>
        <v>9</v>
      </c>
      <c r="E248">
        <f>IF(AND(D249=staw3[[#This Row],[Miesiąc]],F248=1),E247+1,0)</f>
        <v>4</v>
      </c>
      <c r="F248">
        <f t="shared" si="24"/>
        <v>1</v>
      </c>
    </row>
    <row r="249" spans="1:6">
      <c r="A249" s="1">
        <v>44809</v>
      </c>
      <c r="B249">
        <v>16.5</v>
      </c>
      <c r="C249">
        <v>0</v>
      </c>
      <c r="D249">
        <f t="shared" si="25"/>
        <v>9</v>
      </c>
      <c r="E249">
        <f>IF(AND(D250=staw3[[#This Row],[Miesiąc]],F249=1),E248+1,0)</f>
        <v>5</v>
      </c>
      <c r="F249">
        <f t="shared" si="24"/>
        <v>1</v>
      </c>
    </row>
    <row r="250" spans="1:6">
      <c r="A250" s="1">
        <v>44810</v>
      </c>
      <c r="B250">
        <v>15.8</v>
      </c>
      <c r="C250">
        <v>0</v>
      </c>
      <c r="D250">
        <f t="shared" si="25"/>
        <v>9</v>
      </c>
      <c r="E250">
        <f>IF(AND(D251=staw3[[#This Row],[Miesiąc]],F250=1),E249+1,0)</f>
        <v>6</v>
      </c>
      <c r="F250">
        <f t="shared" si="24"/>
        <v>1</v>
      </c>
    </row>
    <row r="251" spans="1:6">
      <c r="A251" s="1">
        <v>44811</v>
      </c>
      <c r="B251">
        <v>16.399999999999999</v>
      </c>
      <c r="C251">
        <v>0</v>
      </c>
      <c r="D251">
        <f t="shared" si="25"/>
        <v>9</v>
      </c>
      <c r="E251">
        <f>IF(AND(D252=staw3[[#This Row],[Miesiąc]],F251=1),E250+1,0)</f>
        <v>7</v>
      </c>
      <c r="F251">
        <f t="shared" si="24"/>
        <v>1</v>
      </c>
    </row>
    <row r="252" spans="1:6">
      <c r="A252" s="1">
        <v>44812</v>
      </c>
      <c r="B252">
        <v>19.8</v>
      </c>
      <c r="C252">
        <v>0</v>
      </c>
      <c r="D252">
        <f t="shared" si="25"/>
        <v>9</v>
      </c>
      <c r="E252">
        <f>IF(AND(D253=staw3[[#This Row],[Miesiąc]],F252=1),E251+1,0)</f>
        <v>8</v>
      </c>
      <c r="F252">
        <f t="shared" si="24"/>
        <v>1</v>
      </c>
    </row>
    <row r="253" spans="1:6">
      <c r="A253" s="1">
        <v>44813</v>
      </c>
      <c r="B253">
        <v>19.399999999999999</v>
      </c>
      <c r="C253">
        <v>0</v>
      </c>
      <c r="D253">
        <f t="shared" si="25"/>
        <v>9</v>
      </c>
      <c r="E253">
        <f>IF(AND(D254=staw3[[#This Row],[Miesiąc]],F253=1),E252+1,0)</f>
        <v>9</v>
      </c>
      <c r="F253">
        <f t="shared" si="24"/>
        <v>1</v>
      </c>
    </row>
    <row r="254" spans="1:6">
      <c r="A254" s="1">
        <v>44814</v>
      </c>
      <c r="B254">
        <v>15.3</v>
      </c>
      <c r="C254">
        <v>0</v>
      </c>
      <c r="D254">
        <f t="shared" si="25"/>
        <v>9</v>
      </c>
      <c r="E254">
        <f>IF(AND(D255=staw3[[#This Row],[Miesiąc]],F254=1),E253+1,0)</f>
        <v>10</v>
      </c>
      <c r="F254">
        <f t="shared" si="24"/>
        <v>1</v>
      </c>
    </row>
    <row r="255" spans="1:6">
      <c r="A255" s="1">
        <v>44815</v>
      </c>
      <c r="B255">
        <v>14.3</v>
      </c>
      <c r="C255">
        <v>0</v>
      </c>
      <c r="D255">
        <f t="shared" si="25"/>
        <v>9</v>
      </c>
      <c r="E255">
        <f>IF(AND(D256=staw3[[#This Row],[Miesiąc]],F255=1),E254+1,0)</f>
        <v>11</v>
      </c>
      <c r="F255">
        <f t="shared" si="24"/>
        <v>1</v>
      </c>
    </row>
    <row r="256" spans="1:6">
      <c r="A256" s="1">
        <v>44816</v>
      </c>
      <c r="B256">
        <v>12.2</v>
      </c>
      <c r="C256">
        <v>0</v>
      </c>
      <c r="D256">
        <f t="shared" si="25"/>
        <v>9</v>
      </c>
      <c r="E256">
        <f>IF(AND(D257=staw3[[#This Row],[Miesiąc]],F256=1),E255+1,0)</f>
        <v>12</v>
      </c>
      <c r="F256">
        <f t="shared" si="24"/>
        <v>1</v>
      </c>
    </row>
    <row r="257" spans="1:6">
      <c r="A257" s="1">
        <v>44817</v>
      </c>
      <c r="B257">
        <v>14.7</v>
      </c>
      <c r="C257">
        <v>0</v>
      </c>
      <c r="D257">
        <f t="shared" si="25"/>
        <v>9</v>
      </c>
      <c r="E257">
        <f>IF(AND(D258=staw3[[#This Row],[Miesiąc]],F257=1),E256+1,0)</f>
        <v>13</v>
      </c>
      <c r="F257">
        <f t="shared" si="24"/>
        <v>1</v>
      </c>
    </row>
    <row r="258" spans="1:6">
      <c r="A258" s="1">
        <v>44818</v>
      </c>
      <c r="B258">
        <v>18.399999999999999</v>
      </c>
      <c r="C258">
        <v>0</v>
      </c>
      <c r="D258">
        <f t="shared" si="25"/>
        <v>9</v>
      </c>
      <c r="E258">
        <f>IF(AND(D259=staw3[[#This Row],[Miesiąc]],F258=1),E257+1,0)</f>
        <v>14</v>
      </c>
      <c r="F258">
        <f t="shared" ref="F258:F321" si="26">IF(C258=0,1,0)</f>
        <v>1</v>
      </c>
    </row>
    <row r="259" spans="1:6">
      <c r="A259" s="1">
        <v>44819</v>
      </c>
      <c r="B259">
        <v>16.600000000000001</v>
      </c>
      <c r="C259">
        <v>6</v>
      </c>
      <c r="D259">
        <f t="shared" ref="D259:D322" si="27">MONTH(A259)</f>
        <v>9</v>
      </c>
      <c r="E259">
        <f>IF(AND(D260=staw3[[#This Row],[Miesiąc]],F259=1),E258+1,0)</f>
        <v>0</v>
      </c>
      <c r="F259">
        <f t="shared" si="26"/>
        <v>0</v>
      </c>
    </row>
    <row r="260" spans="1:6">
      <c r="A260" s="1">
        <v>44820</v>
      </c>
      <c r="B260">
        <v>14.5</v>
      </c>
      <c r="C260">
        <v>0</v>
      </c>
      <c r="D260">
        <f t="shared" si="27"/>
        <v>9</v>
      </c>
      <c r="E260">
        <f>IF(AND(D261=staw3[[#This Row],[Miesiąc]],F260=1),E259+1,0)</f>
        <v>1</v>
      </c>
      <c r="F260">
        <f t="shared" si="26"/>
        <v>1</v>
      </c>
    </row>
    <row r="261" spans="1:6">
      <c r="A261" s="1">
        <v>44821</v>
      </c>
      <c r="B261">
        <v>12.6</v>
      </c>
      <c r="C261">
        <v>0</v>
      </c>
      <c r="D261">
        <f t="shared" si="27"/>
        <v>9</v>
      </c>
      <c r="E261">
        <f>IF(AND(D262=staw3[[#This Row],[Miesiąc]],F261=1),E260+1,0)</f>
        <v>2</v>
      </c>
      <c r="F261">
        <f t="shared" si="26"/>
        <v>1</v>
      </c>
    </row>
    <row r="262" spans="1:6">
      <c r="A262" s="1">
        <v>44822</v>
      </c>
      <c r="B262">
        <v>10.3</v>
      </c>
      <c r="C262">
        <v>8</v>
      </c>
      <c r="D262">
        <f t="shared" si="27"/>
        <v>9</v>
      </c>
      <c r="E262">
        <f>IF(AND(D263=staw3[[#This Row],[Miesiąc]],F262=1),E261+1,0)</f>
        <v>0</v>
      </c>
      <c r="F262">
        <f t="shared" si="26"/>
        <v>0</v>
      </c>
    </row>
    <row r="263" spans="1:6">
      <c r="A263" s="1">
        <v>44823</v>
      </c>
      <c r="B263">
        <v>9.3000000000000007</v>
      </c>
      <c r="C263">
        <v>6</v>
      </c>
      <c r="D263">
        <f t="shared" si="27"/>
        <v>9</v>
      </c>
      <c r="E263">
        <f>IF(AND(D264=staw3[[#This Row],[Miesiąc]],F263=1),E262+1,0)</f>
        <v>0</v>
      </c>
      <c r="F263">
        <f t="shared" si="26"/>
        <v>0</v>
      </c>
    </row>
    <row r="264" spans="1:6">
      <c r="A264" s="1">
        <v>44824</v>
      </c>
      <c r="B264">
        <v>10.3</v>
      </c>
      <c r="C264">
        <v>6</v>
      </c>
      <c r="D264">
        <f t="shared" si="27"/>
        <v>9</v>
      </c>
      <c r="E264">
        <f>IF(AND(D265=staw3[[#This Row],[Miesiąc]],F264=1),E263+1,0)</f>
        <v>0</v>
      </c>
      <c r="F264">
        <f t="shared" si="26"/>
        <v>0</v>
      </c>
    </row>
    <row r="265" spans="1:6">
      <c r="A265" s="1">
        <v>44825</v>
      </c>
      <c r="B265">
        <v>10.3</v>
      </c>
      <c r="C265">
        <v>0</v>
      </c>
      <c r="D265">
        <f t="shared" si="27"/>
        <v>9</v>
      </c>
      <c r="E265">
        <f>IF(AND(D266=staw3[[#This Row],[Miesiąc]],F265=1),E264+1,0)</f>
        <v>1</v>
      </c>
      <c r="F265">
        <f t="shared" si="26"/>
        <v>1</v>
      </c>
    </row>
    <row r="266" spans="1:6">
      <c r="A266" s="1">
        <v>44826</v>
      </c>
      <c r="B266">
        <v>10.1</v>
      </c>
      <c r="C266">
        <v>2</v>
      </c>
      <c r="D266">
        <f t="shared" si="27"/>
        <v>9</v>
      </c>
      <c r="E266">
        <f>IF(AND(D267=staw3[[#This Row],[Miesiąc]],F266=1),E265+1,0)</f>
        <v>0</v>
      </c>
      <c r="F266">
        <f t="shared" si="26"/>
        <v>0</v>
      </c>
    </row>
    <row r="267" spans="1:6">
      <c r="A267" s="1">
        <v>44827</v>
      </c>
      <c r="B267">
        <v>10.5</v>
      </c>
      <c r="C267">
        <v>0</v>
      </c>
      <c r="D267">
        <f t="shared" si="27"/>
        <v>9</v>
      </c>
      <c r="E267">
        <f>IF(AND(D268=staw3[[#This Row],[Miesiąc]],F267=1),E266+1,0)</f>
        <v>1</v>
      </c>
      <c r="F267">
        <f t="shared" si="26"/>
        <v>1</v>
      </c>
    </row>
    <row r="268" spans="1:6">
      <c r="A268" s="1">
        <v>44828</v>
      </c>
      <c r="B268">
        <v>10.4</v>
      </c>
      <c r="C268">
        <v>0</v>
      </c>
      <c r="D268">
        <f t="shared" si="27"/>
        <v>9</v>
      </c>
      <c r="E268">
        <f>IF(AND(D269=staw3[[#This Row],[Miesiąc]],F268=1),E267+1,0)</f>
        <v>2</v>
      </c>
      <c r="F268">
        <f t="shared" si="26"/>
        <v>1</v>
      </c>
    </row>
    <row r="269" spans="1:6">
      <c r="A269" s="1">
        <v>44829</v>
      </c>
      <c r="B269">
        <v>12.4</v>
      </c>
      <c r="C269">
        <v>0</v>
      </c>
      <c r="D269">
        <f t="shared" si="27"/>
        <v>9</v>
      </c>
      <c r="E269">
        <f>IF(AND(D270=staw3[[#This Row],[Miesiąc]],F269=1),E268+1,0)</f>
        <v>3</v>
      </c>
      <c r="F269">
        <f t="shared" si="26"/>
        <v>1</v>
      </c>
    </row>
    <row r="270" spans="1:6">
      <c r="A270" s="1">
        <v>44830</v>
      </c>
      <c r="B270">
        <v>12</v>
      </c>
      <c r="C270">
        <v>3</v>
      </c>
      <c r="D270">
        <f t="shared" si="27"/>
        <v>9</v>
      </c>
      <c r="E270">
        <f>IF(AND(D271=staw3[[#This Row],[Miesiąc]],F270=1),E269+1,0)</f>
        <v>0</v>
      </c>
      <c r="F270">
        <f t="shared" si="26"/>
        <v>0</v>
      </c>
    </row>
    <row r="271" spans="1:6">
      <c r="A271" s="1">
        <v>44831</v>
      </c>
      <c r="B271">
        <v>12.2</v>
      </c>
      <c r="C271">
        <v>2</v>
      </c>
      <c r="D271">
        <f t="shared" si="27"/>
        <v>9</v>
      </c>
      <c r="E271">
        <f>IF(AND(D272=staw3[[#This Row],[Miesiąc]],F271=1),E270+1,0)</f>
        <v>0</v>
      </c>
      <c r="F271">
        <f t="shared" si="26"/>
        <v>0</v>
      </c>
    </row>
    <row r="272" spans="1:6">
      <c r="A272" s="1">
        <v>44832</v>
      </c>
      <c r="B272">
        <v>13.3</v>
      </c>
      <c r="C272">
        <v>0</v>
      </c>
      <c r="D272">
        <f t="shared" si="27"/>
        <v>9</v>
      </c>
      <c r="E272">
        <f>IF(AND(D273=staw3[[#This Row],[Miesiąc]],F272=1),E271+1,0)</f>
        <v>1</v>
      </c>
      <c r="F272">
        <f t="shared" si="26"/>
        <v>1</v>
      </c>
    </row>
    <row r="273" spans="1:6">
      <c r="A273" s="1">
        <v>44833</v>
      </c>
      <c r="B273">
        <v>11</v>
      </c>
      <c r="C273">
        <v>6</v>
      </c>
      <c r="D273">
        <f t="shared" si="27"/>
        <v>9</v>
      </c>
      <c r="E273">
        <f>IF(AND(D274=staw3[[#This Row],[Miesiąc]],F273=1),E272+1,0)</f>
        <v>0</v>
      </c>
      <c r="F273">
        <f t="shared" si="26"/>
        <v>0</v>
      </c>
    </row>
    <row r="274" spans="1:6">
      <c r="A274" s="1">
        <v>44834</v>
      </c>
      <c r="B274">
        <v>11.8</v>
      </c>
      <c r="C274">
        <v>10</v>
      </c>
      <c r="D274">
        <f t="shared" si="27"/>
        <v>9</v>
      </c>
      <c r="E274">
        <f>IF(AND(D275=staw3[[#This Row],[Miesiąc]],F274=1),E273+1,0)</f>
        <v>0</v>
      </c>
      <c r="F274">
        <f t="shared" si="26"/>
        <v>0</v>
      </c>
    </row>
    <row r="275" spans="1:6">
      <c r="A275" s="1">
        <v>44835</v>
      </c>
      <c r="B275">
        <v>13</v>
      </c>
      <c r="C275">
        <v>4</v>
      </c>
      <c r="D275">
        <f t="shared" si="27"/>
        <v>10</v>
      </c>
      <c r="E275">
        <f>IF(AND(D276=staw3[[#This Row],[Miesiąc]],F275=1),E274+1,0)</f>
        <v>0</v>
      </c>
      <c r="F275">
        <f t="shared" si="26"/>
        <v>0</v>
      </c>
    </row>
    <row r="276" spans="1:6">
      <c r="A276" s="1">
        <v>44836</v>
      </c>
      <c r="B276">
        <v>12.1</v>
      </c>
      <c r="C276">
        <v>8</v>
      </c>
      <c r="D276">
        <f t="shared" si="27"/>
        <v>10</v>
      </c>
      <c r="E276">
        <f>IF(AND(D277=staw3[[#This Row],[Miesiąc]],F276=1),E275+1,0)</f>
        <v>0</v>
      </c>
      <c r="F276">
        <f t="shared" si="26"/>
        <v>0</v>
      </c>
    </row>
    <row r="277" spans="1:6">
      <c r="A277" s="1">
        <v>44837</v>
      </c>
      <c r="B277">
        <v>10.4</v>
      </c>
      <c r="C277">
        <v>2</v>
      </c>
      <c r="D277">
        <f t="shared" si="27"/>
        <v>10</v>
      </c>
      <c r="E277">
        <f>IF(AND(D278=staw3[[#This Row],[Miesiąc]],F277=1),E276+1,0)</f>
        <v>0</v>
      </c>
      <c r="F277">
        <f t="shared" si="26"/>
        <v>0</v>
      </c>
    </row>
    <row r="278" spans="1:6">
      <c r="A278" s="1">
        <v>44838</v>
      </c>
      <c r="B278">
        <v>10.5</v>
      </c>
      <c r="C278">
        <v>0</v>
      </c>
      <c r="D278">
        <f t="shared" si="27"/>
        <v>10</v>
      </c>
      <c r="E278">
        <f>IF(AND(D279=staw3[[#This Row],[Miesiąc]],F278=1),E277+1,0)</f>
        <v>1</v>
      </c>
      <c r="F278">
        <f t="shared" si="26"/>
        <v>1</v>
      </c>
    </row>
    <row r="279" spans="1:6">
      <c r="A279" s="1">
        <v>44839</v>
      </c>
      <c r="B279">
        <v>11.5</v>
      </c>
      <c r="C279">
        <v>0</v>
      </c>
      <c r="D279">
        <f t="shared" si="27"/>
        <v>10</v>
      </c>
      <c r="E279">
        <f>IF(AND(D280=staw3[[#This Row],[Miesiąc]],F279=1),E278+1,0)</f>
        <v>2</v>
      </c>
      <c r="F279">
        <f t="shared" si="26"/>
        <v>1</v>
      </c>
    </row>
    <row r="280" spans="1:6">
      <c r="A280" s="1">
        <v>44840</v>
      </c>
      <c r="B280">
        <v>15.4</v>
      </c>
      <c r="C280">
        <v>0</v>
      </c>
      <c r="D280">
        <f t="shared" si="27"/>
        <v>10</v>
      </c>
      <c r="E280">
        <f>IF(AND(D281=staw3[[#This Row],[Miesiąc]],F280=1),E279+1,0)</f>
        <v>3</v>
      </c>
      <c r="F280">
        <f t="shared" si="26"/>
        <v>1</v>
      </c>
    </row>
    <row r="281" spans="1:6">
      <c r="A281" s="1">
        <v>44841</v>
      </c>
      <c r="B281">
        <v>15.1</v>
      </c>
      <c r="C281">
        <v>0</v>
      </c>
      <c r="D281">
        <f t="shared" si="27"/>
        <v>10</v>
      </c>
      <c r="E281">
        <f>IF(AND(D282=staw3[[#This Row],[Miesiąc]],F281=1),E280+1,0)</f>
        <v>4</v>
      </c>
      <c r="F281">
        <f t="shared" si="26"/>
        <v>1</v>
      </c>
    </row>
    <row r="282" spans="1:6">
      <c r="A282" s="1">
        <v>44842</v>
      </c>
      <c r="B282">
        <v>15.3</v>
      </c>
      <c r="C282">
        <v>0</v>
      </c>
      <c r="D282">
        <f t="shared" si="27"/>
        <v>10</v>
      </c>
      <c r="E282">
        <f>IF(AND(D283=staw3[[#This Row],[Miesiąc]],F282=1),E281+1,0)</f>
        <v>5</v>
      </c>
      <c r="F282">
        <f t="shared" si="26"/>
        <v>1</v>
      </c>
    </row>
    <row r="283" spans="1:6">
      <c r="A283" s="1">
        <v>44843</v>
      </c>
      <c r="B283">
        <v>11.9</v>
      </c>
      <c r="C283">
        <v>0</v>
      </c>
      <c r="D283">
        <f t="shared" si="27"/>
        <v>10</v>
      </c>
      <c r="E283">
        <f>IF(AND(D284=staw3[[#This Row],[Miesiąc]],F283=1),E282+1,0)</f>
        <v>6</v>
      </c>
      <c r="F283">
        <f t="shared" si="26"/>
        <v>1</v>
      </c>
    </row>
    <row r="284" spans="1:6">
      <c r="A284" s="1">
        <v>44844</v>
      </c>
      <c r="B284">
        <v>10.199999999999999</v>
      </c>
      <c r="C284">
        <v>0</v>
      </c>
      <c r="D284">
        <f t="shared" si="27"/>
        <v>10</v>
      </c>
      <c r="E284">
        <f>IF(AND(D285=staw3[[#This Row],[Miesiąc]],F284=1),E283+1,0)</f>
        <v>7</v>
      </c>
      <c r="F284">
        <f t="shared" si="26"/>
        <v>1</v>
      </c>
    </row>
    <row r="285" spans="1:6">
      <c r="A285" s="1">
        <v>44845</v>
      </c>
      <c r="B285">
        <v>10.5</v>
      </c>
      <c r="C285">
        <v>0</v>
      </c>
      <c r="D285">
        <f t="shared" si="27"/>
        <v>10</v>
      </c>
      <c r="E285">
        <f>IF(AND(D286=staw3[[#This Row],[Miesiąc]],F285=1),E284+1,0)</f>
        <v>8</v>
      </c>
      <c r="F285">
        <f t="shared" si="26"/>
        <v>1</v>
      </c>
    </row>
    <row r="286" spans="1:6">
      <c r="A286" s="1">
        <v>44846</v>
      </c>
      <c r="B286">
        <v>7.5</v>
      </c>
      <c r="C286">
        <v>0</v>
      </c>
      <c r="D286">
        <f t="shared" si="27"/>
        <v>10</v>
      </c>
      <c r="E286">
        <f>IF(AND(D287=staw3[[#This Row],[Miesiąc]],F286=1),E285+1,0)</f>
        <v>9</v>
      </c>
      <c r="F286">
        <f t="shared" si="26"/>
        <v>1</v>
      </c>
    </row>
    <row r="287" spans="1:6">
      <c r="A287" s="1">
        <v>44847</v>
      </c>
      <c r="B287">
        <v>8.1999999999999993</v>
      </c>
      <c r="C287">
        <v>0</v>
      </c>
      <c r="D287">
        <f t="shared" si="27"/>
        <v>10</v>
      </c>
      <c r="E287">
        <f>IF(AND(D288=staw3[[#This Row],[Miesiąc]],F287=1),E286+1,0)</f>
        <v>10</v>
      </c>
      <c r="F287">
        <f t="shared" si="26"/>
        <v>1</v>
      </c>
    </row>
    <row r="288" spans="1:6">
      <c r="A288" s="1">
        <v>44848</v>
      </c>
      <c r="B288">
        <v>11.6</v>
      </c>
      <c r="C288">
        <v>0</v>
      </c>
      <c r="D288">
        <f t="shared" si="27"/>
        <v>10</v>
      </c>
      <c r="E288">
        <f>IF(AND(D289=staw3[[#This Row],[Miesiąc]],F288=1),E287+1,0)</f>
        <v>11</v>
      </c>
      <c r="F288">
        <f t="shared" si="26"/>
        <v>1</v>
      </c>
    </row>
    <row r="289" spans="1:6">
      <c r="A289" s="1">
        <v>44849</v>
      </c>
      <c r="B289">
        <v>14.9</v>
      </c>
      <c r="C289">
        <v>0</v>
      </c>
      <c r="D289">
        <f t="shared" si="27"/>
        <v>10</v>
      </c>
      <c r="E289">
        <f>IF(AND(D290=staw3[[#This Row],[Miesiąc]],F289=1),E288+1,0)</f>
        <v>12</v>
      </c>
      <c r="F289">
        <f t="shared" si="26"/>
        <v>1</v>
      </c>
    </row>
    <row r="290" spans="1:6">
      <c r="A290" s="1">
        <v>44850</v>
      </c>
      <c r="B290">
        <v>16.100000000000001</v>
      </c>
      <c r="C290">
        <v>0</v>
      </c>
      <c r="D290">
        <f t="shared" si="27"/>
        <v>10</v>
      </c>
      <c r="E290">
        <f>IF(AND(D291=staw3[[#This Row],[Miesiąc]],F290=1),E289+1,0)</f>
        <v>13</v>
      </c>
      <c r="F290">
        <f t="shared" si="26"/>
        <v>1</v>
      </c>
    </row>
    <row r="291" spans="1:6">
      <c r="A291" s="1">
        <v>44851</v>
      </c>
      <c r="B291">
        <v>16.600000000000001</v>
      </c>
      <c r="C291">
        <v>0</v>
      </c>
      <c r="D291">
        <f t="shared" si="27"/>
        <v>10</v>
      </c>
      <c r="E291">
        <f>IF(AND(D292=staw3[[#This Row],[Miesiąc]],F291=1),E290+1,0)</f>
        <v>14</v>
      </c>
      <c r="F291">
        <f t="shared" si="26"/>
        <v>1</v>
      </c>
    </row>
    <row r="292" spans="1:6">
      <c r="A292" s="1">
        <v>44852</v>
      </c>
      <c r="B292">
        <v>16.8</v>
      </c>
      <c r="C292">
        <v>0</v>
      </c>
      <c r="D292">
        <f t="shared" si="27"/>
        <v>10</v>
      </c>
      <c r="E292">
        <f>IF(AND(D293=staw3[[#This Row],[Miesiąc]],F292=1),E291+1,0)</f>
        <v>15</v>
      </c>
      <c r="F292">
        <f t="shared" si="26"/>
        <v>1</v>
      </c>
    </row>
    <row r="293" spans="1:6">
      <c r="A293" s="1">
        <v>44853</v>
      </c>
      <c r="B293">
        <v>11.6</v>
      </c>
      <c r="C293">
        <v>2</v>
      </c>
      <c r="D293">
        <f t="shared" si="27"/>
        <v>10</v>
      </c>
      <c r="E293">
        <f>IF(AND(D294=staw3[[#This Row],[Miesiąc]],F293=1),E292+1,0)</f>
        <v>0</v>
      </c>
      <c r="F293">
        <f t="shared" si="26"/>
        <v>0</v>
      </c>
    </row>
    <row r="294" spans="1:6">
      <c r="A294" s="1">
        <v>44854</v>
      </c>
      <c r="B294">
        <v>5.5</v>
      </c>
      <c r="C294">
        <v>0</v>
      </c>
      <c r="D294">
        <f t="shared" si="27"/>
        <v>10</v>
      </c>
      <c r="E294">
        <f>IF(AND(D295=staw3[[#This Row],[Miesiąc]],F294=1),E293+1,0)</f>
        <v>1</v>
      </c>
      <c r="F294">
        <f t="shared" si="26"/>
        <v>1</v>
      </c>
    </row>
    <row r="295" spans="1:6">
      <c r="A295" s="1">
        <v>44855</v>
      </c>
      <c r="B295">
        <v>7.5</v>
      </c>
      <c r="C295">
        <v>0</v>
      </c>
      <c r="D295">
        <f t="shared" si="27"/>
        <v>10</v>
      </c>
      <c r="E295">
        <f>IF(AND(D296=staw3[[#This Row],[Miesiąc]],F295=1),E294+1,0)</f>
        <v>2</v>
      </c>
      <c r="F295">
        <f t="shared" si="26"/>
        <v>1</v>
      </c>
    </row>
    <row r="296" spans="1:6">
      <c r="A296" s="1">
        <v>44856</v>
      </c>
      <c r="B296">
        <v>11.4</v>
      </c>
      <c r="C296">
        <v>0</v>
      </c>
      <c r="D296">
        <f t="shared" si="27"/>
        <v>10</v>
      </c>
      <c r="E296">
        <f>IF(AND(D297=staw3[[#This Row],[Miesiąc]],F296=1),E295+1,0)</f>
        <v>3</v>
      </c>
      <c r="F296">
        <f t="shared" si="26"/>
        <v>1</v>
      </c>
    </row>
    <row r="297" spans="1:6">
      <c r="A297" s="1">
        <v>44857</v>
      </c>
      <c r="B297">
        <v>14.2</v>
      </c>
      <c r="C297">
        <v>0</v>
      </c>
      <c r="D297">
        <f t="shared" si="27"/>
        <v>10</v>
      </c>
      <c r="E297">
        <f>IF(AND(D298=staw3[[#This Row],[Miesiąc]],F297=1),E296+1,0)</f>
        <v>4</v>
      </c>
      <c r="F297">
        <f t="shared" si="26"/>
        <v>1</v>
      </c>
    </row>
    <row r="298" spans="1:6">
      <c r="A298" s="1">
        <v>44858</v>
      </c>
      <c r="B298">
        <v>14.5</v>
      </c>
      <c r="C298">
        <v>0</v>
      </c>
      <c r="D298">
        <f t="shared" si="27"/>
        <v>10</v>
      </c>
      <c r="E298">
        <f>IF(AND(D299=staw3[[#This Row],[Miesiąc]],F298=1),E297+1,0)</f>
        <v>5</v>
      </c>
      <c r="F298">
        <f t="shared" si="26"/>
        <v>1</v>
      </c>
    </row>
    <row r="299" spans="1:6">
      <c r="A299" s="1">
        <v>44859</v>
      </c>
      <c r="B299">
        <v>14.3</v>
      </c>
      <c r="C299">
        <v>12</v>
      </c>
      <c r="D299">
        <f t="shared" si="27"/>
        <v>10</v>
      </c>
      <c r="E299">
        <f>IF(AND(D300=staw3[[#This Row],[Miesiąc]],F299=1),E298+1,0)</f>
        <v>0</v>
      </c>
      <c r="F299">
        <f t="shared" si="26"/>
        <v>0</v>
      </c>
    </row>
    <row r="300" spans="1:6">
      <c r="A300" s="1">
        <v>44860</v>
      </c>
      <c r="B300">
        <v>13.6</v>
      </c>
      <c r="C300">
        <v>0</v>
      </c>
      <c r="D300">
        <f t="shared" si="27"/>
        <v>10</v>
      </c>
      <c r="E300">
        <f>IF(AND(D301=staw3[[#This Row],[Miesiąc]],F300=1),E299+1,0)</f>
        <v>1</v>
      </c>
      <c r="F300">
        <f t="shared" si="26"/>
        <v>1</v>
      </c>
    </row>
    <row r="301" spans="1:6">
      <c r="A301" s="1">
        <v>44861</v>
      </c>
      <c r="B301">
        <v>12</v>
      </c>
      <c r="C301">
        <v>0</v>
      </c>
      <c r="D301">
        <f t="shared" si="27"/>
        <v>10</v>
      </c>
      <c r="E301">
        <f>IF(AND(D302=staw3[[#This Row],[Miesiąc]],F301=1),E300+1,0)</f>
        <v>2</v>
      </c>
      <c r="F301">
        <f t="shared" si="26"/>
        <v>1</v>
      </c>
    </row>
    <row r="302" spans="1:6">
      <c r="A302" s="1">
        <v>44862</v>
      </c>
      <c r="B302">
        <v>13.1</v>
      </c>
      <c r="C302">
        <v>0</v>
      </c>
      <c r="D302">
        <f t="shared" si="27"/>
        <v>10</v>
      </c>
      <c r="E302">
        <f>IF(AND(D303=staw3[[#This Row],[Miesiąc]],F302=1),E301+1,0)</f>
        <v>3</v>
      </c>
      <c r="F302">
        <f t="shared" si="26"/>
        <v>1</v>
      </c>
    </row>
    <row r="303" spans="1:6">
      <c r="A303" s="1">
        <v>44863</v>
      </c>
      <c r="B303">
        <v>14.3</v>
      </c>
      <c r="C303">
        <v>0</v>
      </c>
      <c r="D303">
        <f t="shared" si="27"/>
        <v>10</v>
      </c>
      <c r="E303">
        <f>IF(AND(D304=staw3[[#This Row],[Miesiąc]],F303=1),E302+1,0)</f>
        <v>4</v>
      </c>
      <c r="F303">
        <f t="shared" si="26"/>
        <v>1</v>
      </c>
    </row>
    <row r="304" spans="1:6">
      <c r="A304" s="1">
        <v>44864</v>
      </c>
      <c r="B304">
        <v>13.8</v>
      </c>
      <c r="C304">
        <v>0</v>
      </c>
      <c r="D304">
        <f t="shared" si="27"/>
        <v>10</v>
      </c>
      <c r="E304">
        <f>IF(AND(D305=staw3[[#This Row],[Miesiąc]],F304=1),E303+1,0)</f>
        <v>5</v>
      </c>
      <c r="F304">
        <f t="shared" si="26"/>
        <v>1</v>
      </c>
    </row>
    <row r="305" spans="1:6">
      <c r="A305" s="1">
        <v>44865</v>
      </c>
      <c r="B305">
        <v>13.4</v>
      </c>
      <c r="C305">
        <v>0</v>
      </c>
      <c r="D305">
        <f t="shared" si="27"/>
        <v>10</v>
      </c>
      <c r="E305">
        <f>IF(AND(D306=staw3[[#This Row],[Miesiąc]],F305=1),E304+1,0)</f>
        <v>0</v>
      </c>
      <c r="F305">
        <f t="shared" si="26"/>
        <v>1</v>
      </c>
    </row>
    <row r="306" spans="1:6">
      <c r="A306" s="1">
        <v>44866</v>
      </c>
      <c r="B306">
        <v>11.4</v>
      </c>
      <c r="C306">
        <v>0</v>
      </c>
      <c r="D306">
        <f t="shared" si="27"/>
        <v>11</v>
      </c>
      <c r="E306">
        <f>IF(AND(D307=staw3[[#This Row],[Miesiąc]],F306=1),E305+1,0)</f>
        <v>1</v>
      </c>
      <c r="F306">
        <f t="shared" si="26"/>
        <v>1</v>
      </c>
    </row>
    <row r="307" spans="1:6">
      <c r="A307" s="1">
        <v>44867</v>
      </c>
      <c r="B307">
        <v>13.2</v>
      </c>
      <c r="C307">
        <v>0</v>
      </c>
      <c r="D307">
        <f t="shared" si="27"/>
        <v>11</v>
      </c>
      <c r="E307">
        <f>IF(AND(D308=staw3[[#This Row],[Miesiąc]],F307=1),E306+1,0)</f>
        <v>2</v>
      </c>
      <c r="F307">
        <f t="shared" si="26"/>
        <v>1</v>
      </c>
    </row>
    <row r="308" spans="1:6">
      <c r="A308" s="1">
        <v>44868</v>
      </c>
      <c r="B308">
        <v>11</v>
      </c>
      <c r="C308">
        <v>0</v>
      </c>
      <c r="D308">
        <f t="shared" si="27"/>
        <v>11</v>
      </c>
      <c r="E308">
        <f>IF(AND(D309=staw3[[#This Row],[Miesiąc]],F308=1),E307+1,0)</f>
        <v>3</v>
      </c>
      <c r="F308">
        <f t="shared" si="26"/>
        <v>1</v>
      </c>
    </row>
    <row r="309" spans="1:6">
      <c r="A309" s="1">
        <v>44869</v>
      </c>
      <c r="B309">
        <v>12.4</v>
      </c>
      <c r="C309">
        <v>0</v>
      </c>
      <c r="D309">
        <f t="shared" si="27"/>
        <v>11</v>
      </c>
      <c r="E309">
        <f>IF(AND(D310=staw3[[#This Row],[Miesiąc]],F309=1),E308+1,0)</f>
        <v>4</v>
      </c>
      <c r="F309">
        <f t="shared" si="26"/>
        <v>1</v>
      </c>
    </row>
    <row r="310" spans="1:6">
      <c r="A310" s="1">
        <v>44870</v>
      </c>
      <c r="B310">
        <v>9.8000000000000007</v>
      </c>
      <c r="C310">
        <v>9</v>
      </c>
      <c r="D310">
        <f t="shared" si="27"/>
        <v>11</v>
      </c>
      <c r="E310">
        <f>IF(AND(D311=staw3[[#This Row],[Miesiąc]],F310=1),E309+1,0)</f>
        <v>0</v>
      </c>
      <c r="F310">
        <f t="shared" si="26"/>
        <v>0</v>
      </c>
    </row>
    <row r="311" spans="1:6">
      <c r="A311" s="1">
        <v>44871</v>
      </c>
      <c r="B311">
        <v>8.6</v>
      </c>
      <c r="C311">
        <v>0</v>
      </c>
      <c r="D311">
        <f t="shared" si="27"/>
        <v>11</v>
      </c>
      <c r="E311">
        <f>IF(AND(D312=staw3[[#This Row],[Miesiąc]],F311=1),E310+1,0)</f>
        <v>1</v>
      </c>
      <c r="F311">
        <f t="shared" si="26"/>
        <v>1</v>
      </c>
    </row>
    <row r="312" spans="1:6">
      <c r="A312" s="1">
        <v>44872</v>
      </c>
      <c r="B312">
        <v>9.3000000000000007</v>
      </c>
      <c r="C312">
        <v>0</v>
      </c>
      <c r="D312">
        <f t="shared" si="27"/>
        <v>11</v>
      </c>
      <c r="E312">
        <f>IF(AND(D313=staw3[[#This Row],[Miesiąc]],F312=1),E311+1,0)</f>
        <v>2</v>
      </c>
      <c r="F312">
        <f t="shared" si="26"/>
        <v>1</v>
      </c>
    </row>
    <row r="313" spans="1:6">
      <c r="A313" s="1">
        <v>44873</v>
      </c>
      <c r="B313">
        <v>9.3000000000000007</v>
      </c>
      <c r="C313">
        <v>0</v>
      </c>
      <c r="D313">
        <f t="shared" si="27"/>
        <v>11</v>
      </c>
      <c r="E313">
        <f>IF(AND(D314=staw3[[#This Row],[Miesiąc]],F313=1),E312+1,0)</f>
        <v>3</v>
      </c>
      <c r="F313">
        <f t="shared" si="26"/>
        <v>1</v>
      </c>
    </row>
    <row r="314" spans="1:6">
      <c r="A314" s="1">
        <v>44874</v>
      </c>
      <c r="B314">
        <v>10</v>
      </c>
      <c r="C314">
        <v>0</v>
      </c>
      <c r="D314">
        <f t="shared" si="27"/>
        <v>11</v>
      </c>
      <c r="E314">
        <f>IF(AND(D315=staw3[[#This Row],[Miesiąc]],F314=1),E313+1,0)</f>
        <v>4</v>
      </c>
      <c r="F314">
        <f t="shared" si="26"/>
        <v>1</v>
      </c>
    </row>
    <row r="315" spans="1:6">
      <c r="A315" s="1">
        <v>44875</v>
      </c>
      <c r="B315">
        <v>7.7</v>
      </c>
      <c r="C315">
        <v>0</v>
      </c>
      <c r="D315">
        <f t="shared" si="27"/>
        <v>11</v>
      </c>
      <c r="E315">
        <f>IF(AND(D316=staw3[[#This Row],[Miesiąc]],F315=1),E314+1,0)</f>
        <v>5</v>
      </c>
      <c r="F315">
        <f t="shared" si="26"/>
        <v>1</v>
      </c>
    </row>
    <row r="316" spans="1:6">
      <c r="A316" s="1">
        <v>44876</v>
      </c>
      <c r="B316">
        <v>9.8000000000000007</v>
      </c>
      <c r="C316">
        <v>0</v>
      </c>
      <c r="D316">
        <f t="shared" si="27"/>
        <v>11</v>
      </c>
      <c r="E316">
        <f>IF(AND(D317=staw3[[#This Row],[Miesiąc]],F316=1),E315+1,0)</f>
        <v>6</v>
      </c>
      <c r="F316">
        <f t="shared" si="26"/>
        <v>1</v>
      </c>
    </row>
    <row r="317" spans="1:6">
      <c r="A317" s="1">
        <v>44877</v>
      </c>
      <c r="B317">
        <v>9.1</v>
      </c>
      <c r="C317">
        <v>0</v>
      </c>
      <c r="D317">
        <f t="shared" si="27"/>
        <v>11</v>
      </c>
      <c r="E317">
        <f>IF(AND(D318=staw3[[#This Row],[Miesiąc]],F317=1),E316+1,0)</f>
        <v>7</v>
      </c>
      <c r="F317">
        <f t="shared" si="26"/>
        <v>1</v>
      </c>
    </row>
    <row r="318" spans="1:6">
      <c r="A318" s="1">
        <v>44878</v>
      </c>
      <c r="B318">
        <v>6.4</v>
      </c>
      <c r="C318">
        <v>0</v>
      </c>
      <c r="D318">
        <f t="shared" si="27"/>
        <v>11</v>
      </c>
      <c r="E318">
        <f>IF(AND(D319=staw3[[#This Row],[Miesiąc]],F318=1),E317+1,0)</f>
        <v>8</v>
      </c>
      <c r="F318">
        <f t="shared" si="26"/>
        <v>1</v>
      </c>
    </row>
    <row r="319" spans="1:6">
      <c r="A319" s="1">
        <v>44879</v>
      </c>
      <c r="B319">
        <v>6</v>
      </c>
      <c r="C319">
        <v>0</v>
      </c>
      <c r="D319">
        <f t="shared" si="27"/>
        <v>11</v>
      </c>
      <c r="E319">
        <f>IF(AND(D320=staw3[[#This Row],[Miesiąc]],F319=1),E318+1,0)</f>
        <v>9</v>
      </c>
      <c r="F319">
        <f t="shared" si="26"/>
        <v>1</v>
      </c>
    </row>
    <row r="320" spans="1:6">
      <c r="A320" s="1">
        <v>44880</v>
      </c>
      <c r="B320">
        <v>7.5</v>
      </c>
      <c r="C320">
        <v>0</v>
      </c>
      <c r="D320">
        <f t="shared" si="27"/>
        <v>11</v>
      </c>
      <c r="E320">
        <f>IF(AND(D321=staw3[[#This Row],[Miesiąc]],F320=1),E319+1,0)</f>
        <v>10</v>
      </c>
      <c r="F320">
        <f t="shared" si="26"/>
        <v>1</v>
      </c>
    </row>
    <row r="321" spans="1:6">
      <c r="A321" s="1">
        <v>44881</v>
      </c>
      <c r="B321">
        <v>5.9</v>
      </c>
      <c r="C321">
        <v>7</v>
      </c>
      <c r="D321">
        <f t="shared" si="27"/>
        <v>11</v>
      </c>
      <c r="E321">
        <f>IF(AND(D322=staw3[[#This Row],[Miesiąc]],F321=1),E320+1,0)</f>
        <v>0</v>
      </c>
      <c r="F321">
        <f t="shared" si="26"/>
        <v>0</v>
      </c>
    </row>
    <row r="322" spans="1:6">
      <c r="A322" s="1">
        <v>44882</v>
      </c>
      <c r="B322">
        <v>1.2</v>
      </c>
      <c r="C322">
        <v>3</v>
      </c>
      <c r="D322">
        <f t="shared" si="27"/>
        <v>11</v>
      </c>
      <c r="E322">
        <f>IF(AND(D323=staw3[[#This Row],[Miesiąc]],F322=1),E321+1,0)</f>
        <v>0</v>
      </c>
      <c r="F322">
        <f t="shared" ref="F322:F366" si="28">IF(C322=0,1,0)</f>
        <v>0</v>
      </c>
    </row>
    <row r="323" spans="1:6">
      <c r="A323" s="1">
        <v>44883</v>
      </c>
      <c r="B323">
        <v>-1</v>
      </c>
      <c r="C323">
        <v>0</v>
      </c>
      <c r="D323">
        <f t="shared" ref="D323:D366" si="29">MONTH(A323)</f>
        <v>11</v>
      </c>
      <c r="E323">
        <f>IF(AND(D324=staw3[[#This Row],[Miesiąc]],F323=1),E322+1,0)</f>
        <v>1</v>
      </c>
      <c r="F323">
        <f t="shared" si="28"/>
        <v>1</v>
      </c>
    </row>
    <row r="324" spans="1:6">
      <c r="A324" s="1">
        <v>44884</v>
      </c>
      <c r="B324">
        <v>-2.2999999999999998</v>
      </c>
      <c r="C324">
        <v>0</v>
      </c>
      <c r="D324">
        <f t="shared" si="29"/>
        <v>11</v>
      </c>
      <c r="E324">
        <f>IF(AND(D325=staw3[[#This Row],[Miesiąc]],F324=1),E323+1,0)</f>
        <v>2</v>
      </c>
      <c r="F324">
        <f t="shared" si="28"/>
        <v>1</v>
      </c>
    </row>
    <row r="325" spans="1:6">
      <c r="A325" s="1">
        <v>44885</v>
      </c>
      <c r="B325">
        <v>-2.8</v>
      </c>
      <c r="C325">
        <v>0</v>
      </c>
      <c r="D325">
        <f t="shared" si="29"/>
        <v>11</v>
      </c>
      <c r="E325">
        <f>IF(AND(D326=staw3[[#This Row],[Miesiąc]],F325=1),E324+1,0)</f>
        <v>3</v>
      </c>
      <c r="F325">
        <f t="shared" si="28"/>
        <v>1</v>
      </c>
    </row>
    <row r="326" spans="1:6">
      <c r="A326" s="1">
        <v>44886</v>
      </c>
      <c r="B326">
        <v>0.8</v>
      </c>
      <c r="C326">
        <v>1</v>
      </c>
      <c r="D326">
        <f t="shared" si="29"/>
        <v>11</v>
      </c>
      <c r="E326">
        <f>IF(AND(D327=staw3[[#This Row],[Miesiąc]],F326=1),E325+1,0)</f>
        <v>0</v>
      </c>
      <c r="F326">
        <f t="shared" si="28"/>
        <v>0</v>
      </c>
    </row>
    <row r="327" spans="1:6">
      <c r="A327" s="1">
        <v>44887</v>
      </c>
      <c r="B327">
        <v>2.8</v>
      </c>
      <c r="C327">
        <v>0</v>
      </c>
      <c r="D327">
        <f t="shared" si="29"/>
        <v>11</v>
      </c>
      <c r="E327">
        <f>IF(AND(D328=staw3[[#This Row],[Miesiąc]],F327=1),E326+1,0)</f>
        <v>1</v>
      </c>
      <c r="F327">
        <f t="shared" si="28"/>
        <v>1</v>
      </c>
    </row>
    <row r="328" spans="1:6">
      <c r="A328" s="1">
        <v>44888</v>
      </c>
      <c r="B328">
        <v>-0.1</v>
      </c>
      <c r="C328">
        <v>0</v>
      </c>
      <c r="D328">
        <f t="shared" si="29"/>
        <v>11</v>
      </c>
      <c r="E328">
        <f>IF(AND(D329=staw3[[#This Row],[Miesiąc]],F328=1),E327+1,0)</f>
        <v>2</v>
      </c>
      <c r="F328">
        <f t="shared" si="28"/>
        <v>1</v>
      </c>
    </row>
    <row r="329" spans="1:6">
      <c r="A329" s="1">
        <v>44889</v>
      </c>
      <c r="B329">
        <v>0.1</v>
      </c>
      <c r="C329">
        <v>1</v>
      </c>
      <c r="D329">
        <f t="shared" si="29"/>
        <v>11</v>
      </c>
      <c r="E329">
        <f>IF(AND(D330=staw3[[#This Row],[Miesiąc]],F329=1),E328+1,0)</f>
        <v>0</v>
      </c>
      <c r="F329">
        <f t="shared" si="28"/>
        <v>0</v>
      </c>
    </row>
    <row r="330" spans="1:6">
      <c r="A330" s="1">
        <v>44890</v>
      </c>
      <c r="B330">
        <v>1.3</v>
      </c>
      <c r="C330">
        <v>0</v>
      </c>
      <c r="D330">
        <f t="shared" si="29"/>
        <v>11</v>
      </c>
      <c r="E330">
        <f>IF(AND(D331=staw3[[#This Row],[Miesiąc]],F330=1),E329+1,0)</f>
        <v>1</v>
      </c>
      <c r="F330">
        <f t="shared" si="28"/>
        <v>1</v>
      </c>
    </row>
    <row r="331" spans="1:6">
      <c r="A331" s="1">
        <v>44891</v>
      </c>
      <c r="B331">
        <v>4.5</v>
      </c>
      <c r="C331">
        <v>0</v>
      </c>
      <c r="D331">
        <f t="shared" si="29"/>
        <v>11</v>
      </c>
      <c r="E331">
        <f>IF(AND(D332=staw3[[#This Row],[Miesiąc]],F331=1),E330+1,0)</f>
        <v>2</v>
      </c>
      <c r="F331">
        <f t="shared" si="28"/>
        <v>1</v>
      </c>
    </row>
    <row r="332" spans="1:6">
      <c r="A332" s="1">
        <v>44892</v>
      </c>
      <c r="B332">
        <v>2.2999999999999998</v>
      </c>
      <c r="C332">
        <v>0</v>
      </c>
      <c r="D332">
        <f t="shared" si="29"/>
        <v>11</v>
      </c>
      <c r="E332">
        <f>IF(AND(D333=staw3[[#This Row],[Miesiąc]],F332=1),E331+1,0)</f>
        <v>3</v>
      </c>
      <c r="F332">
        <f t="shared" si="28"/>
        <v>1</v>
      </c>
    </row>
    <row r="333" spans="1:6">
      <c r="A333" s="1">
        <v>44893</v>
      </c>
      <c r="B333">
        <v>2.1</v>
      </c>
      <c r="C333">
        <v>0</v>
      </c>
      <c r="D333">
        <f t="shared" si="29"/>
        <v>11</v>
      </c>
      <c r="E333">
        <f>IF(AND(D334=staw3[[#This Row],[Miesiąc]],F333=1),E332+1,0)</f>
        <v>4</v>
      </c>
      <c r="F333">
        <f t="shared" si="28"/>
        <v>1</v>
      </c>
    </row>
    <row r="334" spans="1:6">
      <c r="A334" s="1">
        <v>44894</v>
      </c>
      <c r="B334">
        <v>0.2</v>
      </c>
      <c r="C334">
        <v>0</v>
      </c>
      <c r="D334">
        <f t="shared" si="29"/>
        <v>11</v>
      </c>
      <c r="E334">
        <f>IF(AND(D335=staw3[[#This Row],[Miesiąc]],F334=1),E333+1,0)</f>
        <v>5</v>
      </c>
      <c r="F334">
        <f t="shared" si="28"/>
        <v>1</v>
      </c>
    </row>
    <row r="335" spans="1:6">
      <c r="A335" s="1">
        <v>44895</v>
      </c>
      <c r="B335">
        <v>-0.5</v>
      </c>
      <c r="C335">
        <v>0</v>
      </c>
      <c r="D335">
        <f t="shared" si="29"/>
        <v>11</v>
      </c>
      <c r="E335">
        <f>IF(AND(D336=staw3[[#This Row],[Miesiąc]],F335=1),E334+1,0)</f>
        <v>0</v>
      </c>
      <c r="F335">
        <f t="shared" si="28"/>
        <v>1</v>
      </c>
    </row>
    <row r="336" spans="1:6">
      <c r="A336" s="1">
        <v>44896</v>
      </c>
      <c r="B336">
        <v>0.9</v>
      </c>
      <c r="C336">
        <v>0</v>
      </c>
      <c r="D336">
        <f t="shared" si="29"/>
        <v>12</v>
      </c>
      <c r="E336">
        <f>IF(AND(D337=staw3[[#This Row],[Miesiąc]],F336=1),E335+1,0)</f>
        <v>1</v>
      </c>
      <c r="F336">
        <f t="shared" si="28"/>
        <v>1</v>
      </c>
    </row>
    <row r="337" spans="1:6">
      <c r="A337" s="1">
        <v>44897</v>
      </c>
      <c r="B337">
        <v>-1</v>
      </c>
      <c r="C337">
        <v>0</v>
      </c>
      <c r="D337">
        <f t="shared" si="29"/>
        <v>12</v>
      </c>
      <c r="E337">
        <f>IF(AND(D338=staw3[[#This Row],[Miesiąc]],F337=1),E336+1,0)</f>
        <v>2</v>
      </c>
      <c r="F337">
        <f t="shared" si="28"/>
        <v>1</v>
      </c>
    </row>
    <row r="338" spans="1:6">
      <c r="A338" s="1">
        <v>44898</v>
      </c>
      <c r="B338">
        <v>0.4</v>
      </c>
      <c r="C338">
        <v>0</v>
      </c>
      <c r="D338">
        <f t="shared" si="29"/>
        <v>12</v>
      </c>
      <c r="E338">
        <f>IF(AND(D339=staw3[[#This Row],[Miesiąc]],F338=1),E337+1,0)</f>
        <v>3</v>
      </c>
      <c r="F338">
        <f t="shared" si="28"/>
        <v>1</v>
      </c>
    </row>
    <row r="339" spans="1:6">
      <c r="A339" s="1">
        <v>44899</v>
      </c>
      <c r="B339">
        <v>2.1</v>
      </c>
      <c r="C339">
        <v>0</v>
      </c>
      <c r="D339">
        <f t="shared" si="29"/>
        <v>12</v>
      </c>
      <c r="E339">
        <f>IF(AND(D340=staw3[[#This Row],[Miesiąc]],F339=1),E338+1,0)</f>
        <v>4</v>
      </c>
      <c r="F339">
        <f t="shared" si="28"/>
        <v>1</v>
      </c>
    </row>
    <row r="340" spans="1:6">
      <c r="A340" s="1">
        <v>44900</v>
      </c>
      <c r="B340">
        <v>4.5</v>
      </c>
      <c r="C340">
        <v>0</v>
      </c>
      <c r="D340">
        <f t="shared" si="29"/>
        <v>12</v>
      </c>
      <c r="E340">
        <f>IF(AND(D341=staw3[[#This Row],[Miesiąc]],F340=1),E339+1,0)</f>
        <v>5</v>
      </c>
      <c r="F340">
        <f t="shared" si="28"/>
        <v>1</v>
      </c>
    </row>
    <row r="341" spans="1:6">
      <c r="A341" s="1">
        <v>44901</v>
      </c>
      <c r="B341">
        <v>2.8</v>
      </c>
      <c r="C341">
        <v>7</v>
      </c>
      <c r="D341">
        <f t="shared" si="29"/>
        <v>12</v>
      </c>
      <c r="E341">
        <f>IF(AND(D342=staw3[[#This Row],[Miesiąc]],F341=1),E340+1,0)</f>
        <v>0</v>
      </c>
      <c r="F341">
        <f t="shared" si="28"/>
        <v>0</v>
      </c>
    </row>
    <row r="342" spans="1:6">
      <c r="A342" s="1">
        <v>44902</v>
      </c>
      <c r="B342">
        <v>2.5</v>
      </c>
      <c r="C342">
        <v>1</v>
      </c>
      <c r="D342">
        <f t="shared" si="29"/>
        <v>12</v>
      </c>
      <c r="E342">
        <f>IF(AND(D343=staw3[[#This Row],[Miesiąc]],F342=1),E341+1,0)</f>
        <v>0</v>
      </c>
      <c r="F342">
        <f t="shared" si="28"/>
        <v>0</v>
      </c>
    </row>
    <row r="343" spans="1:6">
      <c r="A343" s="1">
        <v>44903</v>
      </c>
      <c r="B343">
        <v>2.2999999999999998</v>
      </c>
      <c r="C343">
        <v>0</v>
      </c>
      <c r="D343">
        <f t="shared" si="29"/>
        <v>12</v>
      </c>
      <c r="E343">
        <f>IF(AND(D344=staw3[[#This Row],[Miesiąc]],F343=1),E342+1,0)</f>
        <v>1</v>
      </c>
      <c r="F343">
        <f t="shared" si="28"/>
        <v>1</v>
      </c>
    </row>
    <row r="344" spans="1:6">
      <c r="A344" s="1">
        <v>44904</v>
      </c>
      <c r="B344">
        <v>2.2000000000000002</v>
      </c>
      <c r="C344">
        <v>14</v>
      </c>
      <c r="D344">
        <f t="shared" si="29"/>
        <v>12</v>
      </c>
      <c r="E344">
        <f>IF(AND(D345=staw3[[#This Row],[Miesiąc]],F344=1),E343+1,0)</f>
        <v>0</v>
      </c>
      <c r="F344">
        <f t="shared" si="28"/>
        <v>0</v>
      </c>
    </row>
    <row r="345" spans="1:6">
      <c r="A345" s="1">
        <v>44905</v>
      </c>
      <c r="B345">
        <v>0.6</v>
      </c>
      <c r="C345">
        <v>0</v>
      </c>
      <c r="D345">
        <f t="shared" si="29"/>
        <v>12</v>
      </c>
      <c r="E345">
        <f>IF(AND(D346=staw3[[#This Row],[Miesiąc]],F345=1),E344+1,0)</f>
        <v>1</v>
      </c>
      <c r="F345">
        <f t="shared" si="28"/>
        <v>1</v>
      </c>
    </row>
    <row r="346" spans="1:6">
      <c r="A346" s="1">
        <v>44906</v>
      </c>
      <c r="B346">
        <v>-1.9</v>
      </c>
      <c r="C346">
        <v>0</v>
      </c>
      <c r="D346">
        <f t="shared" si="29"/>
        <v>12</v>
      </c>
      <c r="E346">
        <f>IF(AND(D347=staw3[[#This Row],[Miesiąc]],F346=1),E345+1,0)</f>
        <v>2</v>
      </c>
      <c r="F346">
        <f t="shared" si="28"/>
        <v>1</v>
      </c>
    </row>
    <row r="347" spans="1:6">
      <c r="A347" s="1">
        <v>44907</v>
      </c>
      <c r="B347">
        <v>-2.6</v>
      </c>
      <c r="C347">
        <v>0</v>
      </c>
      <c r="D347">
        <f t="shared" si="29"/>
        <v>12</v>
      </c>
      <c r="E347">
        <f>IF(AND(D348=staw3[[#This Row],[Miesiąc]],F347=1),E346+1,0)</f>
        <v>3</v>
      </c>
      <c r="F347">
        <f t="shared" si="28"/>
        <v>1</v>
      </c>
    </row>
    <row r="348" spans="1:6">
      <c r="A348" s="1">
        <v>44908</v>
      </c>
      <c r="B348">
        <v>-3.1</v>
      </c>
      <c r="C348">
        <v>0</v>
      </c>
      <c r="D348">
        <f t="shared" si="29"/>
        <v>12</v>
      </c>
      <c r="E348">
        <f>IF(AND(D349=staw3[[#This Row],[Miesiąc]],F348=1),E347+1,0)</f>
        <v>4</v>
      </c>
      <c r="F348">
        <f t="shared" si="28"/>
        <v>1</v>
      </c>
    </row>
    <row r="349" spans="1:6">
      <c r="A349" s="1">
        <v>44909</v>
      </c>
      <c r="B349">
        <v>-4.5999999999999996</v>
      </c>
      <c r="C349">
        <v>0</v>
      </c>
      <c r="D349">
        <f t="shared" si="29"/>
        <v>12</v>
      </c>
      <c r="E349">
        <f>IF(AND(D350=staw3[[#This Row],[Miesiąc]],F349=1),E348+1,0)</f>
        <v>5</v>
      </c>
      <c r="F349">
        <f t="shared" si="28"/>
        <v>1</v>
      </c>
    </row>
    <row r="350" spans="1:6">
      <c r="A350" s="1">
        <v>44910</v>
      </c>
      <c r="B350">
        <v>-1.6</v>
      </c>
      <c r="C350">
        <v>0</v>
      </c>
      <c r="D350">
        <f t="shared" si="29"/>
        <v>12</v>
      </c>
      <c r="E350">
        <f>IF(AND(D351=staw3[[#This Row],[Miesiąc]],F350=1),E349+1,0)</f>
        <v>6</v>
      </c>
      <c r="F350">
        <f t="shared" si="28"/>
        <v>1</v>
      </c>
    </row>
    <row r="351" spans="1:6">
      <c r="A351" s="1">
        <v>44911</v>
      </c>
      <c r="B351">
        <v>-0.7</v>
      </c>
      <c r="C351">
        <v>0</v>
      </c>
      <c r="D351">
        <f t="shared" si="29"/>
        <v>12</v>
      </c>
      <c r="E351">
        <f>IF(AND(D352=staw3[[#This Row],[Miesiąc]],F351=1),E350+1,0)</f>
        <v>7</v>
      </c>
      <c r="F351">
        <f t="shared" si="28"/>
        <v>1</v>
      </c>
    </row>
    <row r="352" spans="1:6">
      <c r="A352" s="1">
        <v>44912</v>
      </c>
      <c r="B352">
        <v>-3.3</v>
      </c>
      <c r="C352">
        <v>0</v>
      </c>
      <c r="D352">
        <f t="shared" si="29"/>
        <v>12</v>
      </c>
      <c r="E352">
        <f>IF(AND(D353=staw3[[#This Row],[Miesiąc]],F352=1),E351+1,0)</f>
        <v>8</v>
      </c>
      <c r="F352">
        <f t="shared" si="28"/>
        <v>1</v>
      </c>
    </row>
    <row r="353" spans="1:6">
      <c r="A353" s="1">
        <v>44913</v>
      </c>
      <c r="B353">
        <v>-4.9000000000000004</v>
      </c>
      <c r="C353">
        <v>0</v>
      </c>
      <c r="D353">
        <f t="shared" si="29"/>
        <v>12</v>
      </c>
      <c r="E353">
        <f>IF(AND(D354=staw3[[#This Row],[Miesiąc]],F353=1),E352+1,0)</f>
        <v>9</v>
      </c>
      <c r="F353">
        <f t="shared" si="28"/>
        <v>1</v>
      </c>
    </row>
    <row r="354" spans="1:6">
      <c r="A354" s="1">
        <v>44914</v>
      </c>
      <c r="B354">
        <v>-5.6</v>
      </c>
      <c r="C354">
        <v>0</v>
      </c>
      <c r="D354">
        <f t="shared" si="29"/>
        <v>12</v>
      </c>
      <c r="E354">
        <f>IF(AND(D355=staw3[[#This Row],[Miesiąc]],F354=1),E353+1,0)</f>
        <v>10</v>
      </c>
      <c r="F354">
        <f t="shared" si="28"/>
        <v>1</v>
      </c>
    </row>
    <row r="355" spans="1:6">
      <c r="A355" s="1">
        <v>44915</v>
      </c>
      <c r="B355">
        <v>2.1</v>
      </c>
      <c r="C355">
        <v>5</v>
      </c>
      <c r="D355">
        <f t="shared" si="29"/>
        <v>12</v>
      </c>
      <c r="E355">
        <f>IF(AND(D356=staw3[[#This Row],[Miesiąc]],F355=1),E354+1,0)</f>
        <v>0</v>
      </c>
      <c r="F355">
        <f t="shared" si="28"/>
        <v>0</v>
      </c>
    </row>
    <row r="356" spans="1:6">
      <c r="A356" s="1">
        <v>44916</v>
      </c>
      <c r="B356">
        <v>1.9</v>
      </c>
      <c r="C356">
        <v>8</v>
      </c>
      <c r="D356">
        <f t="shared" si="29"/>
        <v>12</v>
      </c>
      <c r="E356">
        <f>IF(AND(D357=staw3[[#This Row],[Miesiąc]],F356=1),E355+1,0)</f>
        <v>0</v>
      </c>
      <c r="F356">
        <f t="shared" si="28"/>
        <v>0</v>
      </c>
    </row>
    <row r="357" spans="1:6">
      <c r="A357" s="1">
        <v>44917</v>
      </c>
      <c r="B357">
        <v>3.7</v>
      </c>
      <c r="C357">
        <v>0</v>
      </c>
      <c r="D357">
        <f t="shared" si="29"/>
        <v>12</v>
      </c>
      <c r="E357">
        <f>IF(AND(D358=staw3[[#This Row],[Miesiąc]],F357=1),E356+1,0)</f>
        <v>1</v>
      </c>
      <c r="F357">
        <f t="shared" si="28"/>
        <v>1</v>
      </c>
    </row>
    <row r="358" spans="1:6">
      <c r="A358" s="1">
        <v>44918</v>
      </c>
      <c r="B358">
        <v>4.4000000000000004</v>
      </c>
      <c r="C358">
        <v>0</v>
      </c>
      <c r="D358">
        <f t="shared" si="29"/>
        <v>12</v>
      </c>
      <c r="E358">
        <f>IF(AND(D359=staw3[[#This Row],[Miesiąc]],F358=1),E357+1,0)</f>
        <v>2</v>
      </c>
      <c r="F358">
        <f t="shared" si="28"/>
        <v>1</v>
      </c>
    </row>
    <row r="359" spans="1:6">
      <c r="A359" s="1">
        <v>44919</v>
      </c>
      <c r="B359">
        <v>5.8</v>
      </c>
      <c r="C359">
        <v>8</v>
      </c>
      <c r="D359">
        <f t="shared" si="29"/>
        <v>12</v>
      </c>
      <c r="E359">
        <f>IF(AND(D360=staw3[[#This Row],[Miesiąc]],F359=1),E358+1,0)</f>
        <v>0</v>
      </c>
      <c r="F359">
        <f t="shared" si="28"/>
        <v>0</v>
      </c>
    </row>
    <row r="360" spans="1:6">
      <c r="A360" s="1">
        <v>44920</v>
      </c>
      <c r="B360">
        <v>6.2</v>
      </c>
      <c r="C360">
        <v>0</v>
      </c>
      <c r="D360">
        <f t="shared" si="29"/>
        <v>12</v>
      </c>
      <c r="E360">
        <f>IF(AND(D361=staw3[[#This Row],[Miesiąc]],F360=1),E359+1,0)</f>
        <v>1</v>
      </c>
      <c r="F360">
        <f t="shared" si="28"/>
        <v>1</v>
      </c>
    </row>
    <row r="361" spans="1:6">
      <c r="A361" s="1">
        <v>44921</v>
      </c>
      <c r="B361">
        <v>8</v>
      </c>
      <c r="C361">
        <v>0</v>
      </c>
      <c r="D361">
        <f t="shared" si="29"/>
        <v>12</v>
      </c>
      <c r="E361">
        <f>IF(AND(D362=staw3[[#This Row],[Miesiąc]],F361=1),E360+1,0)</f>
        <v>2</v>
      </c>
      <c r="F361">
        <f t="shared" si="28"/>
        <v>1</v>
      </c>
    </row>
    <row r="362" spans="1:6">
      <c r="A362" s="1">
        <v>44922</v>
      </c>
      <c r="B362">
        <v>5.9</v>
      </c>
      <c r="C362">
        <v>0</v>
      </c>
      <c r="D362">
        <f t="shared" si="29"/>
        <v>12</v>
      </c>
      <c r="E362">
        <f>IF(AND(D363=staw3[[#This Row],[Miesiąc]],F362=1),E361+1,0)</f>
        <v>3</v>
      </c>
      <c r="F362">
        <f t="shared" si="28"/>
        <v>1</v>
      </c>
    </row>
    <row r="363" spans="1:6">
      <c r="A363" s="1">
        <v>44923</v>
      </c>
      <c r="B363">
        <v>3.2</v>
      </c>
      <c r="C363">
        <v>0</v>
      </c>
      <c r="D363">
        <f t="shared" si="29"/>
        <v>12</v>
      </c>
      <c r="E363">
        <f>IF(AND(D364=staw3[[#This Row],[Miesiąc]],F363=1),E362+1,0)</f>
        <v>4</v>
      </c>
      <c r="F363">
        <f t="shared" si="28"/>
        <v>1</v>
      </c>
    </row>
    <row r="364" spans="1:6">
      <c r="A364" s="1">
        <v>44924</v>
      </c>
      <c r="B364">
        <v>4.7</v>
      </c>
      <c r="C364">
        <v>0</v>
      </c>
      <c r="D364">
        <f t="shared" si="29"/>
        <v>12</v>
      </c>
      <c r="E364">
        <f>IF(AND(D365=staw3[[#This Row],[Miesiąc]],F364=1),E363+1,0)</f>
        <v>5</v>
      </c>
      <c r="F364">
        <f t="shared" si="28"/>
        <v>1</v>
      </c>
    </row>
    <row r="365" spans="1:6">
      <c r="A365" s="1">
        <v>44925</v>
      </c>
      <c r="B365">
        <v>5.0999999999999996</v>
      </c>
      <c r="C365">
        <v>0</v>
      </c>
      <c r="D365">
        <f t="shared" si="29"/>
        <v>12</v>
      </c>
      <c r="E365">
        <f>IF(AND(D366=staw3[[#This Row],[Miesiąc]],F365=1),E364+1,0)</f>
        <v>6</v>
      </c>
      <c r="F365">
        <f t="shared" si="28"/>
        <v>1</v>
      </c>
    </row>
    <row r="366" spans="1:6">
      <c r="A366" s="1">
        <v>44926</v>
      </c>
      <c r="B366">
        <v>9.3000000000000007</v>
      </c>
      <c r="C366">
        <v>0</v>
      </c>
      <c r="D366">
        <f t="shared" si="29"/>
        <v>12</v>
      </c>
      <c r="E366">
        <f>IF(AND(D367=staw3[[#This Row],[Miesiąc]],F366=1),E365+1,0)</f>
        <v>0</v>
      </c>
      <c r="F366">
        <f t="shared" si="28"/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1943-791D-F04E-B789-E7B14F3F03B2}">
  <dimension ref="A1:F366"/>
  <sheetViews>
    <sheetView workbookViewId="0">
      <selection activeCell="I41" sqref="I41"/>
    </sheetView>
  </sheetViews>
  <sheetFormatPr defaultColWidth="11.42578125" defaultRowHeight="15"/>
  <cols>
    <col min="1" max="1" width="10.140625" bestFit="1" customWidth="1"/>
    <col min="2" max="2" width="8.28515625" bestFit="1" customWidth="1"/>
    <col min="3" max="3" width="9" bestFit="1" customWidth="1"/>
    <col min="4" max="5" width="8.85546875"/>
    <col min="6" max="6" width="9.4257812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s="1">
        <v>44562</v>
      </c>
      <c r="B2">
        <v>9.8000000000000007</v>
      </c>
      <c r="C2">
        <v>5</v>
      </c>
      <c r="D2">
        <f>MONTH(A2)</f>
        <v>1</v>
      </c>
      <c r="E2">
        <f>IF(AND(D3=staw[[#This Row],[Miesiąc]],F2=1),E1+1,0)</f>
        <v>0</v>
      </c>
      <c r="F2">
        <f t="shared" ref="F2:F65" si="0">IF(C2=0,1,0)</f>
        <v>0</v>
      </c>
    </row>
    <row r="3" spans="1:6">
      <c r="A3" s="1">
        <v>44563</v>
      </c>
      <c r="B3">
        <v>8.1</v>
      </c>
      <c r="C3">
        <v>1</v>
      </c>
      <c r="D3">
        <f t="shared" ref="D3:D66" si="1">MONTH(A3)</f>
        <v>1</v>
      </c>
      <c r="E3">
        <f>IF(AND(D4=staw[[#This Row],[Miesiąc]],F3=1),E2+1,0)</f>
        <v>0</v>
      </c>
      <c r="F3">
        <f t="shared" si="0"/>
        <v>0</v>
      </c>
    </row>
    <row r="4" spans="1:6">
      <c r="A4" s="1">
        <v>44564</v>
      </c>
      <c r="B4">
        <v>9</v>
      </c>
      <c r="C4">
        <v>2</v>
      </c>
      <c r="D4">
        <f t="shared" si="1"/>
        <v>1</v>
      </c>
      <c r="E4">
        <f>IF(AND(D5=staw[[#This Row],[Miesiąc]],F4=1),E3+1,0)</f>
        <v>0</v>
      </c>
      <c r="F4">
        <f t="shared" si="0"/>
        <v>0</v>
      </c>
    </row>
    <row r="5" spans="1:6">
      <c r="A5" s="1">
        <v>44565</v>
      </c>
      <c r="B5">
        <v>7.3</v>
      </c>
      <c r="C5">
        <v>1</v>
      </c>
      <c r="D5">
        <f t="shared" si="1"/>
        <v>1</v>
      </c>
      <c r="E5">
        <f>IF(AND(D6=staw[[#This Row],[Miesiąc]],F5=1),E4+1,0)</f>
        <v>0</v>
      </c>
      <c r="F5">
        <f t="shared" si="0"/>
        <v>0</v>
      </c>
    </row>
    <row r="6" spans="1:6">
      <c r="A6" s="1">
        <v>44566</v>
      </c>
      <c r="B6">
        <v>5.7</v>
      </c>
      <c r="C6">
        <v>5</v>
      </c>
      <c r="D6">
        <f t="shared" si="1"/>
        <v>1</v>
      </c>
      <c r="E6">
        <f>IF(AND(D7=staw[[#This Row],[Miesiąc]],F6=1),E5+1,0)</f>
        <v>0</v>
      </c>
      <c r="F6">
        <f t="shared" si="0"/>
        <v>0</v>
      </c>
    </row>
    <row r="7" spans="1:6">
      <c r="A7" s="1">
        <v>44567</v>
      </c>
      <c r="B7">
        <v>1.7</v>
      </c>
      <c r="C7">
        <v>0</v>
      </c>
      <c r="D7">
        <f t="shared" si="1"/>
        <v>1</v>
      </c>
      <c r="E7">
        <f>IF(AND(D8=staw[[#This Row],[Miesiąc]],F7=1),E6+1,0)</f>
        <v>1</v>
      </c>
      <c r="F7">
        <f t="shared" si="0"/>
        <v>1</v>
      </c>
    </row>
    <row r="8" spans="1:6">
      <c r="A8" s="1">
        <v>44568</v>
      </c>
      <c r="B8">
        <v>-1.4</v>
      </c>
      <c r="C8">
        <v>0</v>
      </c>
      <c r="D8">
        <f t="shared" si="1"/>
        <v>1</v>
      </c>
      <c r="E8">
        <f>IF(AND(D9=staw[[#This Row],[Miesiąc]],F8=1),E7+1,0)</f>
        <v>2</v>
      </c>
      <c r="F8">
        <f t="shared" si="0"/>
        <v>1</v>
      </c>
    </row>
    <row r="9" spans="1:6">
      <c r="A9" s="1">
        <v>44569</v>
      </c>
      <c r="B9">
        <v>-1.5</v>
      </c>
      <c r="C9">
        <v>0</v>
      </c>
      <c r="D9">
        <f t="shared" si="1"/>
        <v>1</v>
      </c>
      <c r="E9">
        <f>IF(AND(D10=staw[[#This Row],[Miesiąc]],F9=1),E8+1,0)</f>
        <v>3</v>
      </c>
      <c r="F9">
        <f t="shared" si="0"/>
        <v>1</v>
      </c>
    </row>
    <row r="10" spans="1:6">
      <c r="A10" s="1">
        <v>44570</v>
      </c>
      <c r="B10">
        <v>-1.2</v>
      </c>
      <c r="C10">
        <v>0</v>
      </c>
      <c r="D10">
        <f t="shared" si="1"/>
        <v>1</v>
      </c>
      <c r="E10">
        <f>IF(AND(D11=staw[[#This Row],[Miesiąc]],F10=1),E9+1,0)</f>
        <v>4</v>
      </c>
      <c r="F10">
        <f t="shared" si="0"/>
        <v>1</v>
      </c>
    </row>
    <row r="11" spans="1:6">
      <c r="A11" s="1">
        <v>44571</v>
      </c>
      <c r="B11">
        <v>-3.8</v>
      </c>
      <c r="C11">
        <v>0</v>
      </c>
      <c r="D11">
        <f t="shared" si="1"/>
        <v>1</v>
      </c>
      <c r="E11">
        <f>IF(AND(D12=staw[[#This Row],[Miesiąc]],F11=1),E10+1,0)</f>
        <v>5</v>
      </c>
      <c r="F11">
        <f t="shared" si="0"/>
        <v>1</v>
      </c>
    </row>
    <row r="12" spans="1:6">
      <c r="A12" s="1">
        <v>44572</v>
      </c>
      <c r="B12">
        <v>-2.7</v>
      </c>
      <c r="C12">
        <v>0</v>
      </c>
      <c r="D12">
        <f t="shared" si="1"/>
        <v>1</v>
      </c>
      <c r="E12">
        <f>IF(AND(D13=staw[[#This Row],[Miesiąc]],F12=1),E11+1,0)</f>
        <v>6</v>
      </c>
      <c r="F12">
        <f t="shared" si="0"/>
        <v>1</v>
      </c>
    </row>
    <row r="13" spans="1:6">
      <c r="A13" s="1">
        <v>44573</v>
      </c>
      <c r="B13">
        <v>-3.9</v>
      </c>
      <c r="C13">
        <v>0</v>
      </c>
      <c r="D13">
        <f t="shared" si="1"/>
        <v>1</v>
      </c>
      <c r="E13">
        <f>IF(AND(D14=staw[[#This Row],[Miesiąc]],F13=1),E12+1,0)</f>
        <v>7</v>
      </c>
      <c r="F13">
        <f t="shared" si="0"/>
        <v>1</v>
      </c>
    </row>
    <row r="14" spans="1:6">
      <c r="A14" s="1">
        <v>44574</v>
      </c>
      <c r="B14">
        <v>1.6</v>
      </c>
      <c r="C14">
        <v>0</v>
      </c>
      <c r="D14">
        <f t="shared" si="1"/>
        <v>1</v>
      </c>
      <c r="E14">
        <f>IF(AND(D15=staw[[#This Row],[Miesiąc]],F14=1),E13+1,0)</f>
        <v>8</v>
      </c>
      <c r="F14">
        <f t="shared" si="0"/>
        <v>1</v>
      </c>
    </row>
    <row r="15" spans="1:6">
      <c r="A15" s="1">
        <v>44575</v>
      </c>
      <c r="B15">
        <v>3.1</v>
      </c>
      <c r="C15">
        <v>0</v>
      </c>
      <c r="D15">
        <f t="shared" si="1"/>
        <v>1</v>
      </c>
      <c r="E15">
        <f>IF(AND(D16=staw[[#This Row],[Miesiąc]],F15=1),E14+1,0)</f>
        <v>9</v>
      </c>
      <c r="F15">
        <f t="shared" si="0"/>
        <v>1</v>
      </c>
    </row>
    <row r="16" spans="1:6">
      <c r="A16" s="1">
        <v>44576</v>
      </c>
      <c r="B16">
        <v>1.2</v>
      </c>
      <c r="C16">
        <v>0</v>
      </c>
      <c r="D16">
        <f t="shared" si="1"/>
        <v>1</v>
      </c>
      <c r="E16">
        <f>IF(AND(D17=staw[[#This Row],[Miesiąc]],F16=1),E15+1,0)</f>
        <v>10</v>
      </c>
      <c r="F16">
        <f t="shared" si="0"/>
        <v>1</v>
      </c>
    </row>
    <row r="17" spans="1:6">
      <c r="A17" s="1">
        <v>44577</v>
      </c>
      <c r="B17">
        <v>-0.8</v>
      </c>
      <c r="C17">
        <v>0</v>
      </c>
      <c r="D17">
        <f t="shared" si="1"/>
        <v>1</v>
      </c>
      <c r="E17">
        <f>IF(AND(D18=staw[[#This Row],[Miesiąc]],F17=1),E16+1,0)</f>
        <v>11</v>
      </c>
      <c r="F17">
        <f t="shared" si="0"/>
        <v>1</v>
      </c>
    </row>
    <row r="18" spans="1:6">
      <c r="A18" s="1">
        <v>44578</v>
      </c>
      <c r="B18">
        <v>1.8</v>
      </c>
      <c r="C18">
        <v>1</v>
      </c>
      <c r="D18">
        <f t="shared" si="1"/>
        <v>1</v>
      </c>
      <c r="E18">
        <f>IF(AND(D19=staw[[#This Row],[Miesiąc]],F18=1),E17+1,0)</f>
        <v>0</v>
      </c>
      <c r="F18">
        <f t="shared" si="0"/>
        <v>0</v>
      </c>
    </row>
    <row r="19" spans="1:6">
      <c r="A19" s="1">
        <v>44579</v>
      </c>
      <c r="B19">
        <v>-0.2</v>
      </c>
      <c r="C19">
        <v>0</v>
      </c>
      <c r="D19">
        <f t="shared" si="1"/>
        <v>1</v>
      </c>
      <c r="E19">
        <f>IF(AND(D20=staw[[#This Row],[Miesiąc]],F19=1),E18+1,0)</f>
        <v>1</v>
      </c>
      <c r="F19">
        <f t="shared" si="0"/>
        <v>1</v>
      </c>
    </row>
    <row r="20" spans="1:6">
      <c r="A20" s="1">
        <v>44580</v>
      </c>
      <c r="B20">
        <v>1</v>
      </c>
      <c r="C20">
        <v>0</v>
      </c>
      <c r="D20">
        <f t="shared" si="1"/>
        <v>1</v>
      </c>
      <c r="E20">
        <f>IF(AND(D21=staw[[#This Row],[Miesiąc]],F20=1),E19+1,0)</f>
        <v>2</v>
      </c>
      <c r="F20">
        <f t="shared" si="0"/>
        <v>1</v>
      </c>
    </row>
    <row r="21" spans="1:6">
      <c r="A21" s="1">
        <v>44581</v>
      </c>
      <c r="B21">
        <v>0.5</v>
      </c>
      <c r="C21">
        <v>1</v>
      </c>
      <c r="D21">
        <f t="shared" si="1"/>
        <v>1</v>
      </c>
      <c r="E21">
        <f>IF(AND(D22=staw[[#This Row],[Miesiąc]],F21=1),E20+1,0)</f>
        <v>0</v>
      </c>
      <c r="F21">
        <f t="shared" si="0"/>
        <v>0</v>
      </c>
    </row>
    <row r="22" spans="1:6">
      <c r="A22" s="1">
        <v>44582</v>
      </c>
      <c r="B22">
        <v>-2.4</v>
      </c>
      <c r="C22">
        <v>0</v>
      </c>
      <c r="D22">
        <f t="shared" si="1"/>
        <v>1</v>
      </c>
      <c r="E22">
        <f>IF(AND(D23=staw[[#This Row],[Miesiąc]],F22=1),E21+1,0)</f>
        <v>1</v>
      </c>
      <c r="F22">
        <f t="shared" si="0"/>
        <v>1</v>
      </c>
    </row>
    <row r="23" spans="1:6">
      <c r="A23" s="1">
        <v>44583</v>
      </c>
      <c r="B23">
        <v>-2.5</v>
      </c>
      <c r="C23">
        <v>0</v>
      </c>
      <c r="D23">
        <f t="shared" si="1"/>
        <v>1</v>
      </c>
      <c r="E23">
        <f>IF(AND(D24=staw[[#This Row],[Miesiąc]],F23=1),E22+1,0)</f>
        <v>2</v>
      </c>
      <c r="F23">
        <f t="shared" si="0"/>
        <v>1</v>
      </c>
    </row>
    <row r="24" spans="1:6">
      <c r="A24" s="1">
        <v>44584</v>
      </c>
      <c r="B24">
        <v>-3.1</v>
      </c>
      <c r="C24">
        <v>0</v>
      </c>
      <c r="D24">
        <f t="shared" si="1"/>
        <v>1</v>
      </c>
      <c r="E24">
        <f>IF(AND(D25=staw[[#This Row],[Miesiąc]],F24=1),E23+1,0)</f>
        <v>3</v>
      </c>
      <c r="F24">
        <f t="shared" si="0"/>
        <v>1</v>
      </c>
    </row>
    <row r="25" spans="1:6">
      <c r="A25" s="1">
        <v>44585</v>
      </c>
      <c r="B25">
        <v>-6.6</v>
      </c>
      <c r="C25">
        <v>0</v>
      </c>
      <c r="D25">
        <f t="shared" si="1"/>
        <v>1</v>
      </c>
      <c r="E25">
        <f>IF(AND(D26=staw[[#This Row],[Miesiąc]],F25=1),E24+1,0)</f>
        <v>4</v>
      </c>
      <c r="F25">
        <f t="shared" si="0"/>
        <v>1</v>
      </c>
    </row>
    <row r="26" spans="1:6">
      <c r="A26" s="1">
        <v>44586</v>
      </c>
      <c r="B26">
        <v>0.2</v>
      </c>
      <c r="C26">
        <v>0</v>
      </c>
      <c r="D26">
        <f t="shared" si="1"/>
        <v>1</v>
      </c>
      <c r="E26">
        <f>IF(AND(D27=staw[[#This Row],[Miesiąc]],F26=1),E25+1,0)</f>
        <v>5</v>
      </c>
      <c r="F26">
        <f t="shared" si="0"/>
        <v>1</v>
      </c>
    </row>
    <row r="27" spans="1:6">
      <c r="A27" s="1">
        <v>44587</v>
      </c>
      <c r="B27">
        <v>1.6</v>
      </c>
      <c r="C27">
        <v>1</v>
      </c>
      <c r="D27">
        <f t="shared" si="1"/>
        <v>1</v>
      </c>
      <c r="E27">
        <f>IF(AND(D28=staw[[#This Row],[Miesiąc]],F27=1),E26+1,0)</f>
        <v>0</v>
      </c>
      <c r="F27">
        <f t="shared" si="0"/>
        <v>0</v>
      </c>
    </row>
    <row r="28" spans="1:6">
      <c r="A28" s="1">
        <v>44588</v>
      </c>
      <c r="B28">
        <v>1.6</v>
      </c>
      <c r="C28">
        <v>2</v>
      </c>
      <c r="D28">
        <f t="shared" si="1"/>
        <v>1</v>
      </c>
      <c r="E28">
        <f>IF(AND(D29=staw[[#This Row],[Miesiąc]],F28=1),E27+1,0)</f>
        <v>0</v>
      </c>
      <c r="F28">
        <f t="shared" si="0"/>
        <v>0</v>
      </c>
    </row>
    <row r="29" spans="1:6">
      <c r="A29" s="1">
        <v>44589</v>
      </c>
      <c r="B29">
        <v>2.2000000000000002</v>
      </c>
      <c r="C29">
        <v>3</v>
      </c>
      <c r="D29">
        <f t="shared" si="1"/>
        <v>1</v>
      </c>
      <c r="E29">
        <f>IF(AND(D30=staw[[#This Row],[Miesiąc]],F29=1),E28+1,0)</f>
        <v>0</v>
      </c>
      <c r="F29">
        <f t="shared" si="0"/>
        <v>0</v>
      </c>
    </row>
    <row r="30" spans="1:6">
      <c r="A30" s="1">
        <v>44590</v>
      </c>
      <c r="B30">
        <v>1.6</v>
      </c>
      <c r="C30">
        <v>0</v>
      </c>
      <c r="D30">
        <f t="shared" si="1"/>
        <v>1</v>
      </c>
      <c r="E30">
        <f>IF(AND(D31=staw[[#This Row],[Miesiąc]],F30=1),E29+1,0)</f>
        <v>1</v>
      </c>
      <c r="F30">
        <f t="shared" si="0"/>
        <v>1</v>
      </c>
    </row>
    <row r="31" spans="1:6">
      <c r="A31" s="1">
        <v>44591</v>
      </c>
      <c r="B31">
        <v>4</v>
      </c>
      <c r="C31">
        <v>6</v>
      </c>
      <c r="D31">
        <f t="shared" si="1"/>
        <v>1</v>
      </c>
      <c r="E31">
        <f>IF(AND(D32=staw[[#This Row],[Miesiąc]],F31=1),E30+1,0)</f>
        <v>0</v>
      </c>
      <c r="F31">
        <f t="shared" si="0"/>
        <v>0</v>
      </c>
    </row>
    <row r="32" spans="1:6">
      <c r="A32" s="1">
        <v>44592</v>
      </c>
      <c r="B32">
        <v>1.7</v>
      </c>
      <c r="C32">
        <v>0</v>
      </c>
      <c r="D32">
        <f t="shared" si="1"/>
        <v>1</v>
      </c>
      <c r="E32">
        <f>IF(AND(D33=staw[[#This Row],[Miesiąc]],F32=1),E31+1,0)</f>
        <v>0</v>
      </c>
      <c r="F32">
        <f t="shared" si="0"/>
        <v>1</v>
      </c>
    </row>
    <row r="33" spans="1:6">
      <c r="A33" s="1">
        <v>44593</v>
      </c>
      <c r="B33">
        <v>0.8</v>
      </c>
      <c r="C33">
        <v>0</v>
      </c>
      <c r="D33">
        <f t="shared" si="1"/>
        <v>2</v>
      </c>
      <c r="E33">
        <f>IF(AND(D34=staw[[#This Row],[Miesiąc]],F33=1),E32+1,0)</f>
        <v>1</v>
      </c>
      <c r="F33">
        <f t="shared" si="0"/>
        <v>1</v>
      </c>
    </row>
    <row r="34" spans="1:6">
      <c r="A34" s="1">
        <v>44594</v>
      </c>
      <c r="B34">
        <v>2</v>
      </c>
      <c r="C34">
        <v>8</v>
      </c>
      <c r="D34">
        <f t="shared" si="1"/>
        <v>2</v>
      </c>
      <c r="E34">
        <f>IF(AND(D35=staw[[#This Row],[Miesiąc]],F34=1),E33+1,0)</f>
        <v>0</v>
      </c>
      <c r="F34">
        <f t="shared" si="0"/>
        <v>0</v>
      </c>
    </row>
    <row r="35" spans="1:6">
      <c r="A35" s="1">
        <v>44595</v>
      </c>
      <c r="B35">
        <v>0.4</v>
      </c>
      <c r="C35">
        <v>1</v>
      </c>
      <c r="D35">
        <f t="shared" si="1"/>
        <v>2</v>
      </c>
      <c r="E35">
        <f>IF(AND(D36=staw[[#This Row],[Miesiąc]],F35=1),E34+1,0)</f>
        <v>0</v>
      </c>
      <c r="F35">
        <f t="shared" si="0"/>
        <v>0</v>
      </c>
    </row>
    <row r="36" spans="1:6">
      <c r="A36" s="1">
        <v>44596</v>
      </c>
      <c r="B36">
        <v>2.1</v>
      </c>
      <c r="C36">
        <v>1</v>
      </c>
      <c r="D36">
        <f t="shared" si="1"/>
        <v>2</v>
      </c>
      <c r="E36">
        <f>IF(AND(D37=staw[[#This Row],[Miesiąc]],F36=1),E35+1,0)</f>
        <v>0</v>
      </c>
      <c r="F36">
        <f t="shared" si="0"/>
        <v>0</v>
      </c>
    </row>
    <row r="37" spans="1:6">
      <c r="A37" s="1">
        <v>44597</v>
      </c>
      <c r="B37">
        <v>3.4</v>
      </c>
      <c r="C37">
        <v>0</v>
      </c>
      <c r="D37">
        <f t="shared" si="1"/>
        <v>2</v>
      </c>
      <c r="E37">
        <f>IF(AND(D38=staw[[#This Row],[Miesiąc]],F37=1),E36+1,0)</f>
        <v>1</v>
      </c>
      <c r="F37">
        <f t="shared" si="0"/>
        <v>1</v>
      </c>
    </row>
    <row r="38" spans="1:6">
      <c r="A38" s="1">
        <v>44598</v>
      </c>
      <c r="B38">
        <v>4.5</v>
      </c>
      <c r="C38">
        <v>0</v>
      </c>
      <c r="D38">
        <f t="shared" si="1"/>
        <v>2</v>
      </c>
      <c r="E38">
        <f>IF(AND(D39=staw[[#This Row],[Miesiąc]],F38=1),E37+1,0)</f>
        <v>2</v>
      </c>
      <c r="F38">
        <f t="shared" si="0"/>
        <v>1</v>
      </c>
    </row>
    <row r="39" spans="1:6">
      <c r="A39" s="1">
        <v>44599</v>
      </c>
      <c r="B39">
        <v>3.6</v>
      </c>
      <c r="C39">
        <v>0</v>
      </c>
      <c r="D39">
        <f t="shared" si="1"/>
        <v>2</v>
      </c>
      <c r="E39">
        <f>IF(AND(D40=staw[[#This Row],[Miesiąc]],F39=1),E38+1,0)</f>
        <v>3</v>
      </c>
      <c r="F39">
        <f t="shared" si="0"/>
        <v>1</v>
      </c>
    </row>
    <row r="40" spans="1:6">
      <c r="A40" s="1">
        <v>44600</v>
      </c>
      <c r="B40">
        <v>3.6</v>
      </c>
      <c r="C40">
        <v>1</v>
      </c>
      <c r="D40">
        <f t="shared" si="1"/>
        <v>2</v>
      </c>
      <c r="E40">
        <f>IF(AND(D41=staw[[#This Row],[Miesiąc]],F40=1),E39+1,0)</f>
        <v>0</v>
      </c>
      <c r="F40">
        <f t="shared" si="0"/>
        <v>0</v>
      </c>
    </row>
    <row r="41" spans="1:6">
      <c r="A41" s="1">
        <v>44601</v>
      </c>
      <c r="B41">
        <v>6.8</v>
      </c>
      <c r="C41">
        <v>2</v>
      </c>
      <c r="D41">
        <f t="shared" si="1"/>
        <v>2</v>
      </c>
      <c r="E41">
        <f>IF(AND(D42=staw[[#This Row],[Miesiąc]],F41=1),E40+1,0)</f>
        <v>0</v>
      </c>
      <c r="F41">
        <f t="shared" si="0"/>
        <v>0</v>
      </c>
    </row>
    <row r="42" spans="1:6">
      <c r="A42" s="1">
        <v>44602</v>
      </c>
      <c r="B42">
        <v>6.8</v>
      </c>
      <c r="C42">
        <v>0</v>
      </c>
      <c r="D42">
        <f t="shared" si="1"/>
        <v>2</v>
      </c>
      <c r="E42">
        <f>IF(AND(D43=staw[[#This Row],[Miesiąc]],F42=1),E41+1,0)</f>
        <v>1</v>
      </c>
      <c r="F42">
        <f t="shared" si="0"/>
        <v>1</v>
      </c>
    </row>
    <row r="43" spans="1:6">
      <c r="A43" s="1">
        <v>44603</v>
      </c>
      <c r="B43">
        <v>5.8</v>
      </c>
      <c r="C43">
        <v>0</v>
      </c>
      <c r="D43">
        <f t="shared" si="1"/>
        <v>2</v>
      </c>
      <c r="E43">
        <f>IF(AND(D44=staw[[#This Row],[Miesiąc]],F43=1),E42+1,0)</f>
        <v>2</v>
      </c>
      <c r="F43">
        <f t="shared" si="0"/>
        <v>1</v>
      </c>
    </row>
    <row r="44" spans="1:6">
      <c r="A44" s="1">
        <v>44604</v>
      </c>
      <c r="B44">
        <v>1.3</v>
      </c>
      <c r="C44">
        <v>0</v>
      </c>
      <c r="D44">
        <f t="shared" si="1"/>
        <v>2</v>
      </c>
      <c r="E44">
        <f>IF(AND(D45=staw[[#This Row],[Miesiąc]],F44=1),E43+1,0)</f>
        <v>3</v>
      </c>
      <c r="F44">
        <f t="shared" si="0"/>
        <v>1</v>
      </c>
    </row>
    <row r="45" spans="1:6">
      <c r="A45" s="1">
        <v>44605</v>
      </c>
      <c r="B45">
        <v>2.2999999999999998</v>
      </c>
      <c r="C45">
        <v>0</v>
      </c>
      <c r="D45">
        <f t="shared" si="1"/>
        <v>2</v>
      </c>
      <c r="E45">
        <f>IF(AND(D46=staw[[#This Row],[Miesiąc]],F45=1),E44+1,0)</f>
        <v>4</v>
      </c>
      <c r="F45">
        <f t="shared" si="0"/>
        <v>1</v>
      </c>
    </row>
    <row r="46" spans="1:6">
      <c r="A46" s="1">
        <v>44606</v>
      </c>
      <c r="B46">
        <v>4.5</v>
      </c>
      <c r="C46">
        <v>0</v>
      </c>
      <c r="D46">
        <f t="shared" si="1"/>
        <v>2</v>
      </c>
      <c r="E46">
        <f>IF(AND(D47=staw[[#This Row],[Miesiąc]],F46=1),E45+1,0)</f>
        <v>5</v>
      </c>
      <c r="F46">
        <f t="shared" si="0"/>
        <v>1</v>
      </c>
    </row>
    <row r="47" spans="1:6">
      <c r="A47" s="1">
        <v>44607</v>
      </c>
      <c r="B47">
        <v>5.6</v>
      </c>
      <c r="C47">
        <v>0</v>
      </c>
      <c r="D47">
        <f t="shared" si="1"/>
        <v>2</v>
      </c>
      <c r="E47">
        <f>IF(AND(D48=staw[[#This Row],[Miesiąc]],F47=1),E46+1,0)</f>
        <v>6</v>
      </c>
      <c r="F47">
        <f t="shared" si="0"/>
        <v>1</v>
      </c>
    </row>
    <row r="48" spans="1:6">
      <c r="A48" s="1">
        <v>44608</v>
      </c>
      <c r="B48">
        <v>6.4</v>
      </c>
      <c r="C48">
        <v>0</v>
      </c>
      <c r="D48">
        <f t="shared" si="1"/>
        <v>2</v>
      </c>
      <c r="E48">
        <f>IF(AND(D49=staw[[#This Row],[Miesiąc]],F48=1),E47+1,0)</f>
        <v>7</v>
      </c>
      <c r="F48">
        <f t="shared" si="0"/>
        <v>1</v>
      </c>
    </row>
    <row r="49" spans="1:6">
      <c r="A49" s="1">
        <v>44609</v>
      </c>
      <c r="B49">
        <v>7.4</v>
      </c>
      <c r="C49">
        <v>9</v>
      </c>
      <c r="D49">
        <f t="shared" si="1"/>
        <v>2</v>
      </c>
      <c r="E49">
        <f>IF(AND(D50=staw[[#This Row],[Miesiąc]],F49=1),E48+1,0)</f>
        <v>0</v>
      </c>
      <c r="F49">
        <f t="shared" si="0"/>
        <v>0</v>
      </c>
    </row>
    <row r="50" spans="1:6">
      <c r="A50" s="1">
        <v>44610</v>
      </c>
      <c r="B50">
        <v>6.9</v>
      </c>
      <c r="C50">
        <v>0</v>
      </c>
      <c r="D50">
        <f t="shared" si="1"/>
        <v>2</v>
      </c>
      <c r="E50">
        <f>IF(AND(D51=staw[[#This Row],[Miesiąc]],F50=1),E49+1,0)</f>
        <v>1</v>
      </c>
      <c r="F50">
        <f t="shared" si="0"/>
        <v>1</v>
      </c>
    </row>
    <row r="51" spans="1:6">
      <c r="A51" s="1">
        <v>44611</v>
      </c>
      <c r="B51">
        <v>8.8000000000000007</v>
      </c>
      <c r="C51">
        <v>0</v>
      </c>
      <c r="D51">
        <f t="shared" si="1"/>
        <v>2</v>
      </c>
      <c r="E51">
        <f>IF(AND(D52=staw[[#This Row],[Miesiąc]],F51=1),E50+1,0)</f>
        <v>2</v>
      </c>
      <c r="F51">
        <f t="shared" si="0"/>
        <v>1</v>
      </c>
    </row>
    <row r="52" spans="1:6">
      <c r="A52" s="1">
        <v>44612</v>
      </c>
      <c r="B52">
        <v>5.2</v>
      </c>
      <c r="C52">
        <v>0</v>
      </c>
      <c r="D52">
        <f t="shared" si="1"/>
        <v>2</v>
      </c>
      <c r="E52">
        <f>IF(AND(D53=staw[[#This Row],[Miesiąc]],F52=1),E51+1,0)</f>
        <v>3</v>
      </c>
      <c r="F52">
        <f t="shared" si="0"/>
        <v>1</v>
      </c>
    </row>
    <row r="53" spans="1:6">
      <c r="A53" s="1">
        <v>44613</v>
      </c>
      <c r="B53">
        <v>7.2</v>
      </c>
      <c r="C53">
        <v>1</v>
      </c>
      <c r="D53">
        <f t="shared" si="1"/>
        <v>2</v>
      </c>
      <c r="E53">
        <f>IF(AND(D54=staw[[#This Row],[Miesiąc]],F53=1),E52+1,0)</f>
        <v>0</v>
      </c>
      <c r="F53">
        <f t="shared" si="0"/>
        <v>0</v>
      </c>
    </row>
    <row r="54" spans="1:6">
      <c r="A54" s="1">
        <v>44614</v>
      </c>
      <c r="B54">
        <v>4.5999999999999996</v>
      </c>
      <c r="C54">
        <v>0</v>
      </c>
      <c r="D54">
        <f t="shared" si="1"/>
        <v>2</v>
      </c>
      <c r="E54">
        <f>IF(AND(D55=staw[[#This Row],[Miesiąc]],F54=1),E53+1,0)</f>
        <v>1</v>
      </c>
      <c r="F54">
        <f t="shared" si="0"/>
        <v>1</v>
      </c>
    </row>
    <row r="55" spans="1:6">
      <c r="A55" s="1">
        <v>44615</v>
      </c>
      <c r="B55">
        <v>4.5999999999999996</v>
      </c>
      <c r="C55">
        <v>0</v>
      </c>
      <c r="D55">
        <f t="shared" si="1"/>
        <v>2</v>
      </c>
      <c r="E55">
        <f>IF(AND(D56=staw[[#This Row],[Miesiąc]],F55=1),E54+1,0)</f>
        <v>2</v>
      </c>
      <c r="F55">
        <f t="shared" si="0"/>
        <v>1</v>
      </c>
    </row>
    <row r="56" spans="1:6">
      <c r="A56" s="1">
        <v>44616</v>
      </c>
      <c r="B56">
        <v>5.2</v>
      </c>
      <c r="C56">
        <v>0</v>
      </c>
      <c r="D56">
        <f t="shared" si="1"/>
        <v>2</v>
      </c>
      <c r="E56">
        <f>IF(AND(D57=staw[[#This Row],[Miesiąc]],F56=1),E55+1,0)</f>
        <v>3</v>
      </c>
      <c r="F56">
        <f t="shared" si="0"/>
        <v>1</v>
      </c>
    </row>
    <row r="57" spans="1:6">
      <c r="A57" s="1">
        <v>44617</v>
      </c>
      <c r="B57">
        <v>3.9</v>
      </c>
      <c r="C57">
        <v>0</v>
      </c>
      <c r="D57">
        <f t="shared" si="1"/>
        <v>2</v>
      </c>
      <c r="E57">
        <f>IF(AND(D58=staw[[#This Row],[Miesiąc]],F57=1),E56+1,0)</f>
        <v>4</v>
      </c>
      <c r="F57">
        <f t="shared" si="0"/>
        <v>1</v>
      </c>
    </row>
    <row r="58" spans="1:6">
      <c r="A58" s="1">
        <v>44618</v>
      </c>
      <c r="B58">
        <v>1.9</v>
      </c>
      <c r="C58">
        <v>0</v>
      </c>
      <c r="D58">
        <f t="shared" si="1"/>
        <v>2</v>
      </c>
      <c r="E58">
        <f>IF(AND(D59=staw[[#This Row],[Miesiąc]],F58=1),E57+1,0)</f>
        <v>5</v>
      </c>
      <c r="F58">
        <f t="shared" si="0"/>
        <v>1</v>
      </c>
    </row>
    <row r="59" spans="1:6">
      <c r="A59" s="1">
        <v>44619</v>
      </c>
      <c r="B59">
        <v>1.2</v>
      </c>
      <c r="C59">
        <v>0</v>
      </c>
      <c r="D59">
        <f t="shared" si="1"/>
        <v>2</v>
      </c>
      <c r="E59">
        <f>IF(AND(D60=staw[[#This Row],[Miesiąc]],F59=1),E58+1,0)</f>
        <v>6</v>
      </c>
      <c r="F59">
        <f t="shared" si="0"/>
        <v>1</v>
      </c>
    </row>
    <row r="60" spans="1:6">
      <c r="A60" s="1">
        <v>44620</v>
      </c>
      <c r="B60">
        <v>-0.9</v>
      </c>
      <c r="C60">
        <v>0</v>
      </c>
      <c r="D60">
        <f t="shared" si="1"/>
        <v>2</v>
      </c>
      <c r="E60">
        <f>IF(AND(D61=staw[[#This Row],[Miesiąc]],F60=1),E59+1,0)</f>
        <v>0</v>
      </c>
      <c r="F60">
        <f t="shared" si="0"/>
        <v>1</v>
      </c>
    </row>
    <row r="61" spans="1:6">
      <c r="A61" s="1">
        <v>44621</v>
      </c>
      <c r="B61">
        <v>-1.4</v>
      </c>
      <c r="C61">
        <v>0</v>
      </c>
      <c r="D61">
        <f t="shared" si="1"/>
        <v>3</v>
      </c>
      <c r="E61">
        <f>IF(AND(D62=staw[[#This Row],[Miesiąc]],F61=1),E60+1,0)</f>
        <v>1</v>
      </c>
      <c r="F61">
        <f t="shared" si="0"/>
        <v>1</v>
      </c>
    </row>
    <row r="62" spans="1:6">
      <c r="A62" s="1">
        <v>44622</v>
      </c>
      <c r="B62">
        <v>0.3</v>
      </c>
      <c r="C62">
        <v>0</v>
      </c>
      <c r="D62">
        <f t="shared" si="1"/>
        <v>3</v>
      </c>
      <c r="E62">
        <f>IF(AND(D63=staw[[#This Row],[Miesiąc]],F62=1),E61+1,0)</f>
        <v>2</v>
      </c>
      <c r="F62">
        <f t="shared" si="0"/>
        <v>1</v>
      </c>
    </row>
    <row r="63" spans="1:6">
      <c r="A63" s="1">
        <v>44623</v>
      </c>
      <c r="B63">
        <v>2</v>
      </c>
      <c r="C63">
        <v>0</v>
      </c>
      <c r="D63">
        <f t="shared" si="1"/>
        <v>3</v>
      </c>
      <c r="E63">
        <f>IF(AND(D64=staw[[#This Row],[Miesiąc]],F63=1),E62+1,0)</f>
        <v>3</v>
      </c>
      <c r="F63">
        <f t="shared" si="0"/>
        <v>1</v>
      </c>
    </row>
    <row r="64" spans="1:6">
      <c r="A64" s="1">
        <v>44624</v>
      </c>
      <c r="B64">
        <v>0.6</v>
      </c>
      <c r="C64">
        <v>0</v>
      </c>
      <c r="D64">
        <f t="shared" si="1"/>
        <v>3</v>
      </c>
      <c r="E64">
        <f>IF(AND(D65=staw[[#This Row],[Miesiąc]],F64=1),E63+1,0)</f>
        <v>4</v>
      </c>
      <c r="F64">
        <f t="shared" si="0"/>
        <v>1</v>
      </c>
    </row>
    <row r="65" spans="1:6">
      <c r="A65" s="1">
        <v>44625</v>
      </c>
      <c r="B65">
        <v>0.7</v>
      </c>
      <c r="C65">
        <v>0</v>
      </c>
      <c r="D65">
        <f t="shared" si="1"/>
        <v>3</v>
      </c>
      <c r="E65">
        <f>IF(AND(D66=staw[[#This Row],[Miesiąc]],F65=1),E64+1,0)</f>
        <v>5</v>
      </c>
      <c r="F65">
        <f t="shared" si="0"/>
        <v>1</v>
      </c>
    </row>
    <row r="66" spans="1:6">
      <c r="A66" s="1">
        <v>44626</v>
      </c>
      <c r="B66">
        <v>0</v>
      </c>
      <c r="C66">
        <v>0</v>
      </c>
      <c r="D66">
        <f t="shared" si="1"/>
        <v>3</v>
      </c>
      <c r="E66">
        <f>IF(AND(D67=staw[[#This Row],[Miesiąc]],F66=1),E65+1,0)</f>
        <v>6</v>
      </c>
      <c r="F66">
        <f t="shared" ref="F66:F129" si="2">IF(C66=0,1,0)</f>
        <v>1</v>
      </c>
    </row>
    <row r="67" spans="1:6">
      <c r="A67" s="1">
        <v>44627</v>
      </c>
      <c r="B67">
        <v>0</v>
      </c>
      <c r="C67">
        <v>0</v>
      </c>
      <c r="D67">
        <f t="shared" ref="D67:D130" si="3">MONTH(A67)</f>
        <v>3</v>
      </c>
      <c r="E67">
        <f>IF(AND(D68=staw[[#This Row],[Miesiąc]],F67=1),E66+1,0)</f>
        <v>7</v>
      </c>
      <c r="F67">
        <f t="shared" si="2"/>
        <v>1</v>
      </c>
    </row>
    <row r="68" spans="1:6">
      <c r="A68" s="1">
        <v>44628</v>
      </c>
      <c r="B68">
        <v>1.3</v>
      </c>
      <c r="C68">
        <v>0</v>
      </c>
      <c r="D68">
        <f t="shared" si="3"/>
        <v>3</v>
      </c>
      <c r="E68">
        <f>IF(AND(D69=staw[[#This Row],[Miesiąc]],F68=1),E67+1,0)</f>
        <v>8</v>
      </c>
      <c r="F68">
        <f t="shared" si="2"/>
        <v>1</v>
      </c>
    </row>
    <row r="69" spans="1:6">
      <c r="A69" s="1">
        <v>44629</v>
      </c>
      <c r="B69">
        <v>2</v>
      </c>
      <c r="C69">
        <v>2</v>
      </c>
      <c r="D69">
        <f t="shared" si="3"/>
        <v>3</v>
      </c>
      <c r="E69">
        <f>IF(AND(D70=staw[[#This Row],[Miesiąc]],F69=1),E68+1,0)</f>
        <v>0</v>
      </c>
      <c r="F69">
        <f t="shared" si="2"/>
        <v>0</v>
      </c>
    </row>
    <row r="70" spans="1:6">
      <c r="A70" s="1">
        <v>44630</v>
      </c>
      <c r="B70">
        <v>-1.6</v>
      </c>
      <c r="C70">
        <v>0</v>
      </c>
      <c r="D70">
        <f t="shared" si="3"/>
        <v>3</v>
      </c>
      <c r="E70">
        <f>IF(AND(D71=staw[[#This Row],[Miesiąc]],F70=1),E69+1,0)</f>
        <v>1</v>
      </c>
      <c r="F70">
        <f t="shared" si="2"/>
        <v>1</v>
      </c>
    </row>
    <row r="71" spans="1:6">
      <c r="A71" s="1">
        <v>44631</v>
      </c>
      <c r="B71">
        <v>-2.6</v>
      </c>
      <c r="C71">
        <v>0</v>
      </c>
      <c r="D71">
        <f t="shared" si="3"/>
        <v>3</v>
      </c>
      <c r="E71">
        <f>IF(AND(D72=staw[[#This Row],[Miesiąc]],F71=1),E70+1,0)</f>
        <v>2</v>
      </c>
      <c r="F71">
        <f t="shared" si="2"/>
        <v>1</v>
      </c>
    </row>
    <row r="72" spans="1:6">
      <c r="A72" s="1">
        <v>44632</v>
      </c>
      <c r="B72">
        <v>-0.2</v>
      </c>
      <c r="C72">
        <v>0</v>
      </c>
      <c r="D72">
        <f t="shared" si="3"/>
        <v>3</v>
      </c>
      <c r="E72">
        <f>IF(AND(D73=staw[[#This Row],[Miesiąc]],F72=1),E71+1,0)</f>
        <v>3</v>
      </c>
      <c r="F72">
        <f t="shared" si="2"/>
        <v>1</v>
      </c>
    </row>
    <row r="73" spans="1:6">
      <c r="A73" s="1">
        <v>44633</v>
      </c>
      <c r="B73">
        <v>3.1</v>
      </c>
      <c r="C73">
        <v>0</v>
      </c>
      <c r="D73">
        <f t="shared" si="3"/>
        <v>3</v>
      </c>
      <c r="E73">
        <f>IF(AND(D74=staw[[#This Row],[Miesiąc]],F73=1),E72+1,0)</f>
        <v>4</v>
      </c>
      <c r="F73">
        <f t="shared" si="2"/>
        <v>1</v>
      </c>
    </row>
    <row r="74" spans="1:6">
      <c r="A74" s="1">
        <v>44634</v>
      </c>
      <c r="B74">
        <v>5.5</v>
      </c>
      <c r="C74">
        <v>0</v>
      </c>
      <c r="D74">
        <f t="shared" si="3"/>
        <v>3</v>
      </c>
      <c r="E74">
        <f>IF(AND(D75=staw[[#This Row],[Miesiąc]],F74=1),E73+1,0)</f>
        <v>5</v>
      </c>
      <c r="F74">
        <f t="shared" si="2"/>
        <v>1</v>
      </c>
    </row>
    <row r="75" spans="1:6">
      <c r="A75" s="1">
        <v>44635</v>
      </c>
      <c r="B75">
        <v>8.6</v>
      </c>
      <c r="C75">
        <v>0</v>
      </c>
      <c r="D75">
        <f t="shared" si="3"/>
        <v>3</v>
      </c>
      <c r="E75">
        <f>IF(AND(D76=staw[[#This Row],[Miesiąc]],F75=1),E74+1,0)</f>
        <v>6</v>
      </c>
      <c r="F75">
        <f t="shared" si="2"/>
        <v>1</v>
      </c>
    </row>
    <row r="76" spans="1:6">
      <c r="A76" s="1">
        <v>44636</v>
      </c>
      <c r="B76">
        <v>7.8</v>
      </c>
      <c r="C76">
        <v>0</v>
      </c>
      <c r="D76">
        <f t="shared" si="3"/>
        <v>3</v>
      </c>
      <c r="E76">
        <f>IF(AND(D77=staw[[#This Row],[Miesiąc]],F76=1),E75+1,0)</f>
        <v>7</v>
      </c>
      <c r="F76">
        <f t="shared" si="2"/>
        <v>1</v>
      </c>
    </row>
    <row r="77" spans="1:6">
      <c r="A77" s="1">
        <v>44637</v>
      </c>
      <c r="B77">
        <v>3.7</v>
      </c>
      <c r="C77">
        <v>0</v>
      </c>
      <c r="D77">
        <f t="shared" si="3"/>
        <v>3</v>
      </c>
      <c r="E77">
        <f>IF(AND(D78=staw[[#This Row],[Miesiąc]],F77=1),E76+1,0)</f>
        <v>8</v>
      </c>
      <c r="F77">
        <f t="shared" si="2"/>
        <v>1</v>
      </c>
    </row>
    <row r="78" spans="1:6">
      <c r="A78" s="1">
        <v>44638</v>
      </c>
      <c r="B78">
        <v>3</v>
      </c>
      <c r="C78">
        <v>0</v>
      </c>
      <c r="D78">
        <f t="shared" si="3"/>
        <v>3</v>
      </c>
      <c r="E78">
        <f>IF(AND(D79=staw[[#This Row],[Miesiąc]],F78=1),E77+1,0)</f>
        <v>9</v>
      </c>
      <c r="F78">
        <f t="shared" si="2"/>
        <v>1</v>
      </c>
    </row>
    <row r="79" spans="1:6">
      <c r="A79" s="1">
        <v>44639</v>
      </c>
      <c r="B79">
        <v>2.1</v>
      </c>
      <c r="C79">
        <v>0</v>
      </c>
      <c r="D79">
        <f t="shared" si="3"/>
        <v>3</v>
      </c>
      <c r="E79">
        <f>IF(AND(D80=staw[[#This Row],[Miesiąc]],F79=1),E78+1,0)</f>
        <v>10</v>
      </c>
      <c r="F79">
        <f t="shared" si="2"/>
        <v>1</v>
      </c>
    </row>
    <row r="80" spans="1:6">
      <c r="A80" s="1">
        <v>44640</v>
      </c>
      <c r="B80">
        <v>3.2</v>
      </c>
      <c r="C80">
        <v>0</v>
      </c>
      <c r="D80">
        <f t="shared" si="3"/>
        <v>3</v>
      </c>
      <c r="E80">
        <f>IF(AND(D81=staw[[#This Row],[Miesiąc]],F80=1),E79+1,0)</f>
        <v>11</v>
      </c>
      <c r="F80">
        <f t="shared" si="2"/>
        <v>1</v>
      </c>
    </row>
    <row r="81" spans="1:6">
      <c r="A81" s="1">
        <v>44641</v>
      </c>
      <c r="B81">
        <v>4.9000000000000004</v>
      </c>
      <c r="C81">
        <v>0</v>
      </c>
      <c r="D81">
        <f t="shared" si="3"/>
        <v>3</v>
      </c>
      <c r="E81">
        <f>IF(AND(D82=staw[[#This Row],[Miesiąc]],F81=1),E80+1,0)</f>
        <v>12</v>
      </c>
      <c r="F81">
        <f t="shared" si="2"/>
        <v>1</v>
      </c>
    </row>
    <row r="82" spans="1:6">
      <c r="A82" s="1">
        <v>44642</v>
      </c>
      <c r="B82">
        <v>7.8</v>
      </c>
      <c r="C82">
        <v>0</v>
      </c>
      <c r="D82">
        <f t="shared" si="3"/>
        <v>3</v>
      </c>
      <c r="E82">
        <f>IF(AND(D83=staw[[#This Row],[Miesiąc]],F82=1),E81+1,0)</f>
        <v>13</v>
      </c>
      <c r="F82">
        <f t="shared" si="2"/>
        <v>1</v>
      </c>
    </row>
    <row r="83" spans="1:6">
      <c r="A83" s="1">
        <v>44643</v>
      </c>
      <c r="B83">
        <v>9.1999999999999993</v>
      </c>
      <c r="C83">
        <v>0</v>
      </c>
      <c r="D83">
        <f t="shared" si="3"/>
        <v>3</v>
      </c>
      <c r="E83">
        <f>IF(AND(D84=staw[[#This Row],[Miesiąc]],F83=1),E82+1,0)</f>
        <v>14</v>
      </c>
      <c r="F83">
        <f t="shared" si="2"/>
        <v>1</v>
      </c>
    </row>
    <row r="84" spans="1:6">
      <c r="A84" s="1">
        <v>44644</v>
      </c>
      <c r="B84">
        <v>7.2</v>
      </c>
      <c r="C84">
        <v>0</v>
      </c>
      <c r="D84">
        <f t="shared" si="3"/>
        <v>3</v>
      </c>
      <c r="E84">
        <f>IF(AND(D85=staw[[#This Row],[Miesiąc]],F84=1),E83+1,0)</f>
        <v>15</v>
      </c>
      <c r="F84">
        <f t="shared" si="2"/>
        <v>1</v>
      </c>
    </row>
    <row r="85" spans="1:6">
      <c r="A85" s="1">
        <v>44645</v>
      </c>
      <c r="B85">
        <v>8.5</v>
      </c>
      <c r="C85">
        <v>0</v>
      </c>
      <c r="D85">
        <f t="shared" si="3"/>
        <v>3</v>
      </c>
      <c r="E85">
        <f>IF(AND(D86=staw[[#This Row],[Miesiąc]],F85=1),E84+1,0)</f>
        <v>16</v>
      </c>
      <c r="F85">
        <f t="shared" si="2"/>
        <v>1</v>
      </c>
    </row>
    <row r="86" spans="1:6">
      <c r="A86" s="1">
        <v>44646</v>
      </c>
      <c r="B86">
        <v>10.199999999999999</v>
      </c>
      <c r="C86">
        <v>0</v>
      </c>
      <c r="D86">
        <f t="shared" si="3"/>
        <v>3</v>
      </c>
      <c r="E86">
        <f>IF(AND(D87=staw[[#This Row],[Miesiąc]],F86=1),E85+1,0)</f>
        <v>17</v>
      </c>
      <c r="F86">
        <f t="shared" si="2"/>
        <v>1</v>
      </c>
    </row>
    <row r="87" spans="1:6">
      <c r="A87" s="1">
        <v>44647</v>
      </c>
      <c r="B87">
        <v>5.7</v>
      </c>
      <c r="C87">
        <v>0</v>
      </c>
      <c r="D87">
        <f t="shared" si="3"/>
        <v>3</v>
      </c>
      <c r="E87">
        <f>IF(AND(D88=staw[[#This Row],[Miesiąc]],F87=1),E86+1,0)</f>
        <v>18</v>
      </c>
      <c r="F87">
        <f t="shared" si="2"/>
        <v>1</v>
      </c>
    </row>
    <row r="88" spans="1:6">
      <c r="A88" s="1">
        <v>44648</v>
      </c>
      <c r="B88">
        <v>10.3</v>
      </c>
      <c r="C88">
        <v>0</v>
      </c>
      <c r="D88">
        <f t="shared" si="3"/>
        <v>3</v>
      </c>
      <c r="E88">
        <f>IF(AND(D89=staw[[#This Row],[Miesiąc]],F88=1),E87+1,0)</f>
        <v>19</v>
      </c>
      <c r="F88">
        <f t="shared" si="2"/>
        <v>1</v>
      </c>
    </row>
    <row r="89" spans="1:6">
      <c r="A89" s="1">
        <v>44649</v>
      </c>
      <c r="B89">
        <v>11.4</v>
      </c>
      <c r="C89">
        <v>0</v>
      </c>
      <c r="D89">
        <f t="shared" si="3"/>
        <v>3</v>
      </c>
      <c r="E89">
        <f>IF(AND(D90=staw[[#This Row],[Miesiąc]],F89=1),E88+1,0)</f>
        <v>20</v>
      </c>
      <c r="F89">
        <f t="shared" si="2"/>
        <v>1</v>
      </c>
    </row>
    <row r="90" spans="1:6">
      <c r="A90" s="1">
        <v>44650</v>
      </c>
      <c r="B90">
        <v>8.5</v>
      </c>
      <c r="C90">
        <v>3</v>
      </c>
      <c r="D90">
        <f t="shared" si="3"/>
        <v>3</v>
      </c>
      <c r="E90">
        <f>IF(AND(D91=staw[[#This Row],[Miesiąc]],F90=1),E89+1,0)</f>
        <v>0</v>
      </c>
      <c r="F90">
        <f t="shared" si="2"/>
        <v>0</v>
      </c>
    </row>
    <row r="91" spans="1:6">
      <c r="A91" s="1">
        <v>44651</v>
      </c>
      <c r="B91">
        <v>3.9</v>
      </c>
      <c r="C91">
        <v>11</v>
      </c>
      <c r="D91">
        <f t="shared" si="3"/>
        <v>3</v>
      </c>
      <c r="E91">
        <f>IF(AND(D92=staw[[#This Row],[Miesiąc]],F91=1),E90+1,0)</f>
        <v>0</v>
      </c>
      <c r="F91">
        <f t="shared" si="2"/>
        <v>0</v>
      </c>
    </row>
    <row r="92" spans="1:6">
      <c r="A92" s="1">
        <v>44652</v>
      </c>
      <c r="B92">
        <v>1</v>
      </c>
      <c r="C92">
        <v>13</v>
      </c>
      <c r="D92">
        <f t="shared" si="3"/>
        <v>4</v>
      </c>
      <c r="E92">
        <f>IF(AND(D93=staw[[#This Row],[Miesiąc]],F92=1),E91+1,0)</f>
        <v>0</v>
      </c>
      <c r="F92">
        <f t="shared" si="2"/>
        <v>0</v>
      </c>
    </row>
    <row r="93" spans="1:6">
      <c r="A93" s="1">
        <v>44653</v>
      </c>
      <c r="B93">
        <v>-0.1</v>
      </c>
      <c r="C93">
        <v>0</v>
      </c>
      <c r="D93">
        <f t="shared" si="3"/>
        <v>4</v>
      </c>
      <c r="E93">
        <f>IF(AND(D94=staw[[#This Row],[Miesiąc]],F93=1),E92+1,0)</f>
        <v>1</v>
      </c>
      <c r="F93">
        <f t="shared" si="2"/>
        <v>1</v>
      </c>
    </row>
    <row r="94" spans="1:6">
      <c r="A94" s="1">
        <v>44654</v>
      </c>
      <c r="B94">
        <v>0.2</v>
      </c>
      <c r="C94">
        <v>2</v>
      </c>
      <c r="D94">
        <f t="shared" si="3"/>
        <v>4</v>
      </c>
      <c r="E94">
        <f>IF(AND(D95=staw[[#This Row],[Miesiąc]],F94=1),E93+1,0)</f>
        <v>0</v>
      </c>
      <c r="F94">
        <f t="shared" si="2"/>
        <v>0</v>
      </c>
    </row>
    <row r="95" spans="1:6">
      <c r="A95" s="1">
        <v>44655</v>
      </c>
      <c r="B95">
        <v>2.8</v>
      </c>
      <c r="C95">
        <v>0</v>
      </c>
      <c r="D95">
        <f t="shared" si="3"/>
        <v>4</v>
      </c>
      <c r="E95">
        <f>IF(AND(D96=staw[[#This Row],[Miesiąc]],F95=1),E94+1,0)</f>
        <v>1</v>
      </c>
      <c r="F95">
        <f t="shared" si="2"/>
        <v>1</v>
      </c>
    </row>
    <row r="96" spans="1:6">
      <c r="A96" s="1">
        <v>44656</v>
      </c>
      <c r="B96">
        <v>5.7</v>
      </c>
      <c r="C96">
        <v>1</v>
      </c>
      <c r="D96">
        <f t="shared" si="3"/>
        <v>4</v>
      </c>
      <c r="E96">
        <f>IF(AND(D97=staw[[#This Row],[Miesiąc]],F96=1),E95+1,0)</f>
        <v>0</v>
      </c>
      <c r="F96">
        <f t="shared" si="2"/>
        <v>0</v>
      </c>
    </row>
    <row r="97" spans="1:6">
      <c r="A97" s="1">
        <v>44657</v>
      </c>
      <c r="B97">
        <v>11.6</v>
      </c>
      <c r="C97">
        <v>0</v>
      </c>
      <c r="D97">
        <f t="shared" si="3"/>
        <v>4</v>
      </c>
      <c r="E97">
        <f>IF(AND(D98=staw[[#This Row],[Miesiąc]],F97=1),E96+1,0)</f>
        <v>1</v>
      </c>
      <c r="F97">
        <f t="shared" si="2"/>
        <v>1</v>
      </c>
    </row>
    <row r="98" spans="1:6">
      <c r="A98" s="1">
        <v>44658</v>
      </c>
      <c r="B98">
        <v>14.3</v>
      </c>
      <c r="C98">
        <v>0</v>
      </c>
      <c r="D98">
        <f t="shared" si="3"/>
        <v>4</v>
      </c>
      <c r="E98">
        <f>IF(AND(D99=staw[[#This Row],[Miesiąc]],F98=1),E97+1,0)</f>
        <v>2</v>
      </c>
      <c r="F98">
        <f t="shared" si="2"/>
        <v>1</v>
      </c>
    </row>
    <row r="99" spans="1:6">
      <c r="A99" s="1">
        <v>44659</v>
      </c>
      <c r="B99">
        <v>11.3</v>
      </c>
      <c r="C99">
        <v>4</v>
      </c>
      <c r="D99">
        <f t="shared" si="3"/>
        <v>4</v>
      </c>
      <c r="E99">
        <f>IF(AND(D100=staw[[#This Row],[Miesiąc]],F99=1),E98+1,0)</f>
        <v>0</v>
      </c>
      <c r="F99">
        <f t="shared" si="2"/>
        <v>0</v>
      </c>
    </row>
    <row r="100" spans="1:6">
      <c r="A100" s="1">
        <v>44660</v>
      </c>
      <c r="B100">
        <v>5.8</v>
      </c>
      <c r="C100">
        <v>1</v>
      </c>
      <c r="D100">
        <f t="shared" si="3"/>
        <v>4</v>
      </c>
      <c r="E100">
        <f>IF(AND(D101=staw[[#This Row],[Miesiąc]],F100=1),E99+1,0)</f>
        <v>0</v>
      </c>
      <c r="F100">
        <f t="shared" si="2"/>
        <v>0</v>
      </c>
    </row>
    <row r="101" spans="1:6">
      <c r="A101" s="1">
        <v>44661</v>
      </c>
      <c r="B101">
        <v>4.3</v>
      </c>
      <c r="C101">
        <v>0</v>
      </c>
      <c r="D101">
        <f t="shared" si="3"/>
        <v>4</v>
      </c>
      <c r="E101">
        <f>IF(AND(D102=staw[[#This Row],[Miesiąc]],F101=1),E100+1,0)</f>
        <v>1</v>
      </c>
      <c r="F101">
        <f t="shared" si="2"/>
        <v>1</v>
      </c>
    </row>
    <row r="102" spans="1:6">
      <c r="A102" s="1">
        <v>44662</v>
      </c>
      <c r="B102">
        <v>3.6</v>
      </c>
      <c r="C102">
        <v>0</v>
      </c>
      <c r="D102">
        <f t="shared" si="3"/>
        <v>4</v>
      </c>
      <c r="E102">
        <f>IF(AND(D103=staw[[#This Row],[Miesiąc]],F102=1),E101+1,0)</f>
        <v>2</v>
      </c>
      <c r="F102">
        <f t="shared" si="2"/>
        <v>1</v>
      </c>
    </row>
    <row r="103" spans="1:6">
      <c r="A103" s="1">
        <v>44663</v>
      </c>
      <c r="B103">
        <v>6.8</v>
      </c>
      <c r="C103">
        <v>0</v>
      </c>
      <c r="D103">
        <f t="shared" si="3"/>
        <v>4</v>
      </c>
      <c r="E103">
        <f>IF(AND(D104=staw[[#This Row],[Miesiąc]],F103=1),E102+1,0)</f>
        <v>3</v>
      </c>
      <c r="F103">
        <f t="shared" si="2"/>
        <v>1</v>
      </c>
    </row>
    <row r="104" spans="1:6">
      <c r="A104" s="1">
        <v>44664</v>
      </c>
      <c r="B104">
        <v>9.1999999999999993</v>
      </c>
      <c r="C104">
        <v>0</v>
      </c>
      <c r="D104">
        <f t="shared" si="3"/>
        <v>4</v>
      </c>
      <c r="E104">
        <f>IF(AND(D105=staw[[#This Row],[Miesiąc]],F104=1),E103+1,0)</f>
        <v>4</v>
      </c>
      <c r="F104">
        <f t="shared" si="2"/>
        <v>1</v>
      </c>
    </row>
    <row r="105" spans="1:6">
      <c r="A105" s="1">
        <v>44665</v>
      </c>
      <c r="B105">
        <v>13.9</v>
      </c>
      <c r="C105">
        <v>0</v>
      </c>
      <c r="D105">
        <f t="shared" si="3"/>
        <v>4</v>
      </c>
      <c r="E105">
        <f>IF(AND(D106=staw[[#This Row],[Miesiąc]],F105=1),E104+1,0)</f>
        <v>5</v>
      </c>
      <c r="F105">
        <f t="shared" si="2"/>
        <v>1</v>
      </c>
    </row>
    <row r="106" spans="1:6">
      <c r="A106" s="1">
        <v>44666</v>
      </c>
      <c r="B106">
        <v>11.3</v>
      </c>
      <c r="C106">
        <v>2</v>
      </c>
      <c r="D106">
        <f t="shared" si="3"/>
        <v>4</v>
      </c>
      <c r="E106">
        <f>IF(AND(D107=staw[[#This Row],[Miesiąc]],F106=1),E105+1,0)</f>
        <v>0</v>
      </c>
      <c r="F106">
        <f t="shared" si="2"/>
        <v>0</v>
      </c>
    </row>
    <row r="107" spans="1:6">
      <c r="A107" s="1">
        <v>44667</v>
      </c>
      <c r="B107">
        <v>6.9</v>
      </c>
      <c r="C107">
        <v>4</v>
      </c>
      <c r="D107">
        <f t="shared" si="3"/>
        <v>4</v>
      </c>
      <c r="E107">
        <f>IF(AND(D108=staw[[#This Row],[Miesiąc]],F107=1),E106+1,0)</f>
        <v>0</v>
      </c>
      <c r="F107">
        <f t="shared" si="2"/>
        <v>0</v>
      </c>
    </row>
    <row r="108" spans="1:6">
      <c r="A108" s="1">
        <v>44668</v>
      </c>
      <c r="B108">
        <v>6.2</v>
      </c>
      <c r="C108">
        <v>0</v>
      </c>
      <c r="D108">
        <f t="shared" si="3"/>
        <v>4</v>
      </c>
      <c r="E108">
        <f>IF(AND(D109=staw[[#This Row],[Miesiąc]],F108=1),E107+1,0)</f>
        <v>1</v>
      </c>
      <c r="F108">
        <f t="shared" si="2"/>
        <v>1</v>
      </c>
    </row>
    <row r="109" spans="1:6">
      <c r="A109" s="1">
        <v>44669</v>
      </c>
      <c r="B109">
        <v>5.4</v>
      </c>
      <c r="C109">
        <v>0</v>
      </c>
      <c r="D109">
        <f t="shared" si="3"/>
        <v>4</v>
      </c>
      <c r="E109">
        <f>IF(AND(D110=staw[[#This Row],[Miesiąc]],F109=1),E108+1,0)</f>
        <v>2</v>
      </c>
      <c r="F109">
        <f t="shared" si="2"/>
        <v>1</v>
      </c>
    </row>
    <row r="110" spans="1:6">
      <c r="A110" s="1">
        <v>44670</v>
      </c>
      <c r="B110">
        <v>5.3</v>
      </c>
      <c r="C110">
        <v>0</v>
      </c>
      <c r="D110">
        <f t="shared" si="3"/>
        <v>4</v>
      </c>
      <c r="E110">
        <f>IF(AND(D111=staw[[#This Row],[Miesiąc]],F110=1),E109+1,0)</f>
        <v>3</v>
      </c>
      <c r="F110">
        <f t="shared" si="2"/>
        <v>1</v>
      </c>
    </row>
    <row r="111" spans="1:6">
      <c r="A111" s="1">
        <v>44671</v>
      </c>
      <c r="B111">
        <v>4.7</v>
      </c>
      <c r="C111">
        <v>0</v>
      </c>
      <c r="D111">
        <f t="shared" si="3"/>
        <v>4</v>
      </c>
      <c r="E111">
        <f>IF(AND(D112=staw[[#This Row],[Miesiąc]],F111=1),E110+1,0)</f>
        <v>4</v>
      </c>
      <c r="F111">
        <f t="shared" si="2"/>
        <v>1</v>
      </c>
    </row>
    <row r="112" spans="1:6">
      <c r="A112" s="1">
        <v>44672</v>
      </c>
      <c r="B112">
        <v>7.7</v>
      </c>
      <c r="C112">
        <v>0</v>
      </c>
      <c r="D112">
        <f t="shared" si="3"/>
        <v>4</v>
      </c>
      <c r="E112">
        <f>IF(AND(D113=staw[[#This Row],[Miesiąc]],F112=1),E111+1,0)</f>
        <v>5</v>
      </c>
      <c r="F112">
        <f t="shared" si="2"/>
        <v>1</v>
      </c>
    </row>
    <row r="113" spans="1:6">
      <c r="A113" s="1">
        <v>44673</v>
      </c>
      <c r="B113">
        <v>7.7</v>
      </c>
      <c r="C113">
        <v>0</v>
      </c>
      <c r="D113">
        <f t="shared" si="3"/>
        <v>4</v>
      </c>
      <c r="E113">
        <f>IF(AND(D114=staw[[#This Row],[Miesiąc]],F113=1),E112+1,0)</f>
        <v>6</v>
      </c>
      <c r="F113">
        <f t="shared" si="2"/>
        <v>1</v>
      </c>
    </row>
    <row r="114" spans="1:6">
      <c r="A114" s="1">
        <v>44674</v>
      </c>
      <c r="B114">
        <v>8.6</v>
      </c>
      <c r="C114">
        <v>0</v>
      </c>
      <c r="D114">
        <f t="shared" si="3"/>
        <v>4</v>
      </c>
      <c r="E114">
        <f>IF(AND(D115=staw[[#This Row],[Miesiąc]],F114=1),E113+1,0)</f>
        <v>7</v>
      </c>
      <c r="F114">
        <f t="shared" si="2"/>
        <v>1</v>
      </c>
    </row>
    <row r="115" spans="1:6">
      <c r="A115" s="1">
        <v>44675</v>
      </c>
      <c r="B115">
        <v>9.4</v>
      </c>
      <c r="C115">
        <v>0</v>
      </c>
      <c r="D115">
        <f t="shared" si="3"/>
        <v>4</v>
      </c>
      <c r="E115">
        <f>IF(AND(D116=staw[[#This Row],[Miesiąc]],F115=1),E114+1,0)</f>
        <v>8</v>
      </c>
      <c r="F115">
        <f t="shared" si="2"/>
        <v>1</v>
      </c>
    </row>
    <row r="116" spans="1:6">
      <c r="A116" s="1">
        <v>44676</v>
      </c>
      <c r="B116">
        <v>11.1</v>
      </c>
      <c r="C116">
        <v>18</v>
      </c>
      <c r="D116">
        <f t="shared" si="3"/>
        <v>4</v>
      </c>
      <c r="E116">
        <f>IF(AND(D117=staw[[#This Row],[Miesiąc]],F116=1),E115+1,0)</f>
        <v>0</v>
      </c>
      <c r="F116">
        <f t="shared" si="2"/>
        <v>0</v>
      </c>
    </row>
    <row r="117" spans="1:6">
      <c r="A117" s="1">
        <v>44677</v>
      </c>
      <c r="B117">
        <v>9.5</v>
      </c>
      <c r="C117">
        <v>0</v>
      </c>
      <c r="D117">
        <f t="shared" si="3"/>
        <v>4</v>
      </c>
      <c r="E117">
        <f>IF(AND(D118=staw[[#This Row],[Miesiąc]],F117=1),E116+1,0)</f>
        <v>1</v>
      </c>
      <c r="F117">
        <f t="shared" si="2"/>
        <v>1</v>
      </c>
    </row>
    <row r="118" spans="1:6">
      <c r="A118" s="1">
        <v>44678</v>
      </c>
      <c r="B118">
        <v>9.8000000000000007</v>
      </c>
      <c r="C118">
        <v>0</v>
      </c>
      <c r="D118">
        <f t="shared" si="3"/>
        <v>4</v>
      </c>
      <c r="E118">
        <f>IF(AND(D119=staw[[#This Row],[Miesiąc]],F118=1),E117+1,0)</f>
        <v>2</v>
      </c>
      <c r="F118">
        <f t="shared" si="2"/>
        <v>1</v>
      </c>
    </row>
    <row r="119" spans="1:6">
      <c r="A119" s="1">
        <v>44679</v>
      </c>
      <c r="B119">
        <v>12.1</v>
      </c>
      <c r="C119">
        <v>0</v>
      </c>
      <c r="D119">
        <f t="shared" si="3"/>
        <v>4</v>
      </c>
      <c r="E119">
        <f>IF(AND(D120=staw[[#This Row],[Miesiąc]],F119=1),E118+1,0)</f>
        <v>3</v>
      </c>
      <c r="F119">
        <f t="shared" si="2"/>
        <v>1</v>
      </c>
    </row>
    <row r="120" spans="1:6">
      <c r="A120" s="1">
        <v>44680</v>
      </c>
      <c r="B120">
        <v>11.1</v>
      </c>
      <c r="C120">
        <v>0</v>
      </c>
      <c r="D120">
        <f t="shared" si="3"/>
        <v>4</v>
      </c>
      <c r="E120">
        <f>IF(AND(D121=staw[[#This Row],[Miesiąc]],F120=1),E119+1,0)</f>
        <v>4</v>
      </c>
      <c r="F120">
        <f t="shared" si="2"/>
        <v>1</v>
      </c>
    </row>
    <row r="121" spans="1:6">
      <c r="A121" s="1">
        <v>44681</v>
      </c>
      <c r="B121">
        <v>3.9</v>
      </c>
      <c r="C121">
        <v>11</v>
      </c>
      <c r="D121">
        <f t="shared" si="3"/>
        <v>4</v>
      </c>
      <c r="E121">
        <f>IF(AND(D122=staw[[#This Row],[Miesiąc]],F121=1),E120+1,0)</f>
        <v>0</v>
      </c>
      <c r="F121">
        <f t="shared" si="2"/>
        <v>0</v>
      </c>
    </row>
    <row r="122" spans="1:6">
      <c r="A122" s="1">
        <v>44682</v>
      </c>
      <c r="B122">
        <v>12.8</v>
      </c>
      <c r="C122">
        <v>0</v>
      </c>
      <c r="D122">
        <f t="shared" si="3"/>
        <v>5</v>
      </c>
      <c r="E122">
        <f>IF(AND(D123=staw[[#This Row],[Miesiąc]],F122=1),E121+1,0)</f>
        <v>1</v>
      </c>
      <c r="F122">
        <f t="shared" si="2"/>
        <v>1</v>
      </c>
    </row>
    <row r="123" spans="1:6">
      <c r="A123" s="1">
        <v>44683</v>
      </c>
      <c r="B123">
        <v>14.4</v>
      </c>
      <c r="C123">
        <v>0</v>
      </c>
      <c r="D123">
        <f t="shared" si="3"/>
        <v>5</v>
      </c>
      <c r="E123">
        <f>IF(AND(D124=staw[[#This Row],[Miesiąc]],F123=1),E122+1,0)</f>
        <v>2</v>
      </c>
      <c r="F123">
        <f t="shared" si="2"/>
        <v>1</v>
      </c>
    </row>
    <row r="124" spans="1:6">
      <c r="A124" s="1">
        <v>44684</v>
      </c>
      <c r="B124">
        <v>15.3</v>
      </c>
      <c r="C124">
        <v>0</v>
      </c>
      <c r="D124">
        <f t="shared" si="3"/>
        <v>5</v>
      </c>
      <c r="E124">
        <f>IF(AND(D125=staw[[#This Row],[Miesiąc]],F124=1),E123+1,0)</f>
        <v>3</v>
      </c>
      <c r="F124">
        <f t="shared" si="2"/>
        <v>1</v>
      </c>
    </row>
    <row r="125" spans="1:6">
      <c r="A125" s="1">
        <v>44685</v>
      </c>
      <c r="B125">
        <v>15.4</v>
      </c>
      <c r="C125">
        <v>0</v>
      </c>
      <c r="D125">
        <f t="shared" si="3"/>
        <v>5</v>
      </c>
      <c r="E125">
        <f>IF(AND(D126=staw[[#This Row],[Miesiąc]],F125=1),E124+1,0)</f>
        <v>4</v>
      </c>
      <c r="F125">
        <f t="shared" si="2"/>
        <v>1</v>
      </c>
    </row>
    <row r="126" spans="1:6">
      <c r="A126" s="1">
        <v>44686</v>
      </c>
      <c r="B126">
        <v>16.100000000000001</v>
      </c>
      <c r="C126">
        <v>0</v>
      </c>
      <c r="D126">
        <f t="shared" si="3"/>
        <v>5</v>
      </c>
      <c r="E126">
        <f>IF(AND(D127=staw[[#This Row],[Miesiąc]],F126=1),E125+1,0)</f>
        <v>5</v>
      </c>
      <c r="F126">
        <f t="shared" si="2"/>
        <v>1</v>
      </c>
    </row>
    <row r="127" spans="1:6">
      <c r="A127" s="1">
        <v>44687</v>
      </c>
      <c r="B127">
        <v>14.9</v>
      </c>
      <c r="C127">
        <v>0</v>
      </c>
      <c r="D127">
        <f t="shared" si="3"/>
        <v>5</v>
      </c>
      <c r="E127">
        <f>IF(AND(D128=staw[[#This Row],[Miesiąc]],F127=1),E126+1,0)</f>
        <v>6</v>
      </c>
      <c r="F127">
        <f t="shared" si="2"/>
        <v>1</v>
      </c>
    </row>
    <row r="128" spans="1:6">
      <c r="A128" s="1">
        <v>44688</v>
      </c>
      <c r="B128">
        <v>16</v>
      </c>
      <c r="C128">
        <v>0</v>
      </c>
      <c r="D128">
        <f t="shared" si="3"/>
        <v>5</v>
      </c>
      <c r="E128">
        <f>IF(AND(D129=staw[[#This Row],[Miesiąc]],F128=1),E127+1,0)</f>
        <v>7</v>
      </c>
      <c r="F128">
        <f t="shared" si="2"/>
        <v>1</v>
      </c>
    </row>
    <row r="129" spans="1:6">
      <c r="A129" s="1">
        <v>44689</v>
      </c>
      <c r="B129">
        <v>16.3</v>
      </c>
      <c r="C129">
        <v>0</v>
      </c>
      <c r="D129">
        <f t="shared" si="3"/>
        <v>5</v>
      </c>
      <c r="E129">
        <f>IF(AND(D130=staw[[#This Row],[Miesiąc]],F129=1),E128+1,0)</f>
        <v>8</v>
      </c>
      <c r="F129">
        <f t="shared" si="2"/>
        <v>1</v>
      </c>
    </row>
    <row r="130" spans="1:6">
      <c r="A130" s="1">
        <v>44690</v>
      </c>
      <c r="B130">
        <v>15.5</v>
      </c>
      <c r="C130">
        <v>0</v>
      </c>
      <c r="D130">
        <f t="shared" si="3"/>
        <v>5</v>
      </c>
      <c r="E130">
        <f>IF(AND(D131=staw[[#This Row],[Miesiąc]],F130=1),E129+1,0)</f>
        <v>9</v>
      </c>
      <c r="F130">
        <f t="shared" ref="F130:F193" si="4">IF(C130=0,1,0)</f>
        <v>1</v>
      </c>
    </row>
    <row r="131" spans="1:6">
      <c r="A131" s="1">
        <v>44691</v>
      </c>
      <c r="B131">
        <v>15</v>
      </c>
      <c r="C131">
        <v>0</v>
      </c>
      <c r="D131">
        <f t="shared" ref="D131:D194" si="5">MONTH(A131)</f>
        <v>5</v>
      </c>
      <c r="E131">
        <f>IF(AND(D132=staw[[#This Row],[Miesiąc]],F131=1),E130+1,0)</f>
        <v>10</v>
      </c>
      <c r="F131">
        <f t="shared" si="4"/>
        <v>1</v>
      </c>
    </row>
    <row r="132" spans="1:6">
      <c r="A132" s="1">
        <v>44692</v>
      </c>
      <c r="B132">
        <v>18.600000000000001</v>
      </c>
      <c r="C132">
        <v>0</v>
      </c>
      <c r="D132">
        <f t="shared" si="5"/>
        <v>5</v>
      </c>
      <c r="E132">
        <f>IF(AND(D133=staw[[#This Row],[Miesiąc]],F132=1),E131+1,0)</f>
        <v>11</v>
      </c>
      <c r="F132">
        <f t="shared" si="4"/>
        <v>1</v>
      </c>
    </row>
    <row r="133" spans="1:6">
      <c r="A133" s="1">
        <v>44693</v>
      </c>
      <c r="B133">
        <v>22.2</v>
      </c>
      <c r="C133">
        <v>0</v>
      </c>
      <c r="D133">
        <f t="shared" si="5"/>
        <v>5</v>
      </c>
      <c r="E133">
        <f>IF(AND(D134=staw[[#This Row],[Miesiąc]],F133=1),E132+1,0)</f>
        <v>12</v>
      </c>
      <c r="F133">
        <f t="shared" si="4"/>
        <v>1</v>
      </c>
    </row>
    <row r="134" spans="1:6">
      <c r="A134" s="1">
        <v>44694</v>
      </c>
      <c r="B134">
        <v>17.399999999999999</v>
      </c>
      <c r="C134">
        <v>0</v>
      </c>
      <c r="D134">
        <f t="shared" si="5"/>
        <v>5</v>
      </c>
      <c r="E134">
        <f>IF(AND(D135=staw[[#This Row],[Miesiąc]],F134=1),E133+1,0)</f>
        <v>13</v>
      </c>
      <c r="F134">
        <f t="shared" si="4"/>
        <v>1</v>
      </c>
    </row>
    <row r="135" spans="1:6">
      <c r="A135" s="1">
        <v>44695</v>
      </c>
      <c r="B135">
        <v>16.2</v>
      </c>
      <c r="C135">
        <v>0</v>
      </c>
      <c r="D135">
        <f t="shared" si="5"/>
        <v>5</v>
      </c>
      <c r="E135">
        <f>IF(AND(D136=staw[[#This Row],[Miesiąc]],F135=1),E134+1,0)</f>
        <v>14</v>
      </c>
      <c r="F135">
        <f t="shared" si="4"/>
        <v>1</v>
      </c>
    </row>
    <row r="136" spans="1:6">
      <c r="A136" s="1">
        <v>44696</v>
      </c>
      <c r="B136">
        <v>16.399999999999999</v>
      </c>
      <c r="C136">
        <v>0</v>
      </c>
      <c r="D136">
        <f t="shared" si="5"/>
        <v>5</v>
      </c>
      <c r="E136">
        <f>IF(AND(D137=staw[[#This Row],[Miesiąc]],F136=1),E135+1,0)</f>
        <v>15</v>
      </c>
      <c r="F136">
        <f t="shared" si="4"/>
        <v>1</v>
      </c>
    </row>
    <row r="137" spans="1:6">
      <c r="A137" s="1">
        <v>44697</v>
      </c>
      <c r="B137">
        <v>15.9</v>
      </c>
      <c r="C137">
        <v>0</v>
      </c>
      <c r="D137">
        <f t="shared" si="5"/>
        <v>5</v>
      </c>
      <c r="E137">
        <f>IF(AND(D138=staw[[#This Row],[Miesiąc]],F137=1),E136+1,0)</f>
        <v>16</v>
      </c>
      <c r="F137">
        <f t="shared" si="4"/>
        <v>1</v>
      </c>
    </row>
    <row r="138" spans="1:6">
      <c r="A138" s="1">
        <v>44698</v>
      </c>
      <c r="B138">
        <v>15.8</v>
      </c>
      <c r="C138">
        <v>0</v>
      </c>
      <c r="D138">
        <f t="shared" si="5"/>
        <v>5</v>
      </c>
      <c r="E138">
        <f>IF(AND(D139=staw[[#This Row],[Miesiąc]],F138=1),E137+1,0)</f>
        <v>17</v>
      </c>
      <c r="F138">
        <f t="shared" si="4"/>
        <v>1</v>
      </c>
    </row>
    <row r="139" spans="1:6">
      <c r="A139" s="1">
        <v>44699</v>
      </c>
      <c r="B139">
        <v>12.4</v>
      </c>
      <c r="C139">
        <v>0</v>
      </c>
      <c r="D139">
        <f t="shared" si="5"/>
        <v>5</v>
      </c>
      <c r="E139">
        <f>IF(AND(D140=staw[[#This Row],[Miesiąc]],F139=1),E138+1,0)</f>
        <v>18</v>
      </c>
      <c r="F139">
        <f t="shared" si="4"/>
        <v>1</v>
      </c>
    </row>
    <row r="140" spans="1:6">
      <c r="A140" s="1">
        <v>44700</v>
      </c>
      <c r="B140">
        <v>16</v>
      </c>
      <c r="C140">
        <v>0</v>
      </c>
      <c r="D140">
        <f t="shared" si="5"/>
        <v>5</v>
      </c>
      <c r="E140">
        <f>IF(AND(D141=staw[[#This Row],[Miesiąc]],F140=1),E139+1,0)</f>
        <v>19</v>
      </c>
      <c r="F140">
        <f t="shared" si="4"/>
        <v>1</v>
      </c>
    </row>
    <row r="141" spans="1:6">
      <c r="A141" s="1">
        <v>44701</v>
      </c>
      <c r="B141">
        <v>20.3</v>
      </c>
      <c r="C141">
        <v>0</v>
      </c>
      <c r="D141">
        <f t="shared" si="5"/>
        <v>5</v>
      </c>
      <c r="E141">
        <f>IF(AND(D142=staw[[#This Row],[Miesiąc]],F141=1),E140+1,0)</f>
        <v>20</v>
      </c>
      <c r="F141">
        <f t="shared" si="4"/>
        <v>1</v>
      </c>
    </row>
    <row r="142" spans="1:6">
      <c r="A142" s="1">
        <v>44702</v>
      </c>
      <c r="B142">
        <v>19.8</v>
      </c>
      <c r="C142">
        <v>1</v>
      </c>
      <c r="D142">
        <f t="shared" si="5"/>
        <v>5</v>
      </c>
      <c r="E142">
        <f>IF(AND(D143=staw[[#This Row],[Miesiąc]],F142=1),E141+1,0)</f>
        <v>0</v>
      </c>
      <c r="F142">
        <f t="shared" si="4"/>
        <v>0</v>
      </c>
    </row>
    <row r="143" spans="1:6">
      <c r="A143" s="1">
        <v>44703</v>
      </c>
      <c r="B143">
        <v>14.1</v>
      </c>
      <c r="C143">
        <v>0</v>
      </c>
      <c r="D143">
        <f t="shared" si="5"/>
        <v>5</v>
      </c>
      <c r="E143">
        <f>IF(AND(D144=staw[[#This Row],[Miesiąc]],F143=1),E142+1,0)</f>
        <v>1</v>
      </c>
      <c r="F143">
        <f t="shared" si="4"/>
        <v>1</v>
      </c>
    </row>
    <row r="144" spans="1:6">
      <c r="A144" s="1">
        <v>44704</v>
      </c>
      <c r="B144">
        <v>13.1</v>
      </c>
      <c r="C144">
        <v>0</v>
      </c>
      <c r="D144">
        <f t="shared" si="5"/>
        <v>5</v>
      </c>
      <c r="E144">
        <f>IF(AND(D145=staw[[#This Row],[Miesiąc]],F144=1),E143+1,0)</f>
        <v>2</v>
      </c>
      <c r="F144">
        <f t="shared" si="4"/>
        <v>1</v>
      </c>
    </row>
    <row r="145" spans="1:6">
      <c r="A145" s="1">
        <v>44705</v>
      </c>
      <c r="B145">
        <v>16.100000000000001</v>
      </c>
      <c r="C145">
        <v>0</v>
      </c>
      <c r="D145">
        <f t="shared" si="5"/>
        <v>5</v>
      </c>
      <c r="E145">
        <f>IF(AND(D146=staw[[#This Row],[Miesiąc]],F145=1),E144+1,0)</f>
        <v>3</v>
      </c>
      <c r="F145">
        <f t="shared" si="4"/>
        <v>1</v>
      </c>
    </row>
    <row r="146" spans="1:6">
      <c r="A146" s="1">
        <v>44706</v>
      </c>
      <c r="B146">
        <v>16.100000000000001</v>
      </c>
      <c r="C146">
        <v>0</v>
      </c>
      <c r="D146">
        <f t="shared" si="5"/>
        <v>5</v>
      </c>
      <c r="E146">
        <f>IF(AND(D147=staw[[#This Row],[Miesiąc]],F146=1),E145+1,0)</f>
        <v>4</v>
      </c>
      <c r="F146">
        <f t="shared" si="4"/>
        <v>1</v>
      </c>
    </row>
    <row r="147" spans="1:6">
      <c r="A147" s="1">
        <v>44707</v>
      </c>
      <c r="B147">
        <v>16.7</v>
      </c>
      <c r="C147">
        <v>0</v>
      </c>
      <c r="D147">
        <f t="shared" si="5"/>
        <v>5</v>
      </c>
      <c r="E147">
        <f>IF(AND(D148=staw[[#This Row],[Miesiąc]],F147=1),E146+1,0)</f>
        <v>5</v>
      </c>
      <c r="F147">
        <f t="shared" si="4"/>
        <v>1</v>
      </c>
    </row>
    <row r="148" spans="1:6">
      <c r="A148" s="1">
        <v>44708</v>
      </c>
      <c r="B148">
        <v>16</v>
      </c>
      <c r="C148">
        <v>0</v>
      </c>
      <c r="D148">
        <f t="shared" si="5"/>
        <v>5</v>
      </c>
      <c r="E148">
        <f>IF(AND(D149=staw[[#This Row],[Miesiąc]],F148=1),E147+1,0)</f>
        <v>6</v>
      </c>
      <c r="F148">
        <f t="shared" si="4"/>
        <v>1</v>
      </c>
    </row>
    <row r="149" spans="1:6">
      <c r="A149" s="1">
        <v>44709</v>
      </c>
      <c r="B149">
        <v>12.3</v>
      </c>
      <c r="C149">
        <v>0</v>
      </c>
      <c r="D149">
        <f t="shared" si="5"/>
        <v>5</v>
      </c>
      <c r="E149">
        <f>IF(AND(D150=staw[[#This Row],[Miesiąc]],F149=1),E148+1,0)</f>
        <v>7</v>
      </c>
      <c r="F149">
        <f t="shared" si="4"/>
        <v>1</v>
      </c>
    </row>
    <row r="150" spans="1:6">
      <c r="A150" s="1">
        <v>44710</v>
      </c>
      <c r="B150">
        <v>13.3</v>
      </c>
      <c r="C150">
        <v>0</v>
      </c>
      <c r="D150">
        <f t="shared" si="5"/>
        <v>5</v>
      </c>
      <c r="E150">
        <f>IF(AND(D151=staw[[#This Row],[Miesiąc]],F150=1),E149+1,0)</f>
        <v>8</v>
      </c>
      <c r="F150">
        <f t="shared" si="4"/>
        <v>1</v>
      </c>
    </row>
    <row r="151" spans="1:6">
      <c r="A151" s="1">
        <v>44711</v>
      </c>
      <c r="B151">
        <v>14.2</v>
      </c>
      <c r="C151">
        <v>1</v>
      </c>
      <c r="D151">
        <f t="shared" si="5"/>
        <v>5</v>
      </c>
      <c r="E151">
        <f>IF(AND(D152=staw[[#This Row],[Miesiąc]],F151=1),E150+1,0)</f>
        <v>0</v>
      </c>
      <c r="F151">
        <f t="shared" si="4"/>
        <v>0</v>
      </c>
    </row>
    <row r="152" spans="1:6">
      <c r="A152" s="1">
        <v>44712</v>
      </c>
      <c r="B152">
        <v>17.2</v>
      </c>
      <c r="C152">
        <v>0</v>
      </c>
      <c r="D152">
        <f t="shared" si="5"/>
        <v>5</v>
      </c>
      <c r="E152">
        <f>IF(AND(D153=staw[[#This Row],[Miesiąc]],F152=1),E151+1,0)</f>
        <v>0</v>
      </c>
      <c r="F152">
        <f t="shared" si="4"/>
        <v>1</v>
      </c>
    </row>
    <row r="153" spans="1:6">
      <c r="A153" s="1">
        <v>44713</v>
      </c>
      <c r="B153">
        <v>19</v>
      </c>
      <c r="C153">
        <v>0</v>
      </c>
      <c r="D153">
        <f t="shared" si="5"/>
        <v>6</v>
      </c>
      <c r="E153">
        <f>IF(AND(D154=staw[[#This Row],[Miesiąc]],F153=1),E152+1,0)</f>
        <v>1</v>
      </c>
      <c r="F153">
        <f t="shared" si="4"/>
        <v>1</v>
      </c>
    </row>
    <row r="154" spans="1:6">
      <c r="A154" s="1">
        <v>44714</v>
      </c>
      <c r="B154">
        <v>16.899999999999999</v>
      </c>
      <c r="C154">
        <v>1</v>
      </c>
      <c r="D154">
        <f t="shared" si="5"/>
        <v>6</v>
      </c>
      <c r="E154">
        <f>IF(AND(D155=staw[[#This Row],[Miesiąc]],F154=1),E153+1,0)</f>
        <v>0</v>
      </c>
      <c r="F154">
        <f t="shared" si="4"/>
        <v>0</v>
      </c>
    </row>
    <row r="155" spans="1:6">
      <c r="A155" s="1">
        <v>44715</v>
      </c>
      <c r="B155">
        <v>18.399999999999999</v>
      </c>
      <c r="C155">
        <v>0</v>
      </c>
      <c r="D155">
        <f t="shared" si="5"/>
        <v>6</v>
      </c>
      <c r="E155">
        <f>IF(AND(D156=staw[[#This Row],[Miesiąc]],F155=1),E154+1,0)</f>
        <v>1</v>
      </c>
      <c r="F155">
        <f t="shared" si="4"/>
        <v>1</v>
      </c>
    </row>
    <row r="156" spans="1:6">
      <c r="A156" s="1">
        <v>44716</v>
      </c>
      <c r="B156">
        <v>17.5</v>
      </c>
      <c r="C156">
        <v>0</v>
      </c>
      <c r="D156">
        <f t="shared" si="5"/>
        <v>6</v>
      </c>
      <c r="E156">
        <f>IF(AND(D157=staw[[#This Row],[Miesiąc]],F156=1),E155+1,0)</f>
        <v>2</v>
      </c>
      <c r="F156">
        <f t="shared" si="4"/>
        <v>1</v>
      </c>
    </row>
    <row r="157" spans="1:6">
      <c r="A157" s="1">
        <v>44717</v>
      </c>
      <c r="B157">
        <v>19.899999999999999</v>
      </c>
      <c r="C157">
        <v>0</v>
      </c>
      <c r="D157">
        <f t="shared" si="5"/>
        <v>6</v>
      </c>
      <c r="E157">
        <f>IF(AND(D158=staw[[#This Row],[Miesiąc]],F157=1),E156+1,0)</f>
        <v>3</v>
      </c>
      <c r="F157">
        <f t="shared" si="4"/>
        <v>1</v>
      </c>
    </row>
    <row r="158" spans="1:6">
      <c r="A158" s="1">
        <v>44718</v>
      </c>
      <c r="B158">
        <v>21</v>
      </c>
      <c r="C158">
        <v>0</v>
      </c>
      <c r="D158">
        <f t="shared" si="5"/>
        <v>6</v>
      </c>
      <c r="E158">
        <f>IF(AND(D159=staw[[#This Row],[Miesiąc]],F158=1),E157+1,0)</f>
        <v>4</v>
      </c>
      <c r="F158">
        <f t="shared" si="4"/>
        <v>1</v>
      </c>
    </row>
    <row r="159" spans="1:6">
      <c r="A159" s="1">
        <v>44719</v>
      </c>
      <c r="B159">
        <v>22.7</v>
      </c>
      <c r="C159">
        <v>0</v>
      </c>
      <c r="D159">
        <f t="shared" si="5"/>
        <v>6</v>
      </c>
      <c r="E159">
        <f>IF(AND(D160=staw[[#This Row],[Miesiąc]],F159=1),E158+1,0)</f>
        <v>5</v>
      </c>
      <c r="F159">
        <f t="shared" si="4"/>
        <v>1</v>
      </c>
    </row>
    <row r="160" spans="1:6">
      <c r="A160" s="1">
        <v>44720</v>
      </c>
      <c r="B160">
        <v>19.2</v>
      </c>
      <c r="C160">
        <v>0</v>
      </c>
      <c r="D160">
        <f t="shared" si="5"/>
        <v>6</v>
      </c>
      <c r="E160">
        <f>IF(AND(D161=staw[[#This Row],[Miesiąc]],F160=1),E159+1,0)</f>
        <v>6</v>
      </c>
      <c r="F160">
        <f t="shared" si="4"/>
        <v>1</v>
      </c>
    </row>
    <row r="161" spans="1:6">
      <c r="A161" s="1">
        <v>44721</v>
      </c>
      <c r="B161">
        <v>18.600000000000001</v>
      </c>
      <c r="C161">
        <v>43</v>
      </c>
      <c r="D161">
        <f t="shared" si="5"/>
        <v>6</v>
      </c>
      <c r="E161">
        <f>IF(AND(D162=staw[[#This Row],[Miesiąc]],F161=1),E160+1,0)</f>
        <v>0</v>
      </c>
      <c r="F161">
        <f t="shared" si="4"/>
        <v>0</v>
      </c>
    </row>
    <row r="162" spans="1:6">
      <c r="A162" s="1">
        <v>44722</v>
      </c>
      <c r="B162">
        <v>18.399999999999999</v>
      </c>
      <c r="C162">
        <v>0</v>
      </c>
      <c r="D162">
        <f t="shared" si="5"/>
        <v>6</v>
      </c>
      <c r="E162">
        <f>IF(AND(D163=staw[[#This Row],[Miesiąc]],F162=1),E161+1,0)</f>
        <v>1</v>
      </c>
      <c r="F162">
        <f t="shared" si="4"/>
        <v>1</v>
      </c>
    </row>
    <row r="163" spans="1:6">
      <c r="A163" s="1">
        <v>44723</v>
      </c>
      <c r="B163">
        <v>19.399999999999999</v>
      </c>
      <c r="C163">
        <v>0</v>
      </c>
      <c r="D163">
        <f t="shared" si="5"/>
        <v>6</v>
      </c>
      <c r="E163">
        <f>IF(AND(D164=staw[[#This Row],[Miesiąc]],F163=1),E162+1,0)</f>
        <v>2</v>
      </c>
      <c r="F163">
        <f t="shared" si="4"/>
        <v>1</v>
      </c>
    </row>
    <row r="164" spans="1:6">
      <c r="A164" s="1">
        <v>44724</v>
      </c>
      <c r="B164">
        <v>19.899999999999999</v>
      </c>
      <c r="C164">
        <v>0</v>
      </c>
      <c r="D164">
        <f t="shared" si="5"/>
        <v>6</v>
      </c>
      <c r="E164">
        <f>IF(AND(D165=staw[[#This Row],[Miesiąc]],F164=1),E163+1,0)</f>
        <v>3</v>
      </c>
      <c r="F164">
        <f t="shared" si="4"/>
        <v>1</v>
      </c>
    </row>
    <row r="165" spans="1:6">
      <c r="A165" s="1">
        <v>44725</v>
      </c>
      <c r="B165">
        <v>18.100000000000001</v>
      </c>
      <c r="C165">
        <v>7</v>
      </c>
      <c r="D165">
        <f t="shared" si="5"/>
        <v>6</v>
      </c>
      <c r="E165">
        <f>IF(AND(D166=staw[[#This Row],[Miesiąc]],F165=1),E164+1,0)</f>
        <v>0</v>
      </c>
      <c r="F165">
        <f t="shared" si="4"/>
        <v>0</v>
      </c>
    </row>
    <row r="166" spans="1:6">
      <c r="A166" s="1">
        <v>44726</v>
      </c>
      <c r="B166">
        <v>15.3</v>
      </c>
      <c r="C166">
        <v>0</v>
      </c>
      <c r="D166">
        <f t="shared" si="5"/>
        <v>6</v>
      </c>
      <c r="E166">
        <f>IF(AND(D167=staw[[#This Row],[Miesiąc]],F166=1),E165+1,0)</f>
        <v>1</v>
      </c>
      <c r="F166">
        <f t="shared" si="4"/>
        <v>1</v>
      </c>
    </row>
    <row r="167" spans="1:6">
      <c r="A167" s="1">
        <v>44727</v>
      </c>
      <c r="B167">
        <v>16.100000000000001</v>
      </c>
      <c r="C167">
        <v>0</v>
      </c>
      <c r="D167">
        <f t="shared" si="5"/>
        <v>6</v>
      </c>
      <c r="E167">
        <f>IF(AND(D168=staw[[#This Row],[Miesiąc]],F167=1),E166+1,0)</f>
        <v>2</v>
      </c>
      <c r="F167">
        <f t="shared" si="4"/>
        <v>1</v>
      </c>
    </row>
    <row r="168" spans="1:6">
      <c r="A168" s="1">
        <v>44728</v>
      </c>
      <c r="B168">
        <v>18.2</v>
      </c>
      <c r="C168">
        <v>15</v>
      </c>
      <c r="D168">
        <f t="shared" si="5"/>
        <v>6</v>
      </c>
      <c r="E168">
        <f>IF(AND(D169=staw[[#This Row],[Miesiąc]],F168=1),E167+1,0)</f>
        <v>0</v>
      </c>
      <c r="F168">
        <f t="shared" si="4"/>
        <v>0</v>
      </c>
    </row>
    <row r="169" spans="1:6">
      <c r="A169" s="1">
        <v>44729</v>
      </c>
      <c r="B169">
        <v>17.899999999999999</v>
      </c>
      <c r="C169">
        <v>0</v>
      </c>
      <c r="D169">
        <f t="shared" si="5"/>
        <v>6</v>
      </c>
      <c r="E169">
        <f>IF(AND(D170=staw[[#This Row],[Miesiąc]],F169=1),E168+1,0)</f>
        <v>1</v>
      </c>
      <c r="F169">
        <f t="shared" si="4"/>
        <v>1</v>
      </c>
    </row>
    <row r="170" spans="1:6">
      <c r="A170" s="1">
        <v>44730</v>
      </c>
      <c r="B170">
        <v>20.100000000000001</v>
      </c>
      <c r="C170">
        <v>0</v>
      </c>
      <c r="D170">
        <f t="shared" si="5"/>
        <v>6</v>
      </c>
      <c r="E170">
        <f>IF(AND(D171=staw[[#This Row],[Miesiąc]],F170=1),E169+1,0)</f>
        <v>2</v>
      </c>
      <c r="F170">
        <f t="shared" si="4"/>
        <v>1</v>
      </c>
    </row>
    <row r="171" spans="1:6">
      <c r="A171" s="1">
        <v>44731</v>
      </c>
      <c r="B171">
        <v>24.6</v>
      </c>
      <c r="C171">
        <v>0</v>
      </c>
      <c r="D171">
        <f t="shared" si="5"/>
        <v>6</v>
      </c>
      <c r="E171">
        <f>IF(AND(D172=staw[[#This Row],[Miesiąc]],F171=1),E170+1,0)</f>
        <v>3</v>
      </c>
      <c r="F171">
        <f t="shared" si="4"/>
        <v>1</v>
      </c>
    </row>
    <row r="172" spans="1:6">
      <c r="A172" s="1">
        <v>44732</v>
      </c>
      <c r="B172">
        <v>24.7</v>
      </c>
      <c r="C172">
        <v>0</v>
      </c>
      <c r="D172">
        <f t="shared" si="5"/>
        <v>6</v>
      </c>
      <c r="E172">
        <f>IF(AND(D173=staw[[#This Row],[Miesiąc]],F172=1),E171+1,0)</f>
        <v>4</v>
      </c>
      <c r="F172">
        <f t="shared" si="4"/>
        <v>1</v>
      </c>
    </row>
    <row r="173" spans="1:6">
      <c r="A173" s="1">
        <v>44733</v>
      </c>
      <c r="B173">
        <v>16.399999999999999</v>
      </c>
      <c r="C173">
        <v>0</v>
      </c>
      <c r="D173">
        <f t="shared" si="5"/>
        <v>6</v>
      </c>
      <c r="E173">
        <f>IF(AND(D174=staw[[#This Row],[Miesiąc]],F173=1),E172+1,0)</f>
        <v>5</v>
      </c>
      <c r="F173">
        <f t="shared" si="4"/>
        <v>1</v>
      </c>
    </row>
    <row r="174" spans="1:6">
      <c r="A174" s="1">
        <v>44734</v>
      </c>
      <c r="B174">
        <v>18.7</v>
      </c>
      <c r="C174">
        <v>0</v>
      </c>
      <c r="D174">
        <f t="shared" si="5"/>
        <v>6</v>
      </c>
      <c r="E174">
        <f>IF(AND(D175=staw[[#This Row],[Miesiąc]],F174=1),E173+1,0)</f>
        <v>6</v>
      </c>
      <c r="F174">
        <f t="shared" si="4"/>
        <v>1</v>
      </c>
    </row>
    <row r="175" spans="1:6">
      <c r="A175" s="1">
        <v>44735</v>
      </c>
      <c r="B175">
        <v>19.100000000000001</v>
      </c>
      <c r="C175">
        <v>0</v>
      </c>
      <c r="D175">
        <f t="shared" si="5"/>
        <v>6</v>
      </c>
      <c r="E175">
        <f>IF(AND(D176=staw[[#This Row],[Miesiąc]],F175=1),E174+1,0)</f>
        <v>7</v>
      </c>
      <c r="F175">
        <f t="shared" si="4"/>
        <v>1</v>
      </c>
    </row>
    <row r="176" spans="1:6">
      <c r="A176" s="1">
        <v>44736</v>
      </c>
      <c r="B176">
        <v>21.4</v>
      </c>
      <c r="C176">
        <v>0</v>
      </c>
      <c r="D176">
        <f t="shared" si="5"/>
        <v>6</v>
      </c>
      <c r="E176">
        <f>IF(AND(D177=staw[[#This Row],[Miesiąc]],F176=1),E175+1,0)</f>
        <v>8</v>
      </c>
      <c r="F176">
        <f t="shared" si="4"/>
        <v>1</v>
      </c>
    </row>
    <row r="177" spans="1:6">
      <c r="A177" s="1">
        <v>44737</v>
      </c>
      <c r="B177">
        <v>24.4</v>
      </c>
      <c r="C177">
        <v>0</v>
      </c>
      <c r="D177">
        <f t="shared" si="5"/>
        <v>6</v>
      </c>
      <c r="E177">
        <f>IF(AND(D178=staw[[#This Row],[Miesiąc]],F177=1),E176+1,0)</f>
        <v>9</v>
      </c>
      <c r="F177">
        <f t="shared" si="4"/>
        <v>1</v>
      </c>
    </row>
    <row r="178" spans="1:6">
      <c r="A178" s="1">
        <v>44738</v>
      </c>
      <c r="B178">
        <v>24.1</v>
      </c>
      <c r="C178">
        <v>0</v>
      </c>
      <c r="D178">
        <f t="shared" si="5"/>
        <v>6</v>
      </c>
      <c r="E178">
        <f>IF(AND(D179=staw[[#This Row],[Miesiąc]],F178=1),E177+1,0)</f>
        <v>10</v>
      </c>
      <c r="F178">
        <f t="shared" si="4"/>
        <v>1</v>
      </c>
    </row>
    <row r="179" spans="1:6">
      <c r="A179" s="1">
        <v>44739</v>
      </c>
      <c r="B179">
        <v>26.1</v>
      </c>
      <c r="C179">
        <v>0</v>
      </c>
      <c r="D179">
        <f t="shared" si="5"/>
        <v>6</v>
      </c>
      <c r="E179">
        <f>IF(AND(D180=staw[[#This Row],[Miesiąc]],F179=1),E178+1,0)</f>
        <v>11</v>
      </c>
      <c r="F179">
        <f t="shared" si="4"/>
        <v>1</v>
      </c>
    </row>
    <row r="180" spans="1:6">
      <c r="A180" s="1">
        <v>44740</v>
      </c>
      <c r="B180">
        <v>24.6</v>
      </c>
      <c r="C180">
        <v>1</v>
      </c>
      <c r="D180">
        <f t="shared" si="5"/>
        <v>6</v>
      </c>
      <c r="E180">
        <f>IF(AND(D181=staw[[#This Row],[Miesiąc]],F180=1),E179+1,0)</f>
        <v>0</v>
      </c>
      <c r="F180">
        <f t="shared" si="4"/>
        <v>0</v>
      </c>
    </row>
    <row r="181" spans="1:6">
      <c r="A181" s="1">
        <v>44741</v>
      </c>
      <c r="B181">
        <v>24.9</v>
      </c>
      <c r="C181">
        <v>0</v>
      </c>
      <c r="D181">
        <f t="shared" si="5"/>
        <v>6</v>
      </c>
      <c r="E181">
        <f>IF(AND(D182=staw[[#This Row],[Miesiąc]],F181=1),E180+1,0)</f>
        <v>1</v>
      </c>
      <c r="F181">
        <f t="shared" si="4"/>
        <v>1</v>
      </c>
    </row>
    <row r="182" spans="1:6">
      <c r="A182" s="1">
        <v>44742</v>
      </c>
      <c r="B182">
        <v>29</v>
      </c>
      <c r="C182">
        <v>0</v>
      </c>
      <c r="D182">
        <f t="shared" si="5"/>
        <v>6</v>
      </c>
      <c r="E182">
        <f>IF(AND(D183=staw[[#This Row],[Miesiąc]],F182=1),E181+1,0)</f>
        <v>0</v>
      </c>
      <c r="F182">
        <f t="shared" si="4"/>
        <v>1</v>
      </c>
    </row>
    <row r="183" spans="1:6">
      <c r="A183" s="1">
        <v>44743</v>
      </c>
      <c r="B183">
        <v>29.9</v>
      </c>
      <c r="C183">
        <v>0</v>
      </c>
      <c r="D183">
        <f t="shared" si="5"/>
        <v>7</v>
      </c>
      <c r="E183">
        <f>IF(AND(D184=staw[[#This Row],[Miesiąc]],F183=1),E182+1,0)</f>
        <v>1</v>
      </c>
      <c r="F183">
        <f t="shared" si="4"/>
        <v>1</v>
      </c>
    </row>
    <row r="184" spans="1:6">
      <c r="A184" s="1">
        <v>44744</v>
      </c>
      <c r="B184">
        <v>19.7</v>
      </c>
      <c r="C184">
        <v>0</v>
      </c>
      <c r="D184">
        <f t="shared" si="5"/>
        <v>7</v>
      </c>
      <c r="E184">
        <f>IF(AND(D185=staw[[#This Row],[Miesiąc]],F184=1),E183+1,0)</f>
        <v>2</v>
      </c>
      <c r="F184">
        <f t="shared" si="4"/>
        <v>1</v>
      </c>
    </row>
    <row r="185" spans="1:6">
      <c r="A185" s="1">
        <v>44745</v>
      </c>
      <c r="B185">
        <v>21.6</v>
      </c>
      <c r="C185">
        <v>0</v>
      </c>
      <c r="D185">
        <f t="shared" si="5"/>
        <v>7</v>
      </c>
      <c r="E185">
        <f>IF(AND(D186=staw[[#This Row],[Miesiąc]],F185=1),E184+1,0)</f>
        <v>3</v>
      </c>
      <c r="F185">
        <f t="shared" si="4"/>
        <v>1</v>
      </c>
    </row>
    <row r="186" spans="1:6">
      <c r="A186" s="1">
        <v>44746</v>
      </c>
      <c r="B186">
        <v>24.1</v>
      </c>
      <c r="C186">
        <v>0</v>
      </c>
      <c r="D186">
        <f t="shared" si="5"/>
        <v>7</v>
      </c>
      <c r="E186">
        <f>IF(AND(D187=staw[[#This Row],[Miesiąc]],F186=1),E185+1,0)</f>
        <v>4</v>
      </c>
      <c r="F186">
        <f t="shared" si="4"/>
        <v>1</v>
      </c>
    </row>
    <row r="187" spans="1:6">
      <c r="A187" s="1">
        <v>44747</v>
      </c>
      <c r="B187">
        <v>19.8</v>
      </c>
      <c r="C187">
        <v>17</v>
      </c>
      <c r="D187">
        <f t="shared" si="5"/>
        <v>7</v>
      </c>
      <c r="E187">
        <f>IF(AND(D188=staw[[#This Row],[Miesiąc]],F187=1),E186+1,0)</f>
        <v>0</v>
      </c>
      <c r="F187">
        <f t="shared" si="4"/>
        <v>0</v>
      </c>
    </row>
    <row r="188" spans="1:6">
      <c r="A188" s="1">
        <v>44748</v>
      </c>
      <c r="B188">
        <v>17.600000000000001</v>
      </c>
      <c r="C188">
        <v>21</v>
      </c>
      <c r="D188">
        <f t="shared" si="5"/>
        <v>7</v>
      </c>
      <c r="E188">
        <f>IF(AND(D189=staw[[#This Row],[Miesiąc]],F188=1),E187+1,0)</f>
        <v>0</v>
      </c>
      <c r="F188">
        <f t="shared" si="4"/>
        <v>0</v>
      </c>
    </row>
    <row r="189" spans="1:6">
      <c r="A189" s="1">
        <v>44749</v>
      </c>
      <c r="B189">
        <v>18.2</v>
      </c>
      <c r="C189">
        <v>0</v>
      </c>
      <c r="D189">
        <f t="shared" si="5"/>
        <v>7</v>
      </c>
      <c r="E189">
        <f>IF(AND(D190=staw[[#This Row],[Miesiąc]],F189=1),E188+1,0)</f>
        <v>1</v>
      </c>
      <c r="F189">
        <f t="shared" si="4"/>
        <v>1</v>
      </c>
    </row>
    <row r="190" spans="1:6">
      <c r="A190" s="1">
        <v>44750</v>
      </c>
      <c r="B190">
        <v>17.399999999999999</v>
      </c>
      <c r="C190">
        <v>0</v>
      </c>
      <c r="D190">
        <f t="shared" si="5"/>
        <v>7</v>
      </c>
      <c r="E190">
        <f>IF(AND(D191=staw[[#This Row],[Miesiąc]],F190=1),E189+1,0)</f>
        <v>2</v>
      </c>
      <c r="F190">
        <f t="shared" si="4"/>
        <v>1</v>
      </c>
    </row>
    <row r="191" spans="1:6">
      <c r="A191" s="1">
        <v>44751</v>
      </c>
      <c r="B191">
        <v>17.899999999999999</v>
      </c>
      <c r="C191">
        <v>0</v>
      </c>
      <c r="D191">
        <f t="shared" si="5"/>
        <v>7</v>
      </c>
      <c r="E191">
        <f>IF(AND(D192=staw[[#This Row],[Miesiąc]],F191=1),E190+1,0)</f>
        <v>3</v>
      </c>
      <c r="F191">
        <f t="shared" si="4"/>
        <v>1</v>
      </c>
    </row>
    <row r="192" spans="1:6">
      <c r="A192" s="1">
        <v>44752</v>
      </c>
      <c r="B192">
        <v>16.100000000000001</v>
      </c>
      <c r="C192">
        <v>4</v>
      </c>
      <c r="D192">
        <f t="shared" si="5"/>
        <v>7</v>
      </c>
      <c r="E192">
        <f>IF(AND(D193=staw[[#This Row],[Miesiąc]],F192=1),E191+1,0)</f>
        <v>0</v>
      </c>
      <c r="F192">
        <f t="shared" si="4"/>
        <v>0</v>
      </c>
    </row>
    <row r="193" spans="1:6">
      <c r="A193" s="1">
        <v>44753</v>
      </c>
      <c r="B193">
        <v>14</v>
      </c>
      <c r="C193">
        <v>3</v>
      </c>
      <c r="D193">
        <f t="shared" si="5"/>
        <v>7</v>
      </c>
      <c r="E193">
        <f>IF(AND(D194=staw[[#This Row],[Miesiąc]],F193=1),E192+1,0)</f>
        <v>0</v>
      </c>
      <c r="F193">
        <f t="shared" si="4"/>
        <v>0</v>
      </c>
    </row>
    <row r="194" spans="1:6">
      <c r="A194" s="1">
        <v>44754</v>
      </c>
      <c r="B194">
        <v>16.3</v>
      </c>
      <c r="C194">
        <v>2</v>
      </c>
      <c r="D194">
        <f t="shared" si="5"/>
        <v>7</v>
      </c>
      <c r="E194">
        <f>IF(AND(D195=staw[[#This Row],[Miesiąc]],F194=1),E193+1,0)</f>
        <v>0</v>
      </c>
      <c r="F194">
        <f t="shared" ref="F194:F257" si="6">IF(C194=0,1,0)</f>
        <v>0</v>
      </c>
    </row>
    <row r="195" spans="1:6">
      <c r="A195" s="1">
        <v>44755</v>
      </c>
      <c r="B195">
        <v>21.7</v>
      </c>
      <c r="C195">
        <v>0</v>
      </c>
      <c r="D195">
        <f t="shared" ref="D195:D258" si="7">MONTH(A195)</f>
        <v>7</v>
      </c>
      <c r="E195">
        <f>IF(AND(D196=staw[[#This Row],[Miesiąc]],F195=1),E194+1,0)</f>
        <v>1</v>
      </c>
      <c r="F195">
        <f t="shared" si="6"/>
        <v>1</v>
      </c>
    </row>
    <row r="196" spans="1:6">
      <c r="A196" s="1">
        <v>44756</v>
      </c>
      <c r="B196">
        <v>23.2</v>
      </c>
      <c r="C196">
        <v>4</v>
      </c>
      <c r="D196">
        <f t="shared" si="7"/>
        <v>7</v>
      </c>
      <c r="E196">
        <f>IF(AND(D197=staw[[#This Row],[Miesiąc]],F196=1),E195+1,0)</f>
        <v>0</v>
      </c>
      <c r="F196">
        <f t="shared" si="6"/>
        <v>0</v>
      </c>
    </row>
    <row r="197" spans="1:6">
      <c r="A197" s="1">
        <v>44757</v>
      </c>
      <c r="B197">
        <v>19.100000000000001</v>
      </c>
      <c r="C197">
        <v>2</v>
      </c>
      <c r="D197">
        <f t="shared" si="7"/>
        <v>7</v>
      </c>
      <c r="E197">
        <f>IF(AND(D198=staw[[#This Row],[Miesiąc]],F197=1),E196+1,0)</f>
        <v>0</v>
      </c>
      <c r="F197">
        <f t="shared" si="6"/>
        <v>0</v>
      </c>
    </row>
    <row r="198" spans="1:6">
      <c r="A198" s="1">
        <v>44758</v>
      </c>
      <c r="B198">
        <v>16.100000000000001</v>
      </c>
      <c r="C198">
        <v>0</v>
      </c>
      <c r="D198">
        <f t="shared" si="7"/>
        <v>7</v>
      </c>
      <c r="E198">
        <f>IF(AND(D199=staw[[#This Row],[Miesiąc]],F198=1),E197+1,0)</f>
        <v>1</v>
      </c>
      <c r="F198">
        <f t="shared" si="6"/>
        <v>1</v>
      </c>
    </row>
    <row r="199" spans="1:6">
      <c r="A199" s="1">
        <v>44759</v>
      </c>
      <c r="B199">
        <v>17.100000000000001</v>
      </c>
      <c r="C199">
        <v>0</v>
      </c>
      <c r="D199">
        <f t="shared" si="7"/>
        <v>7</v>
      </c>
      <c r="E199">
        <f>IF(AND(D200=staw[[#This Row],[Miesiąc]],F199=1),E198+1,0)</f>
        <v>2</v>
      </c>
      <c r="F199">
        <f t="shared" si="6"/>
        <v>1</v>
      </c>
    </row>
    <row r="200" spans="1:6">
      <c r="A200" s="1">
        <v>44760</v>
      </c>
      <c r="B200">
        <v>18.7</v>
      </c>
      <c r="C200">
        <v>0</v>
      </c>
      <c r="D200">
        <f t="shared" si="7"/>
        <v>7</v>
      </c>
      <c r="E200">
        <f>IF(AND(D201=staw[[#This Row],[Miesiąc]],F200=1),E199+1,0)</f>
        <v>3</v>
      </c>
      <c r="F200">
        <f t="shared" si="6"/>
        <v>1</v>
      </c>
    </row>
    <row r="201" spans="1:6">
      <c r="A201" s="1">
        <v>44761</v>
      </c>
      <c r="B201">
        <v>22.1</v>
      </c>
      <c r="C201">
        <v>0</v>
      </c>
      <c r="D201">
        <f t="shared" si="7"/>
        <v>7</v>
      </c>
      <c r="E201">
        <f>IF(AND(D202=staw[[#This Row],[Miesiąc]],F201=1),E200+1,0)</f>
        <v>4</v>
      </c>
      <c r="F201">
        <f t="shared" si="6"/>
        <v>1</v>
      </c>
    </row>
    <row r="202" spans="1:6">
      <c r="A202" s="1">
        <v>44762</v>
      </c>
      <c r="B202">
        <v>24.6</v>
      </c>
      <c r="C202">
        <v>0</v>
      </c>
      <c r="D202">
        <f t="shared" si="7"/>
        <v>7</v>
      </c>
      <c r="E202">
        <f>IF(AND(D203=staw[[#This Row],[Miesiąc]],F202=1),E201+1,0)</f>
        <v>5</v>
      </c>
      <c r="F202">
        <f t="shared" si="6"/>
        <v>1</v>
      </c>
    </row>
    <row r="203" spans="1:6">
      <c r="A203" s="1">
        <v>44763</v>
      </c>
      <c r="B203">
        <v>24.1</v>
      </c>
      <c r="C203">
        <v>0</v>
      </c>
      <c r="D203">
        <f t="shared" si="7"/>
        <v>7</v>
      </c>
      <c r="E203">
        <f>IF(AND(D204=staw[[#This Row],[Miesiąc]],F203=1),E202+1,0)</f>
        <v>6</v>
      </c>
      <c r="F203">
        <f t="shared" si="6"/>
        <v>1</v>
      </c>
    </row>
    <row r="204" spans="1:6">
      <c r="A204" s="1">
        <v>44764</v>
      </c>
      <c r="B204">
        <v>25.6</v>
      </c>
      <c r="C204">
        <v>0</v>
      </c>
      <c r="D204">
        <f t="shared" si="7"/>
        <v>7</v>
      </c>
      <c r="E204">
        <f>IF(AND(D205=staw[[#This Row],[Miesiąc]],F204=1),E203+1,0)</f>
        <v>7</v>
      </c>
      <c r="F204">
        <f t="shared" si="6"/>
        <v>1</v>
      </c>
    </row>
    <row r="205" spans="1:6">
      <c r="A205" s="1">
        <v>44765</v>
      </c>
      <c r="B205">
        <v>25</v>
      </c>
      <c r="C205">
        <v>0</v>
      </c>
      <c r="D205">
        <f t="shared" si="7"/>
        <v>7</v>
      </c>
      <c r="E205">
        <f>IF(AND(D206=staw[[#This Row],[Miesiąc]],F205=1),E204+1,0)</f>
        <v>8</v>
      </c>
      <c r="F205">
        <f t="shared" si="6"/>
        <v>1</v>
      </c>
    </row>
    <row r="206" spans="1:6">
      <c r="A206" s="1">
        <v>44766</v>
      </c>
      <c r="B206">
        <v>21.8</v>
      </c>
      <c r="C206">
        <v>0</v>
      </c>
      <c r="D206">
        <f t="shared" si="7"/>
        <v>7</v>
      </c>
      <c r="E206">
        <f>IF(AND(D207=staw[[#This Row],[Miesiąc]],F206=1),E205+1,0)</f>
        <v>9</v>
      </c>
      <c r="F206">
        <f t="shared" si="6"/>
        <v>1</v>
      </c>
    </row>
    <row r="207" spans="1:6">
      <c r="A207" s="1">
        <v>44767</v>
      </c>
      <c r="B207">
        <v>21.9</v>
      </c>
      <c r="C207">
        <v>0</v>
      </c>
      <c r="D207">
        <f t="shared" si="7"/>
        <v>7</v>
      </c>
      <c r="E207">
        <f>IF(AND(D208=staw[[#This Row],[Miesiąc]],F207=1),E206+1,0)</f>
        <v>10</v>
      </c>
      <c r="F207">
        <f t="shared" si="6"/>
        <v>1</v>
      </c>
    </row>
    <row r="208" spans="1:6">
      <c r="A208" s="1">
        <v>44768</v>
      </c>
      <c r="B208">
        <v>20.399999999999999</v>
      </c>
      <c r="C208">
        <v>3</v>
      </c>
      <c r="D208">
        <f t="shared" si="7"/>
        <v>7</v>
      </c>
      <c r="E208">
        <f>IF(AND(D209=staw[[#This Row],[Miesiąc]],F208=1),E207+1,0)</f>
        <v>0</v>
      </c>
      <c r="F208">
        <f t="shared" si="6"/>
        <v>0</v>
      </c>
    </row>
    <row r="209" spans="1:6">
      <c r="A209" s="1">
        <v>44769</v>
      </c>
      <c r="B209">
        <v>19.899999999999999</v>
      </c>
      <c r="C209">
        <v>0</v>
      </c>
      <c r="D209">
        <f t="shared" si="7"/>
        <v>7</v>
      </c>
      <c r="E209">
        <f>IF(AND(D210=staw[[#This Row],[Miesiąc]],F209=1),E208+1,0)</f>
        <v>1</v>
      </c>
      <c r="F209">
        <f t="shared" si="6"/>
        <v>1</v>
      </c>
    </row>
    <row r="210" spans="1:6">
      <c r="A210" s="1">
        <v>44770</v>
      </c>
      <c r="B210">
        <v>19.899999999999999</v>
      </c>
      <c r="C210">
        <v>7</v>
      </c>
      <c r="D210">
        <f t="shared" si="7"/>
        <v>7</v>
      </c>
      <c r="E210">
        <f>IF(AND(D211=staw[[#This Row],[Miesiąc]],F210=1),E209+1,0)</f>
        <v>0</v>
      </c>
      <c r="F210">
        <f t="shared" si="6"/>
        <v>0</v>
      </c>
    </row>
    <row r="211" spans="1:6">
      <c r="A211" s="1">
        <v>44771</v>
      </c>
      <c r="B211">
        <v>21.1</v>
      </c>
      <c r="C211">
        <v>0</v>
      </c>
      <c r="D211">
        <f t="shared" si="7"/>
        <v>7</v>
      </c>
      <c r="E211">
        <f>IF(AND(D212=staw[[#This Row],[Miesiąc]],F211=1),E210+1,0)</f>
        <v>1</v>
      </c>
      <c r="F211">
        <f t="shared" si="6"/>
        <v>1</v>
      </c>
    </row>
    <row r="212" spans="1:6">
      <c r="A212" s="1">
        <v>44772</v>
      </c>
      <c r="B212">
        <v>20.7</v>
      </c>
      <c r="C212">
        <v>37</v>
      </c>
      <c r="D212">
        <f t="shared" si="7"/>
        <v>7</v>
      </c>
      <c r="E212">
        <f>IF(AND(D213=staw[[#This Row],[Miesiąc]],F212=1),E211+1,0)</f>
        <v>0</v>
      </c>
      <c r="F212">
        <f t="shared" si="6"/>
        <v>0</v>
      </c>
    </row>
    <row r="213" spans="1:6">
      <c r="A213" s="1">
        <v>44773</v>
      </c>
      <c r="B213">
        <v>16.600000000000001</v>
      </c>
      <c r="C213">
        <v>0</v>
      </c>
      <c r="D213">
        <f t="shared" si="7"/>
        <v>7</v>
      </c>
      <c r="E213">
        <f>IF(AND(D214=staw[[#This Row],[Miesiąc]],F213=1),E212+1,0)</f>
        <v>0</v>
      </c>
      <c r="F213">
        <f t="shared" si="6"/>
        <v>1</v>
      </c>
    </row>
    <row r="214" spans="1:6">
      <c r="A214" s="1">
        <v>44774</v>
      </c>
      <c r="B214">
        <v>19.7</v>
      </c>
      <c r="C214">
        <v>5</v>
      </c>
      <c r="D214">
        <f t="shared" si="7"/>
        <v>8</v>
      </c>
      <c r="E214">
        <f>IF(AND(D215=staw[[#This Row],[Miesiąc]],F214=1),E213+1,0)</f>
        <v>0</v>
      </c>
      <c r="F214">
        <f t="shared" si="6"/>
        <v>0</v>
      </c>
    </row>
    <row r="215" spans="1:6">
      <c r="A215" s="1">
        <v>44775</v>
      </c>
      <c r="B215">
        <v>21</v>
      </c>
      <c r="C215">
        <v>1</v>
      </c>
      <c r="D215">
        <f t="shared" si="7"/>
        <v>8</v>
      </c>
      <c r="E215">
        <f>IF(AND(D216=staw[[#This Row],[Miesiąc]],F215=1),E214+1,0)</f>
        <v>0</v>
      </c>
      <c r="F215">
        <f t="shared" si="6"/>
        <v>0</v>
      </c>
    </row>
    <row r="216" spans="1:6">
      <c r="A216" s="1">
        <v>44776</v>
      </c>
      <c r="B216">
        <v>21.9</v>
      </c>
      <c r="C216">
        <v>0</v>
      </c>
      <c r="D216">
        <f t="shared" si="7"/>
        <v>8</v>
      </c>
      <c r="E216">
        <f>IF(AND(D217=staw[[#This Row],[Miesiąc]],F216=1),E215+1,0)</f>
        <v>1</v>
      </c>
      <c r="F216">
        <f t="shared" si="6"/>
        <v>1</v>
      </c>
    </row>
    <row r="217" spans="1:6">
      <c r="A217" s="1">
        <v>44777</v>
      </c>
      <c r="B217">
        <v>22.6</v>
      </c>
      <c r="C217">
        <v>0</v>
      </c>
      <c r="D217">
        <f t="shared" si="7"/>
        <v>8</v>
      </c>
      <c r="E217">
        <f>IF(AND(D218=staw[[#This Row],[Miesiąc]],F217=1),E216+1,0)</f>
        <v>2</v>
      </c>
      <c r="F217">
        <f t="shared" si="6"/>
        <v>1</v>
      </c>
    </row>
    <row r="218" spans="1:6">
      <c r="A218" s="1">
        <v>44778</v>
      </c>
      <c r="B218">
        <v>24.4</v>
      </c>
      <c r="C218">
        <v>0</v>
      </c>
      <c r="D218">
        <f t="shared" si="7"/>
        <v>8</v>
      </c>
      <c r="E218">
        <f>IF(AND(D219=staw[[#This Row],[Miesiąc]],F218=1),E217+1,0)</f>
        <v>3</v>
      </c>
      <c r="F218">
        <f t="shared" si="6"/>
        <v>1</v>
      </c>
    </row>
    <row r="219" spans="1:6">
      <c r="A219" s="1">
        <v>44779</v>
      </c>
      <c r="B219">
        <v>20.100000000000001</v>
      </c>
      <c r="C219">
        <v>0</v>
      </c>
      <c r="D219">
        <f t="shared" si="7"/>
        <v>8</v>
      </c>
      <c r="E219">
        <f>IF(AND(D220=staw[[#This Row],[Miesiąc]],F219=1),E218+1,0)</f>
        <v>4</v>
      </c>
      <c r="F219">
        <f t="shared" si="6"/>
        <v>1</v>
      </c>
    </row>
    <row r="220" spans="1:6">
      <c r="A220" s="1">
        <v>44780</v>
      </c>
      <c r="B220">
        <v>18.5</v>
      </c>
      <c r="C220">
        <v>0</v>
      </c>
      <c r="D220">
        <f t="shared" si="7"/>
        <v>8</v>
      </c>
      <c r="E220">
        <f>IF(AND(D221=staw[[#This Row],[Miesiąc]],F220=1),E219+1,0)</f>
        <v>5</v>
      </c>
      <c r="F220">
        <f t="shared" si="6"/>
        <v>1</v>
      </c>
    </row>
    <row r="221" spans="1:6">
      <c r="A221" s="1">
        <v>44781</v>
      </c>
      <c r="B221">
        <v>17.100000000000001</v>
      </c>
      <c r="C221">
        <v>0</v>
      </c>
      <c r="D221">
        <f t="shared" si="7"/>
        <v>8</v>
      </c>
      <c r="E221">
        <f>IF(AND(D222=staw[[#This Row],[Miesiąc]],F221=1),E220+1,0)</f>
        <v>6</v>
      </c>
      <c r="F221">
        <f t="shared" si="6"/>
        <v>1</v>
      </c>
    </row>
    <row r="222" spans="1:6">
      <c r="A222" s="1">
        <v>44782</v>
      </c>
      <c r="B222">
        <v>19.600000000000001</v>
      </c>
      <c r="C222">
        <v>0</v>
      </c>
      <c r="D222">
        <f t="shared" si="7"/>
        <v>8</v>
      </c>
      <c r="E222">
        <f>IF(AND(D223=staw[[#This Row],[Miesiąc]],F222=1),E221+1,0)</f>
        <v>7</v>
      </c>
      <c r="F222">
        <f t="shared" si="6"/>
        <v>1</v>
      </c>
    </row>
    <row r="223" spans="1:6">
      <c r="A223" s="1">
        <v>44783</v>
      </c>
      <c r="B223">
        <v>19.2</v>
      </c>
      <c r="C223">
        <v>0</v>
      </c>
      <c r="D223">
        <f t="shared" si="7"/>
        <v>8</v>
      </c>
      <c r="E223">
        <f>IF(AND(D224=staw[[#This Row],[Miesiąc]],F223=1),E222+1,0)</f>
        <v>8</v>
      </c>
      <c r="F223">
        <f t="shared" si="6"/>
        <v>1</v>
      </c>
    </row>
    <row r="224" spans="1:6">
      <c r="A224" s="1">
        <v>44784</v>
      </c>
      <c r="B224">
        <v>17.100000000000001</v>
      </c>
      <c r="C224">
        <v>3</v>
      </c>
      <c r="D224">
        <f t="shared" si="7"/>
        <v>8</v>
      </c>
      <c r="E224">
        <f>IF(AND(D225=staw[[#This Row],[Miesiąc]],F224=1),E223+1,0)</f>
        <v>0</v>
      </c>
      <c r="F224">
        <f t="shared" si="6"/>
        <v>0</v>
      </c>
    </row>
    <row r="225" spans="1:6">
      <c r="A225" s="1">
        <v>44785</v>
      </c>
      <c r="B225">
        <v>17.600000000000001</v>
      </c>
      <c r="C225">
        <v>0</v>
      </c>
      <c r="D225">
        <f t="shared" si="7"/>
        <v>8</v>
      </c>
      <c r="E225">
        <f>IF(AND(D226=staw[[#This Row],[Miesiąc]],F225=1),E224+1,0)</f>
        <v>1</v>
      </c>
      <c r="F225">
        <f t="shared" si="6"/>
        <v>1</v>
      </c>
    </row>
    <row r="226" spans="1:6">
      <c r="A226" s="1">
        <v>44786</v>
      </c>
      <c r="B226">
        <v>19.8</v>
      </c>
      <c r="C226">
        <v>0</v>
      </c>
      <c r="D226">
        <f t="shared" si="7"/>
        <v>8</v>
      </c>
      <c r="E226">
        <f>IF(AND(D227=staw[[#This Row],[Miesiąc]],F226=1),E225+1,0)</f>
        <v>2</v>
      </c>
      <c r="F226">
        <f t="shared" si="6"/>
        <v>1</v>
      </c>
    </row>
    <row r="227" spans="1:6">
      <c r="A227" s="1">
        <v>44787</v>
      </c>
      <c r="B227">
        <v>22</v>
      </c>
      <c r="C227">
        <v>4</v>
      </c>
      <c r="D227">
        <f t="shared" si="7"/>
        <v>8</v>
      </c>
      <c r="E227">
        <f>IF(AND(D228=staw[[#This Row],[Miesiąc]],F227=1),E226+1,0)</f>
        <v>0</v>
      </c>
      <c r="F227">
        <f t="shared" si="6"/>
        <v>0</v>
      </c>
    </row>
    <row r="228" spans="1:6">
      <c r="A228" s="1">
        <v>44788</v>
      </c>
      <c r="B228">
        <v>23</v>
      </c>
      <c r="C228">
        <v>0</v>
      </c>
      <c r="D228">
        <f t="shared" si="7"/>
        <v>8</v>
      </c>
      <c r="E228">
        <f>IF(AND(D229=staw[[#This Row],[Miesiąc]],F228=1),E227+1,0)</f>
        <v>1</v>
      </c>
      <c r="F228">
        <f t="shared" si="6"/>
        <v>1</v>
      </c>
    </row>
    <row r="229" spans="1:6">
      <c r="A229" s="1">
        <v>44789</v>
      </c>
      <c r="B229">
        <v>22.2</v>
      </c>
      <c r="C229">
        <v>0</v>
      </c>
      <c r="D229">
        <f t="shared" si="7"/>
        <v>8</v>
      </c>
      <c r="E229">
        <f>IF(AND(D230=staw[[#This Row],[Miesiąc]],F229=1),E228+1,0)</f>
        <v>2</v>
      </c>
      <c r="F229">
        <f t="shared" si="6"/>
        <v>1</v>
      </c>
    </row>
    <row r="230" spans="1:6">
      <c r="A230" s="1">
        <v>44790</v>
      </c>
      <c r="B230">
        <v>22.9</v>
      </c>
      <c r="C230">
        <v>0</v>
      </c>
      <c r="D230">
        <f t="shared" si="7"/>
        <v>8</v>
      </c>
      <c r="E230">
        <f>IF(AND(D231=staw[[#This Row],[Miesiąc]],F230=1),E229+1,0)</f>
        <v>3</v>
      </c>
      <c r="F230">
        <f t="shared" si="6"/>
        <v>1</v>
      </c>
    </row>
    <row r="231" spans="1:6">
      <c r="A231" s="1">
        <v>44791</v>
      </c>
      <c r="B231">
        <v>24.1</v>
      </c>
      <c r="C231">
        <v>0</v>
      </c>
      <c r="D231">
        <f t="shared" si="7"/>
        <v>8</v>
      </c>
      <c r="E231">
        <f>IF(AND(D232=staw[[#This Row],[Miesiąc]],F231=1),E230+1,0)</f>
        <v>4</v>
      </c>
      <c r="F231">
        <f t="shared" si="6"/>
        <v>1</v>
      </c>
    </row>
    <row r="232" spans="1:6">
      <c r="A232" s="1">
        <v>44792</v>
      </c>
      <c r="B232">
        <v>26.8</v>
      </c>
      <c r="C232">
        <v>0</v>
      </c>
      <c r="D232">
        <f t="shared" si="7"/>
        <v>8</v>
      </c>
      <c r="E232">
        <f>IF(AND(D233=staw[[#This Row],[Miesiąc]],F232=1),E231+1,0)</f>
        <v>5</v>
      </c>
      <c r="F232">
        <f t="shared" si="6"/>
        <v>1</v>
      </c>
    </row>
    <row r="233" spans="1:6">
      <c r="A233" s="1">
        <v>44793</v>
      </c>
      <c r="B233">
        <v>24.5</v>
      </c>
      <c r="C233">
        <v>0</v>
      </c>
      <c r="D233">
        <f t="shared" si="7"/>
        <v>8</v>
      </c>
      <c r="E233">
        <f>IF(AND(D234=staw[[#This Row],[Miesiąc]],F233=1),E232+1,0)</f>
        <v>6</v>
      </c>
      <c r="F233">
        <f t="shared" si="6"/>
        <v>1</v>
      </c>
    </row>
    <row r="234" spans="1:6">
      <c r="A234" s="1">
        <v>44794</v>
      </c>
      <c r="B234">
        <v>20.7</v>
      </c>
      <c r="C234">
        <v>4</v>
      </c>
      <c r="D234">
        <f t="shared" si="7"/>
        <v>8</v>
      </c>
      <c r="E234">
        <f>IF(AND(D235=staw[[#This Row],[Miesiąc]],F234=1),E233+1,0)</f>
        <v>0</v>
      </c>
      <c r="F234">
        <f t="shared" si="6"/>
        <v>0</v>
      </c>
    </row>
    <row r="235" spans="1:6">
      <c r="A235" s="1">
        <v>44795</v>
      </c>
      <c r="B235">
        <v>20.100000000000001</v>
      </c>
      <c r="C235">
        <v>11</v>
      </c>
      <c r="D235">
        <f t="shared" si="7"/>
        <v>8</v>
      </c>
      <c r="E235">
        <f>IF(AND(D236=staw[[#This Row],[Miesiąc]],F235=1),E234+1,0)</f>
        <v>0</v>
      </c>
      <c r="F235">
        <f t="shared" si="6"/>
        <v>0</v>
      </c>
    </row>
    <row r="236" spans="1:6">
      <c r="A236" s="1">
        <v>44796</v>
      </c>
      <c r="B236">
        <v>21.9</v>
      </c>
      <c r="C236">
        <v>0</v>
      </c>
      <c r="D236">
        <f t="shared" si="7"/>
        <v>8</v>
      </c>
      <c r="E236">
        <f>IF(AND(D237=staw[[#This Row],[Miesiąc]],F236=1),E235+1,0)</f>
        <v>1</v>
      </c>
      <c r="F236">
        <f t="shared" si="6"/>
        <v>1</v>
      </c>
    </row>
    <row r="237" spans="1:6">
      <c r="A237" s="1">
        <v>44797</v>
      </c>
      <c r="B237">
        <v>21.2</v>
      </c>
      <c r="C237">
        <v>4</v>
      </c>
      <c r="D237">
        <f t="shared" si="7"/>
        <v>8</v>
      </c>
      <c r="E237">
        <f>IF(AND(D238=staw[[#This Row],[Miesiąc]],F237=1),E236+1,0)</f>
        <v>0</v>
      </c>
      <c r="F237">
        <f t="shared" si="6"/>
        <v>0</v>
      </c>
    </row>
    <row r="238" spans="1:6">
      <c r="A238" s="1">
        <v>44798</v>
      </c>
      <c r="B238">
        <v>23.2</v>
      </c>
      <c r="C238">
        <v>0</v>
      </c>
      <c r="D238">
        <f t="shared" si="7"/>
        <v>8</v>
      </c>
      <c r="E238">
        <f>IF(AND(D239=staw[[#This Row],[Miesiąc]],F238=1),E237+1,0)</f>
        <v>1</v>
      </c>
      <c r="F238">
        <f t="shared" si="6"/>
        <v>1</v>
      </c>
    </row>
    <row r="239" spans="1:6">
      <c r="A239" s="1">
        <v>44799</v>
      </c>
      <c r="B239">
        <v>22.9</v>
      </c>
      <c r="C239">
        <v>0</v>
      </c>
      <c r="D239">
        <f t="shared" si="7"/>
        <v>8</v>
      </c>
      <c r="E239">
        <f>IF(AND(D240=staw[[#This Row],[Miesiąc]],F239=1),E238+1,0)</f>
        <v>2</v>
      </c>
      <c r="F239">
        <f t="shared" si="6"/>
        <v>1</v>
      </c>
    </row>
    <row r="240" spans="1:6">
      <c r="A240" s="1">
        <v>44800</v>
      </c>
      <c r="B240">
        <v>22.9</v>
      </c>
      <c r="C240">
        <v>0</v>
      </c>
      <c r="D240">
        <f t="shared" si="7"/>
        <v>8</v>
      </c>
      <c r="E240">
        <f>IF(AND(D241=staw[[#This Row],[Miesiąc]],F240=1),E239+1,0)</f>
        <v>3</v>
      </c>
      <c r="F240">
        <f t="shared" si="6"/>
        <v>1</v>
      </c>
    </row>
    <row r="241" spans="1:6">
      <c r="A241" s="1">
        <v>44801</v>
      </c>
      <c r="B241">
        <v>22.7</v>
      </c>
      <c r="C241">
        <v>0</v>
      </c>
      <c r="D241">
        <f t="shared" si="7"/>
        <v>8</v>
      </c>
      <c r="E241">
        <f>IF(AND(D242=staw[[#This Row],[Miesiąc]],F241=1),E240+1,0)</f>
        <v>4</v>
      </c>
      <c r="F241">
        <f t="shared" si="6"/>
        <v>1</v>
      </c>
    </row>
    <row r="242" spans="1:6">
      <c r="A242" s="1">
        <v>44802</v>
      </c>
      <c r="B242">
        <v>20.6</v>
      </c>
      <c r="C242">
        <v>0</v>
      </c>
      <c r="D242">
        <f t="shared" si="7"/>
        <v>8</v>
      </c>
      <c r="E242">
        <f>IF(AND(D243=staw[[#This Row],[Miesiąc]],F242=1),E241+1,0)</f>
        <v>5</v>
      </c>
      <c r="F242">
        <f t="shared" si="6"/>
        <v>1</v>
      </c>
    </row>
    <row r="243" spans="1:6">
      <c r="A243" s="1">
        <v>44803</v>
      </c>
      <c r="B243">
        <v>18.600000000000001</v>
      </c>
      <c r="C243">
        <v>0</v>
      </c>
      <c r="D243">
        <f t="shared" si="7"/>
        <v>8</v>
      </c>
      <c r="E243">
        <f>IF(AND(D244=staw[[#This Row],[Miesiąc]],F243=1),E242+1,0)</f>
        <v>6</v>
      </c>
      <c r="F243">
        <f t="shared" si="6"/>
        <v>1</v>
      </c>
    </row>
    <row r="244" spans="1:6">
      <c r="A244" s="1">
        <v>44804</v>
      </c>
      <c r="B244">
        <v>16.2</v>
      </c>
      <c r="C244">
        <v>1</v>
      </c>
      <c r="D244">
        <f t="shared" si="7"/>
        <v>8</v>
      </c>
      <c r="E244">
        <f>IF(AND(D245=staw[[#This Row],[Miesiąc]],F244=1),E243+1,0)</f>
        <v>0</v>
      </c>
      <c r="F244">
        <f t="shared" si="6"/>
        <v>0</v>
      </c>
    </row>
    <row r="245" spans="1:6">
      <c r="A245" s="1">
        <v>44805</v>
      </c>
      <c r="B245">
        <v>15.5</v>
      </c>
      <c r="C245">
        <v>0</v>
      </c>
      <c r="D245">
        <f t="shared" si="7"/>
        <v>9</v>
      </c>
      <c r="E245">
        <f>IF(AND(D246=staw[[#This Row],[Miesiąc]],F245=1),E244+1,0)</f>
        <v>1</v>
      </c>
      <c r="F245">
        <f t="shared" si="6"/>
        <v>1</v>
      </c>
    </row>
    <row r="246" spans="1:6">
      <c r="A246" s="1">
        <v>44806</v>
      </c>
      <c r="B246">
        <v>14.4</v>
      </c>
      <c r="C246">
        <v>0</v>
      </c>
      <c r="D246">
        <f t="shared" si="7"/>
        <v>9</v>
      </c>
      <c r="E246">
        <f>IF(AND(D247=staw[[#This Row],[Miesiąc]],F246=1),E245+1,0)</f>
        <v>2</v>
      </c>
      <c r="F246">
        <f t="shared" si="6"/>
        <v>1</v>
      </c>
    </row>
    <row r="247" spans="1:6">
      <c r="A247" s="1">
        <v>44807</v>
      </c>
      <c r="B247">
        <v>14.3</v>
      </c>
      <c r="C247">
        <v>0</v>
      </c>
      <c r="D247">
        <f t="shared" si="7"/>
        <v>9</v>
      </c>
      <c r="E247">
        <f>IF(AND(D248=staw[[#This Row],[Miesiąc]],F247=1),E246+1,0)</f>
        <v>3</v>
      </c>
      <c r="F247">
        <f t="shared" si="6"/>
        <v>1</v>
      </c>
    </row>
    <row r="248" spans="1:6">
      <c r="A248" s="1">
        <v>44808</v>
      </c>
      <c r="B248">
        <v>15.5</v>
      </c>
      <c r="C248">
        <v>0</v>
      </c>
      <c r="D248">
        <f t="shared" si="7"/>
        <v>9</v>
      </c>
      <c r="E248">
        <f>IF(AND(D249=staw[[#This Row],[Miesiąc]],F248=1),E247+1,0)</f>
        <v>4</v>
      </c>
      <c r="F248">
        <f t="shared" si="6"/>
        <v>1</v>
      </c>
    </row>
    <row r="249" spans="1:6">
      <c r="A249" s="1">
        <v>44809</v>
      </c>
      <c r="B249">
        <v>16.5</v>
      </c>
      <c r="C249">
        <v>0</v>
      </c>
      <c r="D249">
        <f t="shared" si="7"/>
        <v>9</v>
      </c>
      <c r="E249">
        <f>IF(AND(D250=staw[[#This Row],[Miesiąc]],F249=1),E248+1,0)</f>
        <v>5</v>
      </c>
      <c r="F249">
        <f t="shared" si="6"/>
        <v>1</v>
      </c>
    </row>
    <row r="250" spans="1:6">
      <c r="A250" s="1">
        <v>44810</v>
      </c>
      <c r="B250">
        <v>15.8</v>
      </c>
      <c r="C250">
        <v>0</v>
      </c>
      <c r="D250">
        <f t="shared" si="7"/>
        <v>9</v>
      </c>
      <c r="E250">
        <f>IF(AND(D251=staw[[#This Row],[Miesiąc]],F250=1),E249+1,0)</f>
        <v>6</v>
      </c>
      <c r="F250">
        <f t="shared" si="6"/>
        <v>1</v>
      </c>
    </row>
    <row r="251" spans="1:6">
      <c r="A251" s="1">
        <v>44811</v>
      </c>
      <c r="B251">
        <v>16.399999999999999</v>
      </c>
      <c r="C251">
        <v>0</v>
      </c>
      <c r="D251">
        <f t="shared" si="7"/>
        <v>9</v>
      </c>
      <c r="E251">
        <f>IF(AND(D252=staw[[#This Row],[Miesiąc]],F251=1),E250+1,0)</f>
        <v>7</v>
      </c>
      <c r="F251">
        <f t="shared" si="6"/>
        <v>1</v>
      </c>
    </row>
    <row r="252" spans="1:6">
      <c r="A252" s="1">
        <v>44812</v>
      </c>
      <c r="B252">
        <v>19.8</v>
      </c>
      <c r="C252">
        <v>0</v>
      </c>
      <c r="D252">
        <f t="shared" si="7"/>
        <v>9</v>
      </c>
      <c r="E252">
        <f>IF(AND(D253=staw[[#This Row],[Miesiąc]],F252=1),E251+1,0)</f>
        <v>8</v>
      </c>
      <c r="F252">
        <f t="shared" si="6"/>
        <v>1</v>
      </c>
    </row>
    <row r="253" spans="1:6">
      <c r="A253" s="1">
        <v>44813</v>
      </c>
      <c r="B253">
        <v>19.399999999999999</v>
      </c>
      <c r="C253">
        <v>0</v>
      </c>
      <c r="D253">
        <f t="shared" si="7"/>
        <v>9</v>
      </c>
      <c r="E253">
        <f>IF(AND(D254=staw[[#This Row],[Miesiąc]],F253=1),E252+1,0)</f>
        <v>9</v>
      </c>
      <c r="F253">
        <f t="shared" si="6"/>
        <v>1</v>
      </c>
    </row>
    <row r="254" spans="1:6">
      <c r="A254" s="1">
        <v>44814</v>
      </c>
      <c r="B254">
        <v>15.3</v>
      </c>
      <c r="C254">
        <v>0</v>
      </c>
      <c r="D254">
        <f t="shared" si="7"/>
        <v>9</v>
      </c>
      <c r="E254">
        <f>IF(AND(D255=staw[[#This Row],[Miesiąc]],F254=1),E253+1,0)</f>
        <v>10</v>
      </c>
      <c r="F254">
        <f t="shared" si="6"/>
        <v>1</v>
      </c>
    </row>
    <row r="255" spans="1:6">
      <c r="A255" s="1">
        <v>44815</v>
      </c>
      <c r="B255">
        <v>14.3</v>
      </c>
      <c r="C255">
        <v>0</v>
      </c>
      <c r="D255">
        <f t="shared" si="7"/>
        <v>9</v>
      </c>
      <c r="E255">
        <f>IF(AND(D256=staw[[#This Row],[Miesiąc]],F255=1),E254+1,0)</f>
        <v>11</v>
      </c>
      <c r="F255">
        <f t="shared" si="6"/>
        <v>1</v>
      </c>
    </row>
    <row r="256" spans="1:6">
      <c r="A256" s="1">
        <v>44816</v>
      </c>
      <c r="B256">
        <v>12.2</v>
      </c>
      <c r="C256">
        <v>0</v>
      </c>
      <c r="D256">
        <f t="shared" si="7"/>
        <v>9</v>
      </c>
      <c r="E256">
        <f>IF(AND(D257=staw[[#This Row],[Miesiąc]],F256=1),E255+1,0)</f>
        <v>12</v>
      </c>
      <c r="F256">
        <f t="shared" si="6"/>
        <v>1</v>
      </c>
    </row>
    <row r="257" spans="1:6">
      <c r="A257" s="1">
        <v>44817</v>
      </c>
      <c r="B257">
        <v>14.7</v>
      </c>
      <c r="C257">
        <v>0</v>
      </c>
      <c r="D257">
        <f t="shared" si="7"/>
        <v>9</v>
      </c>
      <c r="E257">
        <f>IF(AND(D258=staw[[#This Row],[Miesiąc]],F257=1),E256+1,0)</f>
        <v>13</v>
      </c>
      <c r="F257">
        <f t="shared" si="6"/>
        <v>1</v>
      </c>
    </row>
    <row r="258" spans="1:6">
      <c r="A258" s="1">
        <v>44818</v>
      </c>
      <c r="B258">
        <v>18.399999999999999</v>
      </c>
      <c r="C258">
        <v>0</v>
      </c>
      <c r="D258">
        <f t="shared" si="7"/>
        <v>9</v>
      </c>
      <c r="E258">
        <f>IF(AND(D259=staw[[#This Row],[Miesiąc]],F258=1),E257+1,0)</f>
        <v>14</v>
      </c>
      <c r="F258">
        <f t="shared" ref="F258:F321" si="8">IF(C258=0,1,0)</f>
        <v>1</v>
      </c>
    </row>
    <row r="259" spans="1:6">
      <c r="A259" s="1">
        <v>44819</v>
      </c>
      <c r="B259">
        <v>16.600000000000001</v>
      </c>
      <c r="C259">
        <v>6</v>
      </c>
      <c r="D259">
        <f t="shared" ref="D259:D322" si="9">MONTH(A259)</f>
        <v>9</v>
      </c>
      <c r="E259">
        <f>IF(AND(D260=staw[[#This Row],[Miesiąc]],F259=1),E258+1,0)</f>
        <v>0</v>
      </c>
      <c r="F259">
        <f t="shared" si="8"/>
        <v>0</v>
      </c>
    </row>
    <row r="260" spans="1:6">
      <c r="A260" s="1">
        <v>44820</v>
      </c>
      <c r="B260">
        <v>14.5</v>
      </c>
      <c r="C260">
        <v>0</v>
      </c>
      <c r="D260">
        <f t="shared" si="9"/>
        <v>9</v>
      </c>
      <c r="E260">
        <f>IF(AND(D261=staw[[#This Row],[Miesiąc]],F260=1),E259+1,0)</f>
        <v>1</v>
      </c>
      <c r="F260">
        <f t="shared" si="8"/>
        <v>1</v>
      </c>
    </row>
    <row r="261" spans="1:6">
      <c r="A261" s="1">
        <v>44821</v>
      </c>
      <c r="B261">
        <v>12.6</v>
      </c>
      <c r="C261">
        <v>0</v>
      </c>
      <c r="D261">
        <f t="shared" si="9"/>
        <v>9</v>
      </c>
      <c r="E261">
        <f>IF(AND(D262=staw[[#This Row],[Miesiąc]],F261=1),E260+1,0)</f>
        <v>2</v>
      </c>
      <c r="F261">
        <f t="shared" si="8"/>
        <v>1</v>
      </c>
    </row>
    <row r="262" spans="1:6">
      <c r="A262" s="1">
        <v>44822</v>
      </c>
      <c r="B262">
        <v>10.3</v>
      </c>
      <c r="C262">
        <v>8</v>
      </c>
      <c r="D262">
        <f t="shared" si="9"/>
        <v>9</v>
      </c>
      <c r="E262">
        <f>IF(AND(D263=staw[[#This Row],[Miesiąc]],F262=1),E261+1,0)</f>
        <v>0</v>
      </c>
      <c r="F262">
        <f t="shared" si="8"/>
        <v>0</v>
      </c>
    </row>
    <row r="263" spans="1:6">
      <c r="A263" s="1">
        <v>44823</v>
      </c>
      <c r="B263">
        <v>9.3000000000000007</v>
      </c>
      <c r="C263">
        <v>6</v>
      </c>
      <c r="D263">
        <f t="shared" si="9"/>
        <v>9</v>
      </c>
      <c r="E263">
        <f>IF(AND(D264=staw[[#This Row],[Miesiąc]],F263=1),E262+1,0)</f>
        <v>0</v>
      </c>
      <c r="F263">
        <f t="shared" si="8"/>
        <v>0</v>
      </c>
    </row>
    <row r="264" spans="1:6">
      <c r="A264" s="1">
        <v>44824</v>
      </c>
      <c r="B264">
        <v>10.3</v>
      </c>
      <c r="C264">
        <v>6</v>
      </c>
      <c r="D264">
        <f t="shared" si="9"/>
        <v>9</v>
      </c>
      <c r="E264">
        <f>IF(AND(D265=staw[[#This Row],[Miesiąc]],F264=1),E263+1,0)</f>
        <v>0</v>
      </c>
      <c r="F264">
        <f t="shared" si="8"/>
        <v>0</v>
      </c>
    </row>
    <row r="265" spans="1:6">
      <c r="A265" s="1">
        <v>44825</v>
      </c>
      <c r="B265">
        <v>10.3</v>
      </c>
      <c r="C265">
        <v>0</v>
      </c>
      <c r="D265">
        <f t="shared" si="9"/>
        <v>9</v>
      </c>
      <c r="E265">
        <f>IF(AND(D266=staw[[#This Row],[Miesiąc]],F265=1),E264+1,0)</f>
        <v>1</v>
      </c>
      <c r="F265">
        <f t="shared" si="8"/>
        <v>1</v>
      </c>
    </row>
    <row r="266" spans="1:6">
      <c r="A266" s="1">
        <v>44826</v>
      </c>
      <c r="B266">
        <v>10.1</v>
      </c>
      <c r="C266">
        <v>2</v>
      </c>
      <c r="D266">
        <f t="shared" si="9"/>
        <v>9</v>
      </c>
      <c r="E266">
        <f>IF(AND(D267=staw[[#This Row],[Miesiąc]],F266=1),E265+1,0)</f>
        <v>0</v>
      </c>
      <c r="F266">
        <f t="shared" si="8"/>
        <v>0</v>
      </c>
    </row>
    <row r="267" spans="1:6">
      <c r="A267" s="1">
        <v>44827</v>
      </c>
      <c r="B267">
        <v>10.5</v>
      </c>
      <c r="C267">
        <v>0</v>
      </c>
      <c r="D267">
        <f t="shared" si="9"/>
        <v>9</v>
      </c>
      <c r="E267">
        <f>IF(AND(D268=staw[[#This Row],[Miesiąc]],F267=1),E266+1,0)</f>
        <v>1</v>
      </c>
      <c r="F267">
        <f t="shared" si="8"/>
        <v>1</v>
      </c>
    </row>
    <row r="268" spans="1:6">
      <c r="A268" s="1">
        <v>44828</v>
      </c>
      <c r="B268">
        <v>10.4</v>
      </c>
      <c r="C268">
        <v>0</v>
      </c>
      <c r="D268">
        <f t="shared" si="9"/>
        <v>9</v>
      </c>
      <c r="E268">
        <f>IF(AND(D269=staw[[#This Row],[Miesiąc]],F268=1),E267+1,0)</f>
        <v>2</v>
      </c>
      <c r="F268">
        <f t="shared" si="8"/>
        <v>1</v>
      </c>
    </row>
    <row r="269" spans="1:6">
      <c r="A269" s="1">
        <v>44829</v>
      </c>
      <c r="B269">
        <v>12.4</v>
      </c>
      <c r="C269">
        <v>0</v>
      </c>
      <c r="D269">
        <f t="shared" si="9"/>
        <v>9</v>
      </c>
      <c r="E269">
        <f>IF(AND(D270=staw[[#This Row],[Miesiąc]],F269=1),E268+1,0)</f>
        <v>3</v>
      </c>
      <c r="F269">
        <f t="shared" si="8"/>
        <v>1</v>
      </c>
    </row>
    <row r="270" spans="1:6">
      <c r="A270" s="1">
        <v>44830</v>
      </c>
      <c r="B270">
        <v>12</v>
      </c>
      <c r="C270">
        <v>3</v>
      </c>
      <c r="D270">
        <f t="shared" si="9"/>
        <v>9</v>
      </c>
      <c r="E270">
        <f>IF(AND(D271=staw[[#This Row],[Miesiąc]],F270=1),E269+1,0)</f>
        <v>0</v>
      </c>
      <c r="F270">
        <f t="shared" si="8"/>
        <v>0</v>
      </c>
    </row>
    <row r="271" spans="1:6">
      <c r="A271" s="1">
        <v>44831</v>
      </c>
      <c r="B271">
        <v>12.2</v>
      </c>
      <c r="C271">
        <v>2</v>
      </c>
      <c r="D271">
        <f t="shared" si="9"/>
        <v>9</v>
      </c>
      <c r="E271">
        <f>IF(AND(D272=staw[[#This Row],[Miesiąc]],F271=1),E270+1,0)</f>
        <v>0</v>
      </c>
      <c r="F271">
        <f t="shared" si="8"/>
        <v>0</v>
      </c>
    </row>
    <row r="272" spans="1:6">
      <c r="A272" s="1">
        <v>44832</v>
      </c>
      <c r="B272">
        <v>13.3</v>
      </c>
      <c r="C272">
        <v>0</v>
      </c>
      <c r="D272">
        <f t="shared" si="9"/>
        <v>9</v>
      </c>
      <c r="E272">
        <f>IF(AND(D273=staw[[#This Row],[Miesiąc]],F272=1),E271+1,0)</f>
        <v>1</v>
      </c>
      <c r="F272">
        <f t="shared" si="8"/>
        <v>1</v>
      </c>
    </row>
    <row r="273" spans="1:6">
      <c r="A273" s="1">
        <v>44833</v>
      </c>
      <c r="B273">
        <v>11</v>
      </c>
      <c r="C273">
        <v>6</v>
      </c>
      <c r="D273">
        <f t="shared" si="9"/>
        <v>9</v>
      </c>
      <c r="E273">
        <f>IF(AND(D274=staw[[#This Row],[Miesiąc]],F273=1),E272+1,0)</f>
        <v>0</v>
      </c>
      <c r="F273">
        <f t="shared" si="8"/>
        <v>0</v>
      </c>
    </row>
    <row r="274" spans="1:6">
      <c r="A274" s="1">
        <v>44834</v>
      </c>
      <c r="B274">
        <v>11.8</v>
      </c>
      <c r="C274">
        <v>10</v>
      </c>
      <c r="D274">
        <f t="shared" si="9"/>
        <v>9</v>
      </c>
      <c r="E274">
        <f>IF(AND(D275=staw[[#This Row],[Miesiąc]],F274=1),E273+1,0)</f>
        <v>0</v>
      </c>
      <c r="F274">
        <f t="shared" si="8"/>
        <v>0</v>
      </c>
    </row>
    <row r="275" spans="1:6">
      <c r="A275" s="1">
        <v>44835</v>
      </c>
      <c r="B275">
        <v>13</v>
      </c>
      <c r="C275">
        <v>4</v>
      </c>
      <c r="D275">
        <f t="shared" si="9"/>
        <v>10</v>
      </c>
      <c r="E275">
        <f>IF(AND(D276=staw[[#This Row],[Miesiąc]],F275=1),E274+1,0)</f>
        <v>0</v>
      </c>
      <c r="F275">
        <f t="shared" si="8"/>
        <v>0</v>
      </c>
    </row>
    <row r="276" spans="1:6">
      <c r="A276" s="1">
        <v>44836</v>
      </c>
      <c r="B276">
        <v>12.1</v>
      </c>
      <c r="C276">
        <v>8</v>
      </c>
      <c r="D276">
        <f t="shared" si="9"/>
        <v>10</v>
      </c>
      <c r="E276">
        <f>IF(AND(D277=staw[[#This Row],[Miesiąc]],F276=1),E275+1,0)</f>
        <v>0</v>
      </c>
      <c r="F276">
        <f t="shared" si="8"/>
        <v>0</v>
      </c>
    </row>
    <row r="277" spans="1:6">
      <c r="A277" s="1">
        <v>44837</v>
      </c>
      <c r="B277">
        <v>10.4</v>
      </c>
      <c r="C277">
        <v>2</v>
      </c>
      <c r="D277">
        <f t="shared" si="9"/>
        <v>10</v>
      </c>
      <c r="E277">
        <f>IF(AND(D278=staw[[#This Row],[Miesiąc]],F277=1),E276+1,0)</f>
        <v>0</v>
      </c>
      <c r="F277">
        <f t="shared" si="8"/>
        <v>0</v>
      </c>
    </row>
    <row r="278" spans="1:6">
      <c r="A278" s="1">
        <v>44838</v>
      </c>
      <c r="B278">
        <v>10.5</v>
      </c>
      <c r="C278">
        <v>0</v>
      </c>
      <c r="D278">
        <f t="shared" si="9"/>
        <v>10</v>
      </c>
      <c r="E278">
        <f>IF(AND(D279=staw[[#This Row],[Miesiąc]],F278=1),E277+1,0)</f>
        <v>1</v>
      </c>
      <c r="F278">
        <f t="shared" si="8"/>
        <v>1</v>
      </c>
    </row>
    <row r="279" spans="1:6">
      <c r="A279" s="1">
        <v>44839</v>
      </c>
      <c r="B279">
        <v>11.5</v>
      </c>
      <c r="C279">
        <v>0</v>
      </c>
      <c r="D279">
        <f t="shared" si="9"/>
        <v>10</v>
      </c>
      <c r="E279">
        <f>IF(AND(D280=staw[[#This Row],[Miesiąc]],F279=1),E278+1,0)</f>
        <v>2</v>
      </c>
      <c r="F279">
        <f t="shared" si="8"/>
        <v>1</v>
      </c>
    </row>
    <row r="280" spans="1:6">
      <c r="A280" s="1">
        <v>44840</v>
      </c>
      <c r="B280">
        <v>15.4</v>
      </c>
      <c r="C280">
        <v>0</v>
      </c>
      <c r="D280">
        <f t="shared" si="9"/>
        <v>10</v>
      </c>
      <c r="E280">
        <f>IF(AND(D281=staw[[#This Row],[Miesiąc]],F280=1),E279+1,0)</f>
        <v>3</v>
      </c>
      <c r="F280">
        <f t="shared" si="8"/>
        <v>1</v>
      </c>
    </row>
    <row r="281" spans="1:6">
      <c r="A281" s="1">
        <v>44841</v>
      </c>
      <c r="B281">
        <v>15.1</v>
      </c>
      <c r="C281">
        <v>0</v>
      </c>
      <c r="D281">
        <f t="shared" si="9"/>
        <v>10</v>
      </c>
      <c r="E281">
        <f>IF(AND(D282=staw[[#This Row],[Miesiąc]],F281=1),E280+1,0)</f>
        <v>4</v>
      </c>
      <c r="F281">
        <f t="shared" si="8"/>
        <v>1</v>
      </c>
    </row>
    <row r="282" spans="1:6">
      <c r="A282" s="1">
        <v>44842</v>
      </c>
      <c r="B282">
        <v>15.3</v>
      </c>
      <c r="C282">
        <v>0</v>
      </c>
      <c r="D282">
        <f t="shared" si="9"/>
        <v>10</v>
      </c>
      <c r="E282">
        <f>IF(AND(D283=staw[[#This Row],[Miesiąc]],F282=1),E281+1,0)</f>
        <v>5</v>
      </c>
      <c r="F282">
        <f t="shared" si="8"/>
        <v>1</v>
      </c>
    </row>
    <row r="283" spans="1:6">
      <c r="A283" s="1">
        <v>44843</v>
      </c>
      <c r="B283">
        <v>11.9</v>
      </c>
      <c r="C283">
        <v>0</v>
      </c>
      <c r="D283">
        <f t="shared" si="9"/>
        <v>10</v>
      </c>
      <c r="E283">
        <f>IF(AND(D284=staw[[#This Row],[Miesiąc]],F283=1),E282+1,0)</f>
        <v>6</v>
      </c>
      <c r="F283">
        <f t="shared" si="8"/>
        <v>1</v>
      </c>
    </row>
    <row r="284" spans="1:6">
      <c r="A284" s="1">
        <v>44844</v>
      </c>
      <c r="B284">
        <v>10.199999999999999</v>
      </c>
      <c r="C284">
        <v>0</v>
      </c>
      <c r="D284">
        <f t="shared" si="9"/>
        <v>10</v>
      </c>
      <c r="E284">
        <f>IF(AND(D285=staw[[#This Row],[Miesiąc]],F284=1),E283+1,0)</f>
        <v>7</v>
      </c>
      <c r="F284">
        <f t="shared" si="8"/>
        <v>1</v>
      </c>
    </row>
    <row r="285" spans="1:6">
      <c r="A285" s="1">
        <v>44845</v>
      </c>
      <c r="B285">
        <v>10.5</v>
      </c>
      <c r="C285">
        <v>0</v>
      </c>
      <c r="D285">
        <f t="shared" si="9"/>
        <v>10</v>
      </c>
      <c r="E285">
        <f>IF(AND(D286=staw[[#This Row],[Miesiąc]],F285=1),E284+1,0)</f>
        <v>8</v>
      </c>
      <c r="F285">
        <f t="shared" si="8"/>
        <v>1</v>
      </c>
    </row>
    <row r="286" spans="1:6">
      <c r="A286" s="1">
        <v>44846</v>
      </c>
      <c r="B286">
        <v>7.5</v>
      </c>
      <c r="C286">
        <v>0</v>
      </c>
      <c r="D286">
        <f t="shared" si="9"/>
        <v>10</v>
      </c>
      <c r="E286">
        <f>IF(AND(D287=staw[[#This Row],[Miesiąc]],F286=1),E285+1,0)</f>
        <v>9</v>
      </c>
      <c r="F286">
        <f t="shared" si="8"/>
        <v>1</v>
      </c>
    </row>
    <row r="287" spans="1:6">
      <c r="A287" s="1">
        <v>44847</v>
      </c>
      <c r="B287">
        <v>8.1999999999999993</v>
      </c>
      <c r="C287">
        <v>0</v>
      </c>
      <c r="D287">
        <f t="shared" si="9"/>
        <v>10</v>
      </c>
      <c r="E287">
        <f>IF(AND(D288=staw[[#This Row],[Miesiąc]],F287=1),E286+1,0)</f>
        <v>10</v>
      </c>
      <c r="F287">
        <f t="shared" si="8"/>
        <v>1</v>
      </c>
    </row>
    <row r="288" spans="1:6">
      <c r="A288" s="1">
        <v>44848</v>
      </c>
      <c r="B288">
        <v>11.6</v>
      </c>
      <c r="C288">
        <v>0</v>
      </c>
      <c r="D288">
        <f t="shared" si="9"/>
        <v>10</v>
      </c>
      <c r="E288">
        <f>IF(AND(D289=staw[[#This Row],[Miesiąc]],F288=1),E287+1,0)</f>
        <v>11</v>
      </c>
      <c r="F288">
        <f t="shared" si="8"/>
        <v>1</v>
      </c>
    </row>
    <row r="289" spans="1:6">
      <c r="A289" s="1">
        <v>44849</v>
      </c>
      <c r="B289">
        <v>14.9</v>
      </c>
      <c r="C289">
        <v>0</v>
      </c>
      <c r="D289">
        <f t="shared" si="9"/>
        <v>10</v>
      </c>
      <c r="E289">
        <f>IF(AND(D290=staw[[#This Row],[Miesiąc]],F289=1),E288+1,0)</f>
        <v>12</v>
      </c>
      <c r="F289">
        <f t="shared" si="8"/>
        <v>1</v>
      </c>
    </row>
    <row r="290" spans="1:6">
      <c r="A290" s="1">
        <v>44850</v>
      </c>
      <c r="B290">
        <v>16.100000000000001</v>
      </c>
      <c r="C290">
        <v>0</v>
      </c>
      <c r="D290">
        <f t="shared" si="9"/>
        <v>10</v>
      </c>
      <c r="E290">
        <f>IF(AND(D291=staw[[#This Row],[Miesiąc]],F290=1),E289+1,0)</f>
        <v>13</v>
      </c>
      <c r="F290">
        <f t="shared" si="8"/>
        <v>1</v>
      </c>
    </row>
    <row r="291" spans="1:6">
      <c r="A291" s="1">
        <v>44851</v>
      </c>
      <c r="B291">
        <v>16.600000000000001</v>
      </c>
      <c r="C291">
        <v>0</v>
      </c>
      <c r="D291">
        <f t="shared" si="9"/>
        <v>10</v>
      </c>
      <c r="E291">
        <f>IF(AND(D292=staw[[#This Row],[Miesiąc]],F291=1),E290+1,0)</f>
        <v>14</v>
      </c>
      <c r="F291">
        <f t="shared" si="8"/>
        <v>1</v>
      </c>
    </row>
    <row r="292" spans="1:6">
      <c r="A292" s="1">
        <v>44852</v>
      </c>
      <c r="B292">
        <v>16.8</v>
      </c>
      <c r="C292">
        <v>0</v>
      </c>
      <c r="D292">
        <f t="shared" si="9"/>
        <v>10</v>
      </c>
      <c r="E292">
        <f>IF(AND(D293=staw[[#This Row],[Miesiąc]],F292=1),E291+1,0)</f>
        <v>15</v>
      </c>
      <c r="F292">
        <f t="shared" si="8"/>
        <v>1</v>
      </c>
    </row>
    <row r="293" spans="1:6">
      <c r="A293" s="1">
        <v>44853</v>
      </c>
      <c r="B293">
        <v>11.6</v>
      </c>
      <c r="C293">
        <v>2</v>
      </c>
      <c r="D293">
        <f t="shared" si="9"/>
        <v>10</v>
      </c>
      <c r="E293">
        <f>IF(AND(D294=staw[[#This Row],[Miesiąc]],F293=1),E292+1,0)</f>
        <v>0</v>
      </c>
      <c r="F293">
        <f t="shared" si="8"/>
        <v>0</v>
      </c>
    </row>
    <row r="294" spans="1:6">
      <c r="A294" s="1">
        <v>44854</v>
      </c>
      <c r="B294">
        <v>5.5</v>
      </c>
      <c r="C294">
        <v>0</v>
      </c>
      <c r="D294">
        <f t="shared" si="9"/>
        <v>10</v>
      </c>
      <c r="E294">
        <f>IF(AND(D295=staw[[#This Row],[Miesiąc]],F294=1),E293+1,0)</f>
        <v>1</v>
      </c>
      <c r="F294">
        <f t="shared" si="8"/>
        <v>1</v>
      </c>
    </row>
    <row r="295" spans="1:6">
      <c r="A295" s="1">
        <v>44855</v>
      </c>
      <c r="B295">
        <v>7.5</v>
      </c>
      <c r="C295">
        <v>0</v>
      </c>
      <c r="D295">
        <f t="shared" si="9"/>
        <v>10</v>
      </c>
      <c r="E295">
        <f>IF(AND(D296=staw[[#This Row],[Miesiąc]],F295=1),E294+1,0)</f>
        <v>2</v>
      </c>
      <c r="F295">
        <f t="shared" si="8"/>
        <v>1</v>
      </c>
    </row>
    <row r="296" spans="1:6">
      <c r="A296" s="1">
        <v>44856</v>
      </c>
      <c r="B296">
        <v>11.4</v>
      </c>
      <c r="C296">
        <v>0</v>
      </c>
      <c r="D296">
        <f t="shared" si="9"/>
        <v>10</v>
      </c>
      <c r="E296">
        <f>IF(AND(D297=staw[[#This Row],[Miesiąc]],F296=1),E295+1,0)</f>
        <v>3</v>
      </c>
      <c r="F296">
        <f t="shared" si="8"/>
        <v>1</v>
      </c>
    </row>
    <row r="297" spans="1:6">
      <c r="A297" s="1">
        <v>44857</v>
      </c>
      <c r="B297">
        <v>14.2</v>
      </c>
      <c r="C297">
        <v>0</v>
      </c>
      <c r="D297">
        <f t="shared" si="9"/>
        <v>10</v>
      </c>
      <c r="E297">
        <f>IF(AND(D298=staw[[#This Row],[Miesiąc]],F297=1),E296+1,0)</f>
        <v>4</v>
      </c>
      <c r="F297">
        <f t="shared" si="8"/>
        <v>1</v>
      </c>
    </row>
    <row r="298" spans="1:6">
      <c r="A298" s="1">
        <v>44858</v>
      </c>
      <c r="B298">
        <v>14.5</v>
      </c>
      <c r="C298">
        <v>0</v>
      </c>
      <c r="D298">
        <f t="shared" si="9"/>
        <v>10</v>
      </c>
      <c r="E298">
        <f>IF(AND(D299=staw[[#This Row],[Miesiąc]],F298=1),E297+1,0)</f>
        <v>5</v>
      </c>
      <c r="F298">
        <f t="shared" si="8"/>
        <v>1</v>
      </c>
    </row>
    <row r="299" spans="1:6">
      <c r="A299" s="1">
        <v>44859</v>
      </c>
      <c r="B299">
        <v>14.3</v>
      </c>
      <c r="C299">
        <v>12</v>
      </c>
      <c r="D299">
        <f t="shared" si="9"/>
        <v>10</v>
      </c>
      <c r="E299">
        <f>IF(AND(D300=staw[[#This Row],[Miesiąc]],F299=1),E298+1,0)</f>
        <v>0</v>
      </c>
      <c r="F299">
        <f t="shared" si="8"/>
        <v>0</v>
      </c>
    </row>
    <row r="300" spans="1:6">
      <c r="A300" s="1">
        <v>44860</v>
      </c>
      <c r="B300">
        <v>13.6</v>
      </c>
      <c r="C300">
        <v>0</v>
      </c>
      <c r="D300">
        <f t="shared" si="9"/>
        <v>10</v>
      </c>
      <c r="E300">
        <f>IF(AND(D301=staw[[#This Row],[Miesiąc]],F300=1),E299+1,0)</f>
        <v>1</v>
      </c>
      <c r="F300">
        <f t="shared" si="8"/>
        <v>1</v>
      </c>
    </row>
    <row r="301" spans="1:6">
      <c r="A301" s="1">
        <v>44861</v>
      </c>
      <c r="B301">
        <v>12</v>
      </c>
      <c r="C301">
        <v>0</v>
      </c>
      <c r="D301">
        <f t="shared" si="9"/>
        <v>10</v>
      </c>
      <c r="E301">
        <f>IF(AND(D302=staw[[#This Row],[Miesiąc]],F301=1),E300+1,0)</f>
        <v>2</v>
      </c>
      <c r="F301">
        <f t="shared" si="8"/>
        <v>1</v>
      </c>
    </row>
    <row r="302" spans="1:6">
      <c r="A302" s="1">
        <v>44862</v>
      </c>
      <c r="B302">
        <v>13.1</v>
      </c>
      <c r="C302">
        <v>0</v>
      </c>
      <c r="D302">
        <f t="shared" si="9"/>
        <v>10</v>
      </c>
      <c r="E302">
        <f>IF(AND(D303=staw[[#This Row],[Miesiąc]],F302=1),E301+1,0)</f>
        <v>3</v>
      </c>
      <c r="F302">
        <f t="shared" si="8"/>
        <v>1</v>
      </c>
    </row>
    <row r="303" spans="1:6">
      <c r="A303" s="1">
        <v>44863</v>
      </c>
      <c r="B303">
        <v>14.3</v>
      </c>
      <c r="C303">
        <v>0</v>
      </c>
      <c r="D303">
        <f t="shared" si="9"/>
        <v>10</v>
      </c>
      <c r="E303">
        <f>IF(AND(D304=staw[[#This Row],[Miesiąc]],F303=1),E302+1,0)</f>
        <v>4</v>
      </c>
      <c r="F303">
        <f t="shared" si="8"/>
        <v>1</v>
      </c>
    </row>
    <row r="304" spans="1:6">
      <c r="A304" s="1">
        <v>44864</v>
      </c>
      <c r="B304">
        <v>13.8</v>
      </c>
      <c r="C304">
        <v>0</v>
      </c>
      <c r="D304">
        <f t="shared" si="9"/>
        <v>10</v>
      </c>
      <c r="E304">
        <f>IF(AND(D305=staw[[#This Row],[Miesiąc]],F304=1),E303+1,0)</f>
        <v>5</v>
      </c>
      <c r="F304">
        <f t="shared" si="8"/>
        <v>1</v>
      </c>
    </row>
    <row r="305" spans="1:6">
      <c r="A305" s="1">
        <v>44865</v>
      </c>
      <c r="B305">
        <v>13.4</v>
      </c>
      <c r="C305">
        <v>0</v>
      </c>
      <c r="D305">
        <f t="shared" si="9"/>
        <v>10</v>
      </c>
      <c r="E305">
        <f>IF(AND(D306=staw[[#This Row],[Miesiąc]],F305=1),E304+1,0)</f>
        <v>0</v>
      </c>
      <c r="F305">
        <f t="shared" si="8"/>
        <v>1</v>
      </c>
    </row>
    <row r="306" spans="1:6">
      <c r="A306" s="1">
        <v>44866</v>
      </c>
      <c r="B306">
        <v>11.4</v>
      </c>
      <c r="C306">
        <v>0</v>
      </c>
      <c r="D306">
        <f t="shared" si="9"/>
        <v>11</v>
      </c>
      <c r="E306">
        <f>IF(AND(D307=staw[[#This Row],[Miesiąc]],F306=1),E305+1,0)</f>
        <v>1</v>
      </c>
      <c r="F306">
        <f t="shared" si="8"/>
        <v>1</v>
      </c>
    </row>
    <row r="307" spans="1:6">
      <c r="A307" s="1">
        <v>44867</v>
      </c>
      <c r="B307">
        <v>13.2</v>
      </c>
      <c r="C307">
        <v>0</v>
      </c>
      <c r="D307">
        <f t="shared" si="9"/>
        <v>11</v>
      </c>
      <c r="E307">
        <f>IF(AND(D308=staw[[#This Row],[Miesiąc]],F307=1),E306+1,0)</f>
        <v>2</v>
      </c>
      <c r="F307">
        <f t="shared" si="8"/>
        <v>1</v>
      </c>
    </row>
    <row r="308" spans="1:6">
      <c r="A308" s="1">
        <v>44868</v>
      </c>
      <c r="B308">
        <v>11</v>
      </c>
      <c r="C308">
        <v>0</v>
      </c>
      <c r="D308">
        <f t="shared" si="9"/>
        <v>11</v>
      </c>
      <c r="E308">
        <f>IF(AND(D309=staw[[#This Row],[Miesiąc]],F308=1),E307+1,0)</f>
        <v>3</v>
      </c>
      <c r="F308">
        <f t="shared" si="8"/>
        <v>1</v>
      </c>
    </row>
    <row r="309" spans="1:6">
      <c r="A309" s="1">
        <v>44869</v>
      </c>
      <c r="B309">
        <v>12.4</v>
      </c>
      <c r="C309">
        <v>0</v>
      </c>
      <c r="D309">
        <f t="shared" si="9"/>
        <v>11</v>
      </c>
      <c r="E309">
        <f>IF(AND(D310=staw[[#This Row],[Miesiąc]],F309=1),E308+1,0)</f>
        <v>4</v>
      </c>
      <c r="F309">
        <f t="shared" si="8"/>
        <v>1</v>
      </c>
    </row>
    <row r="310" spans="1:6">
      <c r="A310" s="1">
        <v>44870</v>
      </c>
      <c r="B310">
        <v>9.8000000000000007</v>
      </c>
      <c r="C310">
        <v>9</v>
      </c>
      <c r="D310">
        <f t="shared" si="9"/>
        <v>11</v>
      </c>
      <c r="E310">
        <f>IF(AND(D311=staw[[#This Row],[Miesiąc]],F310=1),E309+1,0)</f>
        <v>0</v>
      </c>
      <c r="F310">
        <f t="shared" si="8"/>
        <v>0</v>
      </c>
    </row>
    <row r="311" spans="1:6">
      <c r="A311" s="1">
        <v>44871</v>
      </c>
      <c r="B311">
        <v>8.6</v>
      </c>
      <c r="C311">
        <v>0</v>
      </c>
      <c r="D311">
        <f t="shared" si="9"/>
        <v>11</v>
      </c>
      <c r="E311">
        <f>IF(AND(D312=staw[[#This Row],[Miesiąc]],F311=1),E310+1,0)</f>
        <v>1</v>
      </c>
      <c r="F311">
        <f t="shared" si="8"/>
        <v>1</v>
      </c>
    </row>
    <row r="312" spans="1:6">
      <c r="A312" s="1">
        <v>44872</v>
      </c>
      <c r="B312">
        <v>9.3000000000000007</v>
      </c>
      <c r="C312">
        <v>0</v>
      </c>
      <c r="D312">
        <f t="shared" si="9"/>
        <v>11</v>
      </c>
      <c r="E312">
        <f>IF(AND(D313=staw[[#This Row],[Miesiąc]],F312=1),E311+1,0)</f>
        <v>2</v>
      </c>
      <c r="F312">
        <f t="shared" si="8"/>
        <v>1</v>
      </c>
    </row>
    <row r="313" spans="1:6">
      <c r="A313" s="1">
        <v>44873</v>
      </c>
      <c r="B313">
        <v>9.3000000000000007</v>
      </c>
      <c r="C313">
        <v>0</v>
      </c>
      <c r="D313">
        <f t="shared" si="9"/>
        <v>11</v>
      </c>
      <c r="E313">
        <f>IF(AND(D314=staw[[#This Row],[Miesiąc]],F313=1),E312+1,0)</f>
        <v>3</v>
      </c>
      <c r="F313">
        <f t="shared" si="8"/>
        <v>1</v>
      </c>
    </row>
    <row r="314" spans="1:6">
      <c r="A314" s="1">
        <v>44874</v>
      </c>
      <c r="B314">
        <v>10</v>
      </c>
      <c r="C314">
        <v>0</v>
      </c>
      <c r="D314">
        <f t="shared" si="9"/>
        <v>11</v>
      </c>
      <c r="E314">
        <f>IF(AND(D315=staw[[#This Row],[Miesiąc]],F314=1),E313+1,0)</f>
        <v>4</v>
      </c>
      <c r="F314">
        <f t="shared" si="8"/>
        <v>1</v>
      </c>
    </row>
    <row r="315" spans="1:6">
      <c r="A315" s="1">
        <v>44875</v>
      </c>
      <c r="B315">
        <v>7.7</v>
      </c>
      <c r="C315">
        <v>0</v>
      </c>
      <c r="D315">
        <f t="shared" si="9"/>
        <v>11</v>
      </c>
      <c r="E315">
        <f>IF(AND(D316=staw[[#This Row],[Miesiąc]],F315=1),E314+1,0)</f>
        <v>5</v>
      </c>
      <c r="F315">
        <f t="shared" si="8"/>
        <v>1</v>
      </c>
    </row>
    <row r="316" spans="1:6">
      <c r="A316" s="1">
        <v>44876</v>
      </c>
      <c r="B316">
        <v>9.8000000000000007</v>
      </c>
      <c r="C316">
        <v>0</v>
      </c>
      <c r="D316">
        <f t="shared" si="9"/>
        <v>11</v>
      </c>
      <c r="E316">
        <f>IF(AND(D317=staw[[#This Row],[Miesiąc]],F316=1),E315+1,0)</f>
        <v>6</v>
      </c>
      <c r="F316">
        <f t="shared" si="8"/>
        <v>1</v>
      </c>
    </row>
    <row r="317" spans="1:6">
      <c r="A317" s="1">
        <v>44877</v>
      </c>
      <c r="B317">
        <v>9.1</v>
      </c>
      <c r="C317">
        <v>0</v>
      </c>
      <c r="D317">
        <f t="shared" si="9"/>
        <v>11</v>
      </c>
      <c r="E317">
        <f>IF(AND(D318=staw[[#This Row],[Miesiąc]],F317=1),E316+1,0)</f>
        <v>7</v>
      </c>
      <c r="F317">
        <f t="shared" si="8"/>
        <v>1</v>
      </c>
    </row>
    <row r="318" spans="1:6">
      <c r="A318" s="1">
        <v>44878</v>
      </c>
      <c r="B318">
        <v>6.4</v>
      </c>
      <c r="C318">
        <v>0</v>
      </c>
      <c r="D318">
        <f t="shared" si="9"/>
        <v>11</v>
      </c>
      <c r="E318">
        <f>IF(AND(D319=staw[[#This Row],[Miesiąc]],F318=1),E317+1,0)</f>
        <v>8</v>
      </c>
      <c r="F318">
        <f t="shared" si="8"/>
        <v>1</v>
      </c>
    </row>
    <row r="319" spans="1:6">
      <c r="A319" s="1">
        <v>44879</v>
      </c>
      <c r="B319">
        <v>6</v>
      </c>
      <c r="C319">
        <v>0</v>
      </c>
      <c r="D319">
        <f t="shared" si="9"/>
        <v>11</v>
      </c>
      <c r="E319">
        <f>IF(AND(D320=staw[[#This Row],[Miesiąc]],F319=1),E318+1,0)</f>
        <v>9</v>
      </c>
      <c r="F319">
        <f t="shared" si="8"/>
        <v>1</v>
      </c>
    </row>
    <row r="320" spans="1:6">
      <c r="A320" s="1">
        <v>44880</v>
      </c>
      <c r="B320">
        <v>7.5</v>
      </c>
      <c r="C320">
        <v>0</v>
      </c>
      <c r="D320">
        <f t="shared" si="9"/>
        <v>11</v>
      </c>
      <c r="E320">
        <f>IF(AND(D321=staw[[#This Row],[Miesiąc]],F320=1),E319+1,0)</f>
        <v>10</v>
      </c>
      <c r="F320">
        <f t="shared" si="8"/>
        <v>1</v>
      </c>
    </row>
    <row r="321" spans="1:6">
      <c r="A321" s="1">
        <v>44881</v>
      </c>
      <c r="B321">
        <v>5.9</v>
      </c>
      <c r="C321">
        <v>7</v>
      </c>
      <c r="D321">
        <f t="shared" si="9"/>
        <v>11</v>
      </c>
      <c r="E321">
        <f>IF(AND(D322=staw[[#This Row],[Miesiąc]],F321=1),E320+1,0)</f>
        <v>0</v>
      </c>
      <c r="F321">
        <f t="shared" si="8"/>
        <v>0</v>
      </c>
    </row>
    <row r="322" spans="1:6">
      <c r="A322" s="1">
        <v>44882</v>
      </c>
      <c r="B322">
        <v>1.2</v>
      </c>
      <c r="C322">
        <v>3</v>
      </c>
      <c r="D322">
        <f t="shared" si="9"/>
        <v>11</v>
      </c>
      <c r="E322">
        <f>IF(AND(D323=staw[[#This Row],[Miesiąc]],F322=1),E321+1,0)</f>
        <v>0</v>
      </c>
      <c r="F322">
        <f t="shared" ref="F322:F366" si="10">IF(C322=0,1,0)</f>
        <v>0</v>
      </c>
    </row>
    <row r="323" spans="1:6">
      <c r="A323" s="1">
        <v>44883</v>
      </c>
      <c r="B323">
        <v>-1</v>
      </c>
      <c r="C323">
        <v>0</v>
      </c>
      <c r="D323">
        <f t="shared" ref="D323:D366" si="11">MONTH(A323)</f>
        <v>11</v>
      </c>
      <c r="E323">
        <f>IF(AND(D324=staw[[#This Row],[Miesiąc]],F323=1),E322+1,0)</f>
        <v>1</v>
      </c>
      <c r="F323">
        <f t="shared" si="10"/>
        <v>1</v>
      </c>
    </row>
    <row r="324" spans="1:6">
      <c r="A324" s="1">
        <v>44884</v>
      </c>
      <c r="B324">
        <v>-2.2999999999999998</v>
      </c>
      <c r="C324">
        <v>0</v>
      </c>
      <c r="D324">
        <f t="shared" si="11"/>
        <v>11</v>
      </c>
      <c r="E324">
        <f>IF(AND(D325=staw[[#This Row],[Miesiąc]],F324=1),E323+1,0)</f>
        <v>2</v>
      </c>
      <c r="F324">
        <f t="shared" si="10"/>
        <v>1</v>
      </c>
    </row>
    <row r="325" spans="1:6">
      <c r="A325" s="1">
        <v>44885</v>
      </c>
      <c r="B325">
        <v>-2.8</v>
      </c>
      <c r="C325">
        <v>0</v>
      </c>
      <c r="D325">
        <f t="shared" si="11"/>
        <v>11</v>
      </c>
      <c r="E325">
        <f>IF(AND(D326=staw[[#This Row],[Miesiąc]],F325=1),E324+1,0)</f>
        <v>3</v>
      </c>
      <c r="F325">
        <f t="shared" si="10"/>
        <v>1</v>
      </c>
    </row>
    <row r="326" spans="1:6">
      <c r="A326" s="1">
        <v>44886</v>
      </c>
      <c r="B326">
        <v>0.8</v>
      </c>
      <c r="C326">
        <v>1</v>
      </c>
      <c r="D326">
        <f t="shared" si="11"/>
        <v>11</v>
      </c>
      <c r="E326">
        <f>IF(AND(D327=staw[[#This Row],[Miesiąc]],F326=1),E325+1,0)</f>
        <v>0</v>
      </c>
      <c r="F326">
        <f t="shared" si="10"/>
        <v>0</v>
      </c>
    </row>
    <row r="327" spans="1:6">
      <c r="A327" s="1">
        <v>44887</v>
      </c>
      <c r="B327">
        <v>2.8</v>
      </c>
      <c r="C327">
        <v>0</v>
      </c>
      <c r="D327">
        <f t="shared" si="11"/>
        <v>11</v>
      </c>
      <c r="E327">
        <f>IF(AND(D328=staw[[#This Row],[Miesiąc]],F327=1),E326+1,0)</f>
        <v>1</v>
      </c>
      <c r="F327">
        <f t="shared" si="10"/>
        <v>1</v>
      </c>
    </row>
    <row r="328" spans="1:6">
      <c r="A328" s="1">
        <v>44888</v>
      </c>
      <c r="B328">
        <v>-0.1</v>
      </c>
      <c r="C328">
        <v>0</v>
      </c>
      <c r="D328">
        <f t="shared" si="11"/>
        <v>11</v>
      </c>
      <c r="E328">
        <f>IF(AND(D329=staw[[#This Row],[Miesiąc]],F328=1),E327+1,0)</f>
        <v>2</v>
      </c>
      <c r="F328">
        <f t="shared" si="10"/>
        <v>1</v>
      </c>
    </row>
    <row r="329" spans="1:6">
      <c r="A329" s="1">
        <v>44889</v>
      </c>
      <c r="B329">
        <v>0.1</v>
      </c>
      <c r="C329">
        <v>1</v>
      </c>
      <c r="D329">
        <f t="shared" si="11"/>
        <v>11</v>
      </c>
      <c r="E329">
        <f>IF(AND(D330=staw[[#This Row],[Miesiąc]],F329=1),E328+1,0)</f>
        <v>0</v>
      </c>
      <c r="F329">
        <f t="shared" si="10"/>
        <v>0</v>
      </c>
    </row>
    <row r="330" spans="1:6">
      <c r="A330" s="1">
        <v>44890</v>
      </c>
      <c r="B330">
        <v>1.3</v>
      </c>
      <c r="C330">
        <v>0</v>
      </c>
      <c r="D330">
        <f t="shared" si="11"/>
        <v>11</v>
      </c>
      <c r="E330">
        <f>IF(AND(D331=staw[[#This Row],[Miesiąc]],F330=1),E329+1,0)</f>
        <v>1</v>
      </c>
      <c r="F330">
        <f t="shared" si="10"/>
        <v>1</v>
      </c>
    </row>
    <row r="331" spans="1:6">
      <c r="A331" s="1">
        <v>44891</v>
      </c>
      <c r="B331">
        <v>4.5</v>
      </c>
      <c r="C331">
        <v>0</v>
      </c>
      <c r="D331">
        <f t="shared" si="11"/>
        <v>11</v>
      </c>
      <c r="E331">
        <f>IF(AND(D332=staw[[#This Row],[Miesiąc]],F331=1),E330+1,0)</f>
        <v>2</v>
      </c>
      <c r="F331">
        <f t="shared" si="10"/>
        <v>1</v>
      </c>
    </row>
    <row r="332" spans="1:6">
      <c r="A332" s="1">
        <v>44892</v>
      </c>
      <c r="B332">
        <v>2.2999999999999998</v>
      </c>
      <c r="C332">
        <v>0</v>
      </c>
      <c r="D332">
        <f t="shared" si="11"/>
        <v>11</v>
      </c>
      <c r="E332">
        <f>IF(AND(D333=staw[[#This Row],[Miesiąc]],F332=1),E331+1,0)</f>
        <v>3</v>
      </c>
      <c r="F332">
        <f t="shared" si="10"/>
        <v>1</v>
      </c>
    </row>
    <row r="333" spans="1:6">
      <c r="A333" s="1">
        <v>44893</v>
      </c>
      <c r="B333">
        <v>2.1</v>
      </c>
      <c r="C333">
        <v>0</v>
      </c>
      <c r="D333">
        <f t="shared" si="11"/>
        <v>11</v>
      </c>
      <c r="E333">
        <f>IF(AND(D334=staw[[#This Row],[Miesiąc]],F333=1),E332+1,0)</f>
        <v>4</v>
      </c>
      <c r="F333">
        <f t="shared" si="10"/>
        <v>1</v>
      </c>
    </row>
    <row r="334" spans="1:6">
      <c r="A334" s="1">
        <v>44894</v>
      </c>
      <c r="B334">
        <v>0.2</v>
      </c>
      <c r="C334">
        <v>0</v>
      </c>
      <c r="D334">
        <f t="shared" si="11"/>
        <v>11</v>
      </c>
      <c r="E334">
        <f>IF(AND(D335=staw[[#This Row],[Miesiąc]],F334=1),E333+1,0)</f>
        <v>5</v>
      </c>
      <c r="F334">
        <f t="shared" si="10"/>
        <v>1</v>
      </c>
    </row>
    <row r="335" spans="1:6">
      <c r="A335" s="1">
        <v>44895</v>
      </c>
      <c r="B335">
        <v>-0.5</v>
      </c>
      <c r="C335">
        <v>0</v>
      </c>
      <c r="D335">
        <f t="shared" si="11"/>
        <v>11</v>
      </c>
      <c r="E335">
        <f>IF(AND(D336=staw[[#This Row],[Miesiąc]],F335=1),E334+1,0)</f>
        <v>0</v>
      </c>
      <c r="F335">
        <f t="shared" si="10"/>
        <v>1</v>
      </c>
    </row>
    <row r="336" spans="1:6">
      <c r="A336" s="1">
        <v>44896</v>
      </c>
      <c r="B336">
        <v>0.9</v>
      </c>
      <c r="C336">
        <v>0</v>
      </c>
      <c r="D336">
        <f t="shared" si="11"/>
        <v>12</v>
      </c>
      <c r="E336">
        <f>IF(AND(D337=staw[[#This Row],[Miesiąc]],F336=1),E335+1,0)</f>
        <v>1</v>
      </c>
      <c r="F336">
        <f t="shared" si="10"/>
        <v>1</v>
      </c>
    </row>
    <row r="337" spans="1:6">
      <c r="A337" s="1">
        <v>44897</v>
      </c>
      <c r="B337">
        <v>-1</v>
      </c>
      <c r="C337">
        <v>0</v>
      </c>
      <c r="D337">
        <f t="shared" si="11"/>
        <v>12</v>
      </c>
      <c r="E337">
        <f>IF(AND(D338=staw[[#This Row],[Miesiąc]],F337=1),E336+1,0)</f>
        <v>2</v>
      </c>
      <c r="F337">
        <f t="shared" si="10"/>
        <v>1</v>
      </c>
    </row>
    <row r="338" spans="1:6">
      <c r="A338" s="1">
        <v>44898</v>
      </c>
      <c r="B338">
        <v>0.4</v>
      </c>
      <c r="C338">
        <v>0</v>
      </c>
      <c r="D338">
        <f t="shared" si="11"/>
        <v>12</v>
      </c>
      <c r="E338">
        <f>IF(AND(D339=staw[[#This Row],[Miesiąc]],F338=1),E337+1,0)</f>
        <v>3</v>
      </c>
      <c r="F338">
        <f t="shared" si="10"/>
        <v>1</v>
      </c>
    </row>
    <row r="339" spans="1:6">
      <c r="A339" s="1">
        <v>44899</v>
      </c>
      <c r="B339">
        <v>2.1</v>
      </c>
      <c r="C339">
        <v>0</v>
      </c>
      <c r="D339">
        <f t="shared" si="11"/>
        <v>12</v>
      </c>
      <c r="E339">
        <f>IF(AND(D340=staw[[#This Row],[Miesiąc]],F339=1),E338+1,0)</f>
        <v>4</v>
      </c>
      <c r="F339">
        <f t="shared" si="10"/>
        <v>1</v>
      </c>
    </row>
    <row r="340" spans="1:6">
      <c r="A340" s="1">
        <v>44900</v>
      </c>
      <c r="B340">
        <v>4.5</v>
      </c>
      <c r="C340">
        <v>0</v>
      </c>
      <c r="D340">
        <f t="shared" si="11"/>
        <v>12</v>
      </c>
      <c r="E340">
        <f>IF(AND(D341=staw[[#This Row],[Miesiąc]],F340=1),E339+1,0)</f>
        <v>5</v>
      </c>
      <c r="F340">
        <f t="shared" si="10"/>
        <v>1</v>
      </c>
    </row>
    <row r="341" spans="1:6">
      <c r="A341" s="1">
        <v>44901</v>
      </c>
      <c r="B341">
        <v>2.8</v>
      </c>
      <c r="C341">
        <v>7</v>
      </c>
      <c r="D341">
        <f t="shared" si="11"/>
        <v>12</v>
      </c>
      <c r="E341">
        <f>IF(AND(D342=staw[[#This Row],[Miesiąc]],F341=1),E340+1,0)</f>
        <v>0</v>
      </c>
      <c r="F341">
        <f t="shared" si="10"/>
        <v>0</v>
      </c>
    </row>
    <row r="342" spans="1:6">
      <c r="A342" s="1">
        <v>44902</v>
      </c>
      <c r="B342">
        <v>2.5</v>
      </c>
      <c r="C342">
        <v>1</v>
      </c>
      <c r="D342">
        <f t="shared" si="11"/>
        <v>12</v>
      </c>
      <c r="E342">
        <f>IF(AND(D343=staw[[#This Row],[Miesiąc]],F342=1),E341+1,0)</f>
        <v>0</v>
      </c>
      <c r="F342">
        <f t="shared" si="10"/>
        <v>0</v>
      </c>
    </row>
    <row r="343" spans="1:6">
      <c r="A343" s="1">
        <v>44903</v>
      </c>
      <c r="B343">
        <v>2.2999999999999998</v>
      </c>
      <c r="C343">
        <v>0</v>
      </c>
      <c r="D343">
        <f t="shared" si="11"/>
        <v>12</v>
      </c>
      <c r="E343">
        <f>IF(AND(D344=staw[[#This Row],[Miesiąc]],F343=1),E342+1,0)</f>
        <v>1</v>
      </c>
      <c r="F343">
        <f t="shared" si="10"/>
        <v>1</v>
      </c>
    </row>
    <row r="344" spans="1:6">
      <c r="A344" s="1">
        <v>44904</v>
      </c>
      <c r="B344">
        <v>2.2000000000000002</v>
      </c>
      <c r="C344">
        <v>14</v>
      </c>
      <c r="D344">
        <f t="shared" si="11"/>
        <v>12</v>
      </c>
      <c r="E344">
        <f>IF(AND(D345=staw[[#This Row],[Miesiąc]],F344=1),E343+1,0)</f>
        <v>0</v>
      </c>
      <c r="F344">
        <f t="shared" si="10"/>
        <v>0</v>
      </c>
    </row>
    <row r="345" spans="1:6">
      <c r="A345" s="1">
        <v>44905</v>
      </c>
      <c r="B345">
        <v>0.6</v>
      </c>
      <c r="C345">
        <v>0</v>
      </c>
      <c r="D345">
        <f t="shared" si="11"/>
        <v>12</v>
      </c>
      <c r="E345">
        <f>IF(AND(D346=staw[[#This Row],[Miesiąc]],F345=1),E344+1,0)</f>
        <v>1</v>
      </c>
      <c r="F345">
        <f t="shared" si="10"/>
        <v>1</v>
      </c>
    </row>
    <row r="346" spans="1:6">
      <c r="A346" s="1">
        <v>44906</v>
      </c>
      <c r="B346">
        <v>-1.9</v>
      </c>
      <c r="C346">
        <v>0</v>
      </c>
      <c r="D346">
        <f t="shared" si="11"/>
        <v>12</v>
      </c>
      <c r="E346">
        <f>IF(AND(D347=staw[[#This Row],[Miesiąc]],F346=1),E345+1,0)</f>
        <v>2</v>
      </c>
      <c r="F346">
        <f t="shared" si="10"/>
        <v>1</v>
      </c>
    </row>
    <row r="347" spans="1:6">
      <c r="A347" s="1">
        <v>44907</v>
      </c>
      <c r="B347">
        <v>-2.6</v>
      </c>
      <c r="C347">
        <v>0</v>
      </c>
      <c r="D347">
        <f t="shared" si="11"/>
        <v>12</v>
      </c>
      <c r="E347">
        <f>IF(AND(D348=staw[[#This Row],[Miesiąc]],F347=1),E346+1,0)</f>
        <v>3</v>
      </c>
      <c r="F347">
        <f t="shared" si="10"/>
        <v>1</v>
      </c>
    </row>
    <row r="348" spans="1:6">
      <c r="A348" s="1">
        <v>44908</v>
      </c>
      <c r="B348">
        <v>-3.1</v>
      </c>
      <c r="C348">
        <v>0</v>
      </c>
      <c r="D348">
        <f t="shared" si="11"/>
        <v>12</v>
      </c>
      <c r="E348">
        <f>IF(AND(D349=staw[[#This Row],[Miesiąc]],F348=1),E347+1,0)</f>
        <v>4</v>
      </c>
      <c r="F348">
        <f t="shared" si="10"/>
        <v>1</v>
      </c>
    </row>
    <row r="349" spans="1:6">
      <c r="A349" s="1">
        <v>44909</v>
      </c>
      <c r="B349">
        <v>-4.5999999999999996</v>
      </c>
      <c r="C349">
        <v>0</v>
      </c>
      <c r="D349">
        <f t="shared" si="11"/>
        <v>12</v>
      </c>
      <c r="E349">
        <f>IF(AND(D350=staw[[#This Row],[Miesiąc]],F349=1),E348+1,0)</f>
        <v>5</v>
      </c>
      <c r="F349">
        <f t="shared" si="10"/>
        <v>1</v>
      </c>
    </row>
    <row r="350" spans="1:6">
      <c r="A350" s="1">
        <v>44910</v>
      </c>
      <c r="B350">
        <v>-1.6</v>
      </c>
      <c r="C350">
        <v>0</v>
      </c>
      <c r="D350">
        <f t="shared" si="11"/>
        <v>12</v>
      </c>
      <c r="E350">
        <f>IF(AND(D351=staw[[#This Row],[Miesiąc]],F350=1),E349+1,0)</f>
        <v>6</v>
      </c>
      <c r="F350">
        <f t="shared" si="10"/>
        <v>1</v>
      </c>
    </row>
    <row r="351" spans="1:6">
      <c r="A351" s="1">
        <v>44911</v>
      </c>
      <c r="B351">
        <v>-0.7</v>
      </c>
      <c r="C351">
        <v>0</v>
      </c>
      <c r="D351">
        <f t="shared" si="11"/>
        <v>12</v>
      </c>
      <c r="E351">
        <f>IF(AND(D352=staw[[#This Row],[Miesiąc]],F351=1),E350+1,0)</f>
        <v>7</v>
      </c>
      <c r="F351">
        <f t="shared" si="10"/>
        <v>1</v>
      </c>
    </row>
    <row r="352" spans="1:6">
      <c r="A352" s="1">
        <v>44912</v>
      </c>
      <c r="B352">
        <v>-3.3</v>
      </c>
      <c r="C352">
        <v>0</v>
      </c>
      <c r="D352">
        <f t="shared" si="11"/>
        <v>12</v>
      </c>
      <c r="E352">
        <f>IF(AND(D353=staw[[#This Row],[Miesiąc]],F352=1),E351+1,0)</f>
        <v>8</v>
      </c>
      <c r="F352">
        <f t="shared" si="10"/>
        <v>1</v>
      </c>
    </row>
    <row r="353" spans="1:6">
      <c r="A353" s="1">
        <v>44913</v>
      </c>
      <c r="B353">
        <v>-4.9000000000000004</v>
      </c>
      <c r="C353">
        <v>0</v>
      </c>
      <c r="D353">
        <f t="shared" si="11"/>
        <v>12</v>
      </c>
      <c r="E353">
        <f>IF(AND(D354=staw[[#This Row],[Miesiąc]],F353=1),E352+1,0)</f>
        <v>9</v>
      </c>
      <c r="F353">
        <f t="shared" si="10"/>
        <v>1</v>
      </c>
    </row>
    <row r="354" spans="1:6">
      <c r="A354" s="1">
        <v>44914</v>
      </c>
      <c r="B354">
        <v>-5.6</v>
      </c>
      <c r="C354">
        <v>0</v>
      </c>
      <c r="D354">
        <f t="shared" si="11"/>
        <v>12</v>
      </c>
      <c r="E354">
        <f>IF(AND(D355=staw[[#This Row],[Miesiąc]],F354=1),E353+1,0)</f>
        <v>10</v>
      </c>
      <c r="F354">
        <f t="shared" si="10"/>
        <v>1</v>
      </c>
    </row>
    <row r="355" spans="1:6">
      <c r="A355" s="1">
        <v>44915</v>
      </c>
      <c r="B355">
        <v>2.1</v>
      </c>
      <c r="C355">
        <v>5</v>
      </c>
      <c r="D355">
        <f t="shared" si="11"/>
        <v>12</v>
      </c>
      <c r="E355">
        <f>IF(AND(D356=staw[[#This Row],[Miesiąc]],F355=1),E354+1,0)</f>
        <v>0</v>
      </c>
      <c r="F355">
        <f t="shared" si="10"/>
        <v>0</v>
      </c>
    </row>
    <row r="356" spans="1:6">
      <c r="A356" s="1">
        <v>44916</v>
      </c>
      <c r="B356">
        <v>1.9</v>
      </c>
      <c r="C356">
        <v>8</v>
      </c>
      <c r="D356">
        <f t="shared" si="11"/>
        <v>12</v>
      </c>
      <c r="E356">
        <f>IF(AND(D357=staw[[#This Row],[Miesiąc]],F356=1),E355+1,0)</f>
        <v>0</v>
      </c>
      <c r="F356">
        <f t="shared" si="10"/>
        <v>0</v>
      </c>
    </row>
    <row r="357" spans="1:6">
      <c r="A357" s="1">
        <v>44917</v>
      </c>
      <c r="B357">
        <v>3.7</v>
      </c>
      <c r="C357">
        <v>0</v>
      </c>
      <c r="D357">
        <f t="shared" si="11"/>
        <v>12</v>
      </c>
      <c r="E357">
        <f>IF(AND(D358=staw[[#This Row],[Miesiąc]],F357=1),E356+1,0)</f>
        <v>1</v>
      </c>
      <c r="F357">
        <f t="shared" si="10"/>
        <v>1</v>
      </c>
    </row>
    <row r="358" spans="1:6">
      <c r="A358" s="1">
        <v>44918</v>
      </c>
      <c r="B358">
        <v>4.4000000000000004</v>
      </c>
      <c r="C358">
        <v>0</v>
      </c>
      <c r="D358">
        <f t="shared" si="11"/>
        <v>12</v>
      </c>
      <c r="E358">
        <f>IF(AND(D359=staw[[#This Row],[Miesiąc]],F358=1),E357+1,0)</f>
        <v>2</v>
      </c>
      <c r="F358">
        <f t="shared" si="10"/>
        <v>1</v>
      </c>
    </row>
    <row r="359" spans="1:6">
      <c r="A359" s="1">
        <v>44919</v>
      </c>
      <c r="B359">
        <v>5.8</v>
      </c>
      <c r="C359">
        <v>8</v>
      </c>
      <c r="D359">
        <f t="shared" si="11"/>
        <v>12</v>
      </c>
      <c r="E359">
        <f>IF(AND(D360=staw[[#This Row],[Miesiąc]],F359=1),E358+1,0)</f>
        <v>0</v>
      </c>
      <c r="F359">
        <f t="shared" si="10"/>
        <v>0</v>
      </c>
    </row>
    <row r="360" spans="1:6">
      <c r="A360" s="1">
        <v>44920</v>
      </c>
      <c r="B360">
        <v>6.2</v>
      </c>
      <c r="C360">
        <v>0</v>
      </c>
      <c r="D360">
        <f t="shared" si="11"/>
        <v>12</v>
      </c>
      <c r="E360">
        <f>IF(AND(D361=staw[[#This Row],[Miesiąc]],F360=1),E359+1,0)</f>
        <v>1</v>
      </c>
      <c r="F360">
        <f t="shared" si="10"/>
        <v>1</v>
      </c>
    </row>
    <row r="361" spans="1:6">
      <c r="A361" s="1">
        <v>44921</v>
      </c>
      <c r="B361">
        <v>8</v>
      </c>
      <c r="C361">
        <v>0</v>
      </c>
      <c r="D361">
        <f t="shared" si="11"/>
        <v>12</v>
      </c>
      <c r="E361">
        <f>IF(AND(D362=staw[[#This Row],[Miesiąc]],F361=1),E360+1,0)</f>
        <v>2</v>
      </c>
      <c r="F361">
        <f t="shared" si="10"/>
        <v>1</v>
      </c>
    </row>
    <row r="362" spans="1:6">
      <c r="A362" s="1">
        <v>44922</v>
      </c>
      <c r="B362">
        <v>5.9</v>
      </c>
      <c r="C362">
        <v>0</v>
      </c>
      <c r="D362">
        <f t="shared" si="11"/>
        <v>12</v>
      </c>
      <c r="E362">
        <f>IF(AND(D363=staw[[#This Row],[Miesiąc]],F362=1),E361+1,0)</f>
        <v>3</v>
      </c>
      <c r="F362">
        <f t="shared" si="10"/>
        <v>1</v>
      </c>
    </row>
    <row r="363" spans="1:6">
      <c r="A363" s="1">
        <v>44923</v>
      </c>
      <c r="B363">
        <v>3.2</v>
      </c>
      <c r="C363">
        <v>0</v>
      </c>
      <c r="D363">
        <f t="shared" si="11"/>
        <v>12</v>
      </c>
      <c r="E363">
        <f>IF(AND(D364=staw[[#This Row],[Miesiąc]],F363=1),E362+1,0)</f>
        <v>4</v>
      </c>
      <c r="F363">
        <f t="shared" si="10"/>
        <v>1</v>
      </c>
    </row>
    <row r="364" spans="1:6">
      <c r="A364" s="1">
        <v>44924</v>
      </c>
      <c r="B364">
        <v>4.7</v>
      </c>
      <c r="C364">
        <v>0</v>
      </c>
      <c r="D364">
        <f t="shared" si="11"/>
        <v>12</v>
      </c>
      <c r="E364">
        <f>IF(AND(D365=staw[[#This Row],[Miesiąc]],F364=1),E363+1,0)</f>
        <v>5</v>
      </c>
      <c r="F364">
        <f t="shared" si="10"/>
        <v>1</v>
      </c>
    </row>
    <row r="365" spans="1:6">
      <c r="A365" s="1">
        <v>44925</v>
      </c>
      <c r="B365">
        <v>5.0999999999999996</v>
      </c>
      <c r="C365">
        <v>0</v>
      </c>
      <c r="D365">
        <f t="shared" si="11"/>
        <v>12</v>
      </c>
      <c r="E365">
        <f>IF(AND(D366=staw[[#This Row],[Miesiąc]],F365=1),E364+1,0)</f>
        <v>6</v>
      </c>
      <c r="F365">
        <f t="shared" si="10"/>
        <v>1</v>
      </c>
    </row>
    <row r="366" spans="1:6">
      <c r="A366" s="1">
        <v>44926</v>
      </c>
      <c r="B366">
        <v>9.3000000000000007</v>
      </c>
      <c r="C366">
        <v>0</v>
      </c>
      <c r="D366">
        <f t="shared" si="11"/>
        <v>12</v>
      </c>
      <c r="E366">
        <f>IF(AND(D367=staw[[#This Row],[Miesiąc]],F366=1),E365+1,0)</f>
        <v>0</v>
      </c>
      <c r="F366">
        <f t="shared" si="1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03D29439CF04418E958261524BAD36" ma:contentTypeVersion="12" ma:contentTypeDescription="Utwórz nowy dokument." ma:contentTypeScope="" ma:versionID="dbb23abbfce9f0e22e5d00e9646d74a8">
  <xsd:schema xmlns:xsd="http://www.w3.org/2001/XMLSchema" xmlns:xs="http://www.w3.org/2001/XMLSchema" xmlns:p="http://schemas.microsoft.com/office/2006/metadata/properties" xmlns:ns2="31046f98-9f0a-4868-991d-b4590d34c00a" xmlns:ns3="537a2d5b-ea90-494c-9512-d4d181cb0b54" targetNamespace="http://schemas.microsoft.com/office/2006/metadata/properties" ma:root="true" ma:fieldsID="97130c850e5b97da4678b96c10d7ec08" ns2:_="" ns3:_="">
    <xsd:import namespace="31046f98-9f0a-4868-991d-b4590d34c00a"/>
    <xsd:import namespace="537a2d5b-ea90-494c-9512-d4d181cb0b5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46f98-9f0a-4868-991d-b4590d34c00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agi obrazów" ma:readOnly="false" ma:fieldId="{5cf76f15-5ced-4ddc-b409-7134ff3c332f}" ma:taxonomyMulti="true" ma:sspId="23542f74-01b5-4322-a37b-6949b48082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a2d5b-ea90-494c-9512-d4d181cb0b5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b5ae9fd-49c0-4d09-93d9-54159f6ee111}" ma:internalName="TaxCatchAll" ma:showField="CatchAllData" ma:web="537a2d5b-ea90-494c-9512-d4d181cb0b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7a2d5b-ea90-494c-9512-d4d181cb0b54" xsi:nil="true"/>
    <lcf76f155ced4ddcb4097134ff3c332f xmlns="31046f98-9f0a-4868-991d-b4590d34c00a">
      <Terms xmlns="http://schemas.microsoft.com/office/infopath/2007/PartnerControls"/>
    </lcf76f155ced4ddcb4097134ff3c332f>
    <ReferenceId xmlns="31046f98-9f0a-4868-991d-b4590d34c00a" xsi:nil="true"/>
  </documentManagement>
</p:properties>
</file>

<file path=customXml/itemProps1.xml><?xml version="1.0" encoding="utf-8"?>
<ds:datastoreItem xmlns:ds="http://schemas.openxmlformats.org/officeDocument/2006/customXml" ds:itemID="{97652C29-5BCA-4757-9A0E-45DDBAFE067B}"/>
</file>

<file path=customXml/itemProps2.xml><?xml version="1.0" encoding="utf-8"?>
<ds:datastoreItem xmlns:ds="http://schemas.openxmlformats.org/officeDocument/2006/customXml" ds:itemID="{11736DD1-A191-4D03-B6FD-33F83D593142}"/>
</file>

<file path=customXml/itemProps3.xml><?xml version="1.0" encoding="utf-8"?>
<ds:datastoreItem xmlns:ds="http://schemas.openxmlformats.org/officeDocument/2006/customXml" ds:itemID="{BA9BE733-D2EF-4DD4-BD0C-3D81EBD99F33}"/>
</file>

<file path=customXml/itemProps4.xml><?xml version="1.0" encoding="utf-8"?>
<ds:datastoreItem xmlns:ds="http://schemas.openxmlformats.org/officeDocument/2006/customXml" ds:itemID="{DE7BC724-0844-41EB-9EAB-E793ECBF0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Sienkiewicz</dc:creator>
  <cp:keywords/>
  <dc:description/>
  <cp:lastModifiedBy>Bogumił Gąsowski</cp:lastModifiedBy>
  <cp:revision/>
  <dcterms:created xsi:type="dcterms:W3CDTF">2026-09-15T12:18:07Z</dcterms:created>
  <dcterms:modified xsi:type="dcterms:W3CDTF">2026-09-21T12:10:23Z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0x0101002103D29439CF04418E958261524BAD36</vt:lpwstr>
  </property>
  <property fmtid="{D5CDD505-2E9C-101B-9397-08002B2CF9AE}" pid="3" name="MediaServiceImageTags">
    <vt:lpwstr/>
  </property>
</Properties>
</file>