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owanie\inf_matura\Czerwiec2022\"/>
    </mc:Choice>
  </mc:AlternateContent>
  <xr:revisionPtr revIDLastSave="0" documentId="8_{88AEDD4D-DBCD-4248-87A6-2DFD2F8269E1}" xr6:coauthVersionLast="47" xr6:coauthVersionMax="47" xr10:uidLastSave="{00000000-0000-0000-0000-000000000000}"/>
  <bookViews>
    <workbookView xWindow="-120" yWindow="-120" windowWidth="38640" windowHeight="21120" activeTab="3" xr2:uid="{9418F28D-396D-4D89-97D3-850059AB014F}"/>
  </bookViews>
  <sheets>
    <sheet name="5.1" sheetId="1" r:id="rId1"/>
    <sheet name="5.2" sheetId="2" r:id="rId2"/>
    <sheet name="5.3" sheetId="3" r:id="rId3"/>
    <sheet name="5.4" sheetId="4" r:id="rId4"/>
  </sheets>
  <definedNames>
    <definedName name="temperatury_1" localSheetId="0">'5.1'!$A$1:$B$92</definedName>
    <definedName name="temperatury_1" localSheetId="1">'5.2'!$A$2:$B$93</definedName>
    <definedName name="temperatury_1" localSheetId="2">'5.3'!$A$2:$B$93</definedName>
    <definedName name="temperatury_1" localSheetId="3">'5.4'!$A$2:$B$93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3" i="4" l="1"/>
  <c r="C96" i="4"/>
  <c r="F96" i="4" s="1"/>
  <c r="D96" i="4"/>
  <c r="E96" i="4"/>
  <c r="C97" i="4"/>
  <c r="D97" i="4"/>
  <c r="F97" i="4" s="1"/>
  <c r="E97" i="4"/>
  <c r="C98" i="4"/>
  <c r="D98" i="4"/>
  <c r="E98" i="4"/>
  <c r="F98" i="4"/>
  <c r="C99" i="4"/>
  <c r="F99" i="4" s="1"/>
  <c r="D99" i="4"/>
  <c r="E99" i="4"/>
  <c r="C100" i="4"/>
  <c r="D100" i="4"/>
  <c r="E100" i="4"/>
  <c r="F100" i="4"/>
  <c r="C101" i="4"/>
  <c r="F101" i="4" s="1"/>
  <c r="D101" i="4"/>
  <c r="E101" i="4"/>
  <c r="C102" i="4"/>
  <c r="D102" i="4"/>
  <c r="F102" i="4" s="1"/>
  <c r="E102" i="4"/>
  <c r="C103" i="4"/>
  <c r="D103" i="4"/>
  <c r="E103" i="4"/>
  <c r="F103" i="4"/>
  <c r="C104" i="4"/>
  <c r="F104" i="4" s="1"/>
  <c r="D104" i="4"/>
  <c r="E104" i="4"/>
  <c r="C105" i="4"/>
  <c r="D105" i="4"/>
  <c r="E105" i="4"/>
  <c r="F105" i="4"/>
  <c r="C106" i="4"/>
  <c r="F106" i="4" s="1"/>
  <c r="D106" i="4"/>
  <c r="E106" i="4"/>
  <c r="C107" i="4"/>
  <c r="D107" i="4"/>
  <c r="F107" i="4" s="1"/>
  <c r="E107" i="4"/>
  <c r="C108" i="4"/>
  <c r="D108" i="4"/>
  <c r="E108" i="4"/>
  <c r="F108" i="4"/>
  <c r="C109" i="4"/>
  <c r="F109" i="4" s="1"/>
  <c r="D109" i="4"/>
  <c r="E109" i="4"/>
  <c r="C110" i="4"/>
  <c r="D110" i="4"/>
  <c r="E110" i="4"/>
  <c r="F110" i="4"/>
  <c r="C111" i="4"/>
  <c r="F111" i="4" s="1"/>
  <c r="D111" i="4"/>
  <c r="E111" i="4"/>
  <c r="C112" i="4"/>
  <c r="D112" i="4"/>
  <c r="F112" i="4" s="1"/>
  <c r="E112" i="4"/>
  <c r="C113" i="4"/>
  <c r="D113" i="4"/>
  <c r="E113" i="4"/>
  <c r="F113" i="4"/>
  <c r="C114" i="4"/>
  <c r="F114" i="4" s="1"/>
  <c r="D114" i="4"/>
  <c r="E114" i="4"/>
  <c r="C115" i="4"/>
  <c r="D115" i="4"/>
  <c r="E115" i="4"/>
  <c r="F115" i="4"/>
  <c r="C116" i="4"/>
  <c r="F116" i="4" s="1"/>
  <c r="D116" i="4"/>
  <c r="E116" i="4"/>
  <c r="C117" i="4"/>
  <c r="D117" i="4"/>
  <c r="F117" i="4" s="1"/>
  <c r="E117" i="4"/>
  <c r="C118" i="4"/>
  <c r="D118" i="4"/>
  <c r="E118" i="4"/>
  <c r="F118" i="4"/>
  <c r="C119" i="4"/>
  <c r="F119" i="4" s="1"/>
  <c r="D119" i="4"/>
  <c r="E119" i="4"/>
  <c r="C120" i="4"/>
  <c r="D120" i="4"/>
  <c r="E120" i="4"/>
  <c r="F120" i="4"/>
  <c r="C121" i="4"/>
  <c r="F121" i="4" s="1"/>
  <c r="D121" i="4"/>
  <c r="E121" i="4"/>
  <c r="C122" i="4"/>
  <c r="D122" i="4"/>
  <c r="F122" i="4" s="1"/>
  <c r="E122" i="4"/>
  <c r="C123" i="4"/>
  <c r="D123" i="4"/>
  <c r="E123" i="4"/>
  <c r="F123" i="4"/>
  <c r="C124" i="4"/>
  <c r="F124" i="4" s="1"/>
  <c r="D124" i="4"/>
  <c r="E124" i="4"/>
  <c r="C125" i="4"/>
  <c r="D125" i="4"/>
  <c r="E125" i="4"/>
  <c r="F125" i="4"/>
  <c r="C126" i="4"/>
  <c r="F126" i="4" s="1"/>
  <c r="D126" i="4"/>
  <c r="E126" i="4"/>
  <c r="C127" i="4"/>
  <c r="D127" i="4"/>
  <c r="F127" i="4" s="1"/>
  <c r="E127" i="4"/>
  <c r="C128" i="4"/>
  <c r="D128" i="4"/>
  <c r="E128" i="4"/>
  <c r="F128" i="4"/>
  <c r="C129" i="4"/>
  <c r="F129" i="4" s="1"/>
  <c r="D129" i="4"/>
  <c r="E129" i="4"/>
  <c r="C130" i="4"/>
  <c r="D130" i="4"/>
  <c r="E130" i="4"/>
  <c r="F130" i="4"/>
  <c r="C131" i="4"/>
  <c r="F131" i="4" s="1"/>
  <c r="D131" i="4"/>
  <c r="E131" i="4"/>
  <c r="C132" i="4"/>
  <c r="D132" i="4"/>
  <c r="F132" i="4" s="1"/>
  <c r="E132" i="4"/>
  <c r="C133" i="4"/>
  <c r="D133" i="4"/>
  <c r="E133" i="4"/>
  <c r="F133" i="4"/>
  <c r="B120" i="4"/>
  <c r="B121" i="4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97" i="4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96" i="4"/>
  <c r="C95" i="4"/>
  <c r="F95" i="4" s="1"/>
  <c r="D95" i="4"/>
  <c r="E95" i="4"/>
  <c r="C94" i="4"/>
  <c r="D94" i="4"/>
  <c r="E94" i="4"/>
  <c r="F94" i="4"/>
  <c r="E93" i="4"/>
  <c r="D93" i="4"/>
  <c r="C93" i="4"/>
  <c r="F93" i="4" s="1"/>
  <c r="E92" i="4"/>
  <c r="D92" i="4"/>
  <c r="C92" i="4"/>
  <c r="F92" i="4" s="1"/>
  <c r="E91" i="4"/>
  <c r="D91" i="4"/>
  <c r="C91" i="4"/>
  <c r="F91" i="4" s="1"/>
  <c r="E90" i="4"/>
  <c r="D90" i="4"/>
  <c r="C90" i="4"/>
  <c r="E89" i="4"/>
  <c r="D89" i="4"/>
  <c r="C89" i="4"/>
  <c r="F89" i="4" s="1"/>
  <c r="E88" i="4"/>
  <c r="D88" i="4"/>
  <c r="C88" i="4"/>
  <c r="F88" i="4" s="1"/>
  <c r="E87" i="4"/>
  <c r="D87" i="4"/>
  <c r="C87" i="4"/>
  <c r="F87" i="4" s="1"/>
  <c r="E86" i="4"/>
  <c r="D86" i="4"/>
  <c r="C86" i="4"/>
  <c r="F86" i="4" s="1"/>
  <c r="E85" i="4"/>
  <c r="D85" i="4"/>
  <c r="C85" i="4"/>
  <c r="F85" i="4" s="1"/>
  <c r="E84" i="4"/>
  <c r="D84" i="4"/>
  <c r="C84" i="4"/>
  <c r="F84" i="4" s="1"/>
  <c r="E83" i="4"/>
  <c r="D83" i="4"/>
  <c r="C83" i="4"/>
  <c r="F83" i="4" s="1"/>
  <c r="E82" i="4"/>
  <c r="D82" i="4"/>
  <c r="C82" i="4"/>
  <c r="F82" i="4" s="1"/>
  <c r="E81" i="4"/>
  <c r="D81" i="4"/>
  <c r="C81" i="4"/>
  <c r="F81" i="4" s="1"/>
  <c r="E80" i="4"/>
  <c r="D80" i="4"/>
  <c r="C80" i="4"/>
  <c r="F80" i="4" s="1"/>
  <c r="E79" i="4"/>
  <c r="D79" i="4"/>
  <c r="C79" i="4"/>
  <c r="F79" i="4" s="1"/>
  <c r="E78" i="4"/>
  <c r="D78" i="4"/>
  <c r="C78" i="4"/>
  <c r="F78" i="4" s="1"/>
  <c r="E77" i="4"/>
  <c r="D77" i="4"/>
  <c r="C77" i="4"/>
  <c r="F77" i="4" s="1"/>
  <c r="E76" i="4"/>
  <c r="D76" i="4"/>
  <c r="C76" i="4"/>
  <c r="F76" i="4" s="1"/>
  <c r="E75" i="4"/>
  <c r="D75" i="4"/>
  <c r="C75" i="4"/>
  <c r="F75" i="4" s="1"/>
  <c r="E74" i="4"/>
  <c r="D74" i="4"/>
  <c r="C74" i="4"/>
  <c r="F74" i="4" s="1"/>
  <c r="E73" i="4"/>
  <c r="D73" i="4"/>
  <c r="C73" i="4"/>
  <c r="F73" i="4" s="1"/>
  <c r="E72" i="4"/>
  <c r="D72" i="4"/>
  <c r="C72" i="4"/>
  <c r="F72" i="4" s="1"/>
  <c r="E71" i="4"/>
  <c r="D71" i="4"/>
  <c r="C71" i="4"/>
  <c r="F71" i="4" s="1"/>
  <c r="E70" i="4"/>
  <c r="D70" i="4"/>
  <c r="C70" i="4"/>
  <c r="F70" i="4" s="1"/>
  <c r="E69" i="4"/>
  <c r="D69" i="4"/>
  <c r="C69" i="4"/>
  <c r="F69" i="4" s="1"/>
  <c r="E68" i="4"/>
  <c r="D68" i="4"/>
  <c r="C68" i="4"/>
  <c r="F68" i="4" s="1"/>
  <c r="E67" i="4"/>
  <c r="D67" i="4"/>
  <c r="C67" i="4"/>
  <c r="F67" i="4" s="1"/>
  <c r="E66" i="4"/>
  <c r="D66" i="4"/>
  <c r="C66" i="4"/>
  <c r="F66" i="4" s="1"/>
  <c r="E65" i="4"/>
  <c r="D65" i="4"/>
  <c r="C65" i="4"/>
  <c r="F65" i="4" s="1"/>
  <c r="E64" i="4"/>
  <c r="D64" i="4"/>
  <c r="C64" i="4"/>
  <c r="F64" i="4" s="1"/>
  <c r="E63" i="4"/>
  <c r="D63" i="4"/>
  <c r="C63" i="4"/>
  <c r="F63" i="4" s="1"/>
  <c r="E62" i="4"/>
  <c r="D62" i="4"/>
  <c r="C62" i="4"/>
  <c r="E61" i="4"/>
  <c r="D61" i="4"/>
  <c r="C61" i="4"/>
  <c r="F61" i="4" s="1"/>
  <c r="E60" i="4"/>
  <c r="D60" i="4"/>
  <c r="C60" i="4"/>
  <c r="F60" i="4" s="1"/>
  <c r="E59" i="4"/>
  <c r="D59" i="4"/>
  <c r="C59" i="4"/>
  <c r="F59" i="4" s="1"/>
  <c r="E58" i="4"/>
  <c r="D58" i="4"/>
  <c r="C58" i="4"/>
  <c r="F58" i="4" s="1"/>
  <c r="E57" i="4"/>
  <c r="D57" i="4"/>
  <c r="C57" i="4"/>
  <c r="F57" i="4" s="1"/>
  <c r="E56" i="4"/>
  <c r="D56" i="4"/>
  <c r="C56" i="4"/>
  <c r="F56" i="4" s="1"/>
  <c r="E55" i="4"/>
  <c r="D55" i="4"/>
  <c r="C55" i="4"/>
  <c r="F55" i="4" s="1"/>
  <c r="E54" i="4"/>
  <c r="D54" i="4"/>
  <c r="C54" i="4"/>
  <c r="E53" i="4"/>
  <c r="D53" i="4"/>
  <c r="C53" i="4"/>
  <c r="F53" i="4" s="1"/>
  <c r="E52" i="4"/>
  <c r="D52" i="4"/>
  <c r="C52" i="4"/>
  <c r="F52" i="4" s="1"/>
  <c r="E51" i="4"/>
  <c r="D51" i="4"/>
  <c r="C51" i="4"/>
  <c r="F51" i="4" s="1"/>
  <c r="E50" i="4"/>
  <c r="D50" i="4"/>
  <c r="C50" i="4"/>
  <c r="F50" i="4" s="1"/>
  <c r="E49" i="4"/>
  <c r="D49" i="4"/>
  <c r="C49" i="4"/>
  <c r="F49" i="4" s="1"/>
  <c r="E48" i="4"/>
  <c r="D48" i="4"/>
  <c r="C48" i="4"/>
  <c r="F48" i="4" s="1"/>
  <c r="E47" i="4"/>
  <c r="D47" i="4"/>
  <c r="C47" i="4"/>
  <c r="F47" i="4" s="1"/>
  <c r="E46" i="4"/>
  <c r="D46" i="4"/>
  <c r="C46" i="4"/>
  <c r="F46" i="4" s="1"/>
  <c r="E45" i="4"/>
  <c r="D45" i="4"/>
  <c r="C45" i="4"/>
  <c r="F45" i="4" s="1"/>
  <c r="E44" i="4"/>
  <c r="D44" i="4"/>
  <c r="C44" i="4"/>
  <c r="F44" i="4" s="1"/>
  <c r="E43" i="4"/>
  <c r="D43" i="4"/>
  <c r="C43" i="4"/>
  <c r="F43" i="4" s="1"/>
  <c r="E42" i="4"/>
  <c r="D42" i="4"/>
  <c r="C42" i="4"/>
  <c r="E41" i="4"/>
  <c r="D41" i="4"/>
  <c r="C41" i="4"/>
  <c r="F41" i="4" s="1"/>
  <c r="E40" i="4"/>
  <c r="D40" i="4"/>
  <c r="C40" i="4"/>
  <c r="F40" i="4" s="1"/>
  <c r="E39" i="4"/>
  <c r="D39" i="4"/>
  <c r="C39" i="4"/>
  <c r="F39" i="4" s="1"/>
  <c r="E38" i="4"/>
  <c r="D38" i="4"/>
  <c r="C38" i="4"/>
  <c r="E37" i="4"/>
  <c r="D37" i="4"/>
  <c r="C37" i="4"/>
  <c r="F37" i="4" s="1"/>
  <c r="E36" i="4"/>
  <c r="D36" i="4"/>
  <c r="C36" i="4"/>
  <c r="F36" i="4" s="1"/>
  <c r="E35" i="4"/>
  <c r="D35" i="4"/>
  <c r="C35" i="4"/>
  <c r="F35" i="4" s="1"/>
  <c r="E34" i="4"/>
  <c r="D34" i="4"/>
  <c r="C34" i="4"/>
  <c r="F34" i="4" s="1"/>
  <c r="E33" i="4"/>
  <c r="D33" i="4"/>
  <c r="C33" i="4"/>
  <c r="F33" i="4" s="1"/>
  <c r="E32" i="4"/>
  <c r="D32" i="4"/>
  <c r="C32" i="4"/>
  <c r="F32" i="4" s="1"/>
  <c r="E31" i="4"/>
  <c r="D31" i="4"/>
  <c r="C31" i="4"/>
  <c r="F31" i="4" s="1"/>
  <c r="E30" i="4"/>
  <c r="D30" i="4"/>
  <c r="C30" i="4"/>
  <c r="F30" i="4" s="1"/>
  <c r="E29" i="4"/>
  <c r="D29" i="4"/>
  <c r="C29" i="4"/>
  <c r="F29" i="4" s="1"/>
  <c r="E28" i="4"/>
  <c r="D28" i="4"/>
  <c r="C28" i="4"/>
  <c r="F28" i="4" s="1"/>
  <c r="E27" i="4"/>
  <c r="D27" i="4"/>
  <c r="C27" i="4"/>
  <c r="F27" i="4" s="1"/>
  <c r="E26" i="4"/>
  <c r="D26" i="4"/>
  <c r="C26" i="4"/>
  <c r="F26" i="4" s="1"/>
  <c r="E25" i="4"/>
  <c r="D25" i="4"/>
  <c r="C25" i="4"/>
  <c r="F25" i="4" s="1"/>
  <c r="E24" i="4"/>
  <c r="D24" i="4"/>
  <c r="C24" i="4"/>
  <c r="F24" i="4" s="1"/>
  <c r="E23" i="4"/>
  <c r="D23" i="4"/>
  <c r="C23" i="4"/>
  <c r="F23" i="4" s="1"/>
  <c r="E22" i="4"/>
  <c r="D22" i="4"/>
  <c r="C22" i="4"/>
  <c r="E21" i="4"/>
  <c r="D21" i="4"/>
  <c r="C21" i="4"/>
  <c r="F21" i="4" s="1"/>
  <c r="E20" i="4"/>
  <c r="D20" i="4"/>
  <c r="C20" i="4"/>
  <c r="F20" i="4" s="1"/>
  <c r="E19" i="4"/>
  <c r="D19" i="4"/>
  <c r="C19" i="4"/>
  <c r="F19" i="4" s="1"/>
  <c r="E18" i="4"/>
  <c r="D18" i="4"/>
  <c r="C18" i="4"/>
  <c r="F18" i="4" s="1"/>
  <c r="E17" i="4"/>
  <c r="D17" i="4"/>
  <c r="C17" i="4"/>
  <c r="F17" i="4" s="1"/>
  <c r="E16" i="4"/>
  <c r="D16" i="4"/>
  <c r="C16" i="4"/>
  <c r="F16" i="4" s="1"/>
  <c r="E15" i="4"/>
  <c r="D15" i="4"/>
  <c r="C15" i="4"/>
  <c r="F15" i="4" s="1"/>
  <c r="E14" i="4"/>
  <c r="D14" i="4"/>
  <c r="C14" i="4"/>
  <c r="F14" i="4" s="1"/>
  <c r="E13" i="4"/>
  <c r="D13" i="4"/>
  <c r="C13" i="4"/>
  <c r="F13" i="4" s="1"/>
  <c r="E12" i="4"/>
  <c r="D12" i="4"/>
  <c r="C12" i="4"/>
  <c r="F12" i="4" s="1"/>
  <c r="E11" i="4"/>
  <c r="D11" i="4"/>
  <c r="C11" i="4"/>
  <c r="F11" i="4" s="1"/>
  <c r="E10" i="4"/>
  <c r="D10" i="4"/>
  <c r="C10" i="4"/>
  <c r="F10" i="4" s="1"/>
  <c r="E9" i="4"/>
  <c r="D9" i="4"/>
  <c r="C9" i="4"/>
  <c r="F9" i="4" s="1"/>
  <c r="E8" i="4"/>
  <c r="D8" i="4"/>
  <c r="C8" i="4"/>
  <c r="F8" i="4" s="1"/>
  <c r="E7" i="4"/>
  <c r="D7" i="4"/>
  <c r="C7" i="4"/>
  <c r="F7" i="4" s="1"/>
  <c r="E6" i="4"/>
  <c r="D6" i="4"/>
  <c r="C6" i="4"/>
  <c r="F6" i="4" s="1"/>
  <c r="E5" i="4"/>
  <c r="D5" i="4"/>
  <c r="C5" i="4"/>
  <c r="F5" i="4" s="1"/>
  <c r="E4" i="4"/>
  <c r="D4" i="4"/>
  <c r="C4" i="4"/>
  <c r="F4" i="4" s="1"/>
  <c r="E3" i="4"/>
  <c r="D3" i="4"/>
  <c r="C3" i="4"/>
  <c r="F3" i="4" s="1"/>
  <c r="E2" i="4"/>
  <c r="D2" i="4"/>
  <c r="C2" i="4"/>
  <c r="F2" i="4" s="1"/>
  <c r="G5" i="3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4" i="3"/>
  <c r="G3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2" i="3"/>
  <c r="E93" i="3"/>
  <c r="D93" i="3"/>
  <c r="C93" i="3"/>
  <c r="E92" i="3"/>
  <c r="D92" i="3"/>
  <c r="C92" i="3"/>
  <c r="E91" i="3"/>
  <c r="D91" i="3"/>
  <c r="C91" i="3"/>
  <c r="E90" i="3"/>
  <c r="D90" i="3"/>
  <c r="C90" i="3"/>
  <c r="E89" i="3"/>
  <c r="D89" i="3"/>
  <c r="C89" i="3"/>
  <c r="E88" i="3"/>
  <c r="D88" i="3"/>
  <c r="C88" i="3"/>
  <c r="E87" i="3"/>
  <c r="D87" i="3"/>
  <c r="C87" i="3"/>
  <c r="E86" i="3"/>
  <c r="D86" i="3"/>
  <c r="C86" i="3"/>
  <c r="E85" i="3"/>
  <c r="D85" i="3"/>
  <c r="C85" i="3"/>
  <c r="E84" i="3"/>
  <c r="D84" i="3"/>
  <c r="C84" i="3"/>
  <c r="E83" i="3"/>
  <c r="D83" i="3"/>
  <c r="C83" i="3"/>
  <c r="E82" i="3"/>
  <c r="D82" i="3"/>
  <c r="C82" i="3"/>
  <c r="E81" i="3"/>
  <c r="D81" i="3"/>
  <c r="C81" i="3"/>
  <c r="E80" i="3"/>
  <c r="D80" i="3"/>
  <c r="C80" i="3"/>
  <c r="E79" i="3"/>
  <c r="D79" i="3"/>
  <c r="C79" i="3"/>
  <c r="E78" i="3"/>
  <c r="D78" i="3"/>
  <c r="C78" i="3"/>
  <c r="E77" i="3"/>
  <c r="D77" i="3"/>
  <c r="C77" i="3"/>
  <c r="E76" i="3"/>
  <c r="D76" i="3"/>
  <c r="C76" i="3"/>
  <c r="E75" i="3"/>
  <c r="D75" i="3"/>
  <c r="C75" i="3"/>
  <c r="E74" i="3"/>
  <c r="D74" i="3"/>
  <c r="C74" i="3"/>
  <c r="E73" i="3"/>
  <c r="D73" i="3"/>
  <c r="C73" i="3"/>
  <c r="E72" i="3"/>
  <c r="D72" i="3"/>
  <c r="C72" i="3"/>
  <c r="E71" i="3"/>
  <c r="D71" i="3"/>
  <c r="C71" i="3"/>
  <c r="E70" i="3"/>
  <c r="D70" i="3"/>
  <c r="C70" i="3"/>
  <c r="E69" i="3"/>
  <c r="D69" i="3"/>
  <c r="C69" i="3"/>
  <c r="E68" i="3"/>
  <c r="D68" i="3"/>
  <c r="C68" i="3"/>
  <c r="E67" i="3"/>
  <c r="D67" i="3"/>
  <c r="C67" i="3"/>
  <c r="E66" i="3"/>
  <c r="D66" i="3"/>
  <c r="C66" i="3"/>
  <c r="E65" i="3"/>
  <c r="D65" i="3"/>
  <c r="C65" i="3"/>
  <c r="E64" i="3"/>
  <c r="D64" i="3"/>
  <c r="C64" i="3"/>
  <c r="E63" i="3"/>
  <c r="D63" i="3"/>
  <c r="C63" i="3"/>
  <c r="E62" i="3"/>
  <c r="D62" i="3"/>
  <c r="C62" i="3"/>
  <c r="E61" i="3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E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2" i="2"/>
  <c r="D92" i="1"/>
  <c r="D62" i="1"/>
  <c r="D35" i="1"/>
  <c r="D27" i="1"/>
  <c r="D16" i="1"/>
  <c r="D10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1" i="1"/>
  <c r="F38" i="4" l="1"/>
  <c r="F90" i="4"/>
  <c r="F54" i="4"/>
  <c r="F22" i="4"/>
  <c r="F42" i="4"/>
  <c r="F6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9F37F4-3F8A-41AD-BDD8-4C36F381DEFE}" name="temperatury" type="6" refreshedVersion="8" background="1" saveData="1">
    <textPr codePage="437" sourceFile="D:\Programowanie\inf_matura\Czerwiec2022\DANE\temperatury.txt" tab="0" semicolon="1">
      <textFields count="2">
        <textField type="YMD"/>
        <textField/>
      </textFields>
    </textPr>
  </connection>
  <connection id="2" xr16:uid="{5338042E-9853-46B5-A028-326C0DBD00A3}" name="temperatury1" type="6" refreshedVersion="8" background="1" saveData="1">
    <textPr codePage="437" sourceFile="D:\Programowanie\inf_matura\Czerwiec2022\DANE\temperatury.txt" tab="0" semicolon="1">
      <textFields count="2">
        <textField type="YMD"/>
        <textField/>
      </textFields>
    </textPr>
  </connection>
  <connection id="3" xr16:uid="{93CD0E7D-F544-40EC-AAE1-EB7A6FB4F226}" name="temperatury11" type="6" refreshedVersion="8" background="1" saveData="1">
    <textPr codePage="437" sourceFile="D:\Programowanie\inf_matura\Czerwiec2022\DANE\temperatury.txt" tab="0" semicolon="1">
      <textFields count="2">
        <textField type="YMD"/>
        <textField/>
      </textFields>
    </textPr>
  </connection>
  <connection id="4" xr16:uid="{2A4BE59C-654B-4123-9120-C7A0EE65160D}" name="temperatury111" type="6" refreshedVersion="8" background="1" saveData="1">
    <textPr codePage="437" sourceFile="D:\Programowanie\inf_matura\Czerwiec2022\DANE\temperatury.txt" tab="0" semicolon="1">
      <textFields count="2">
        <textField type="YMD"/>
        <textField/>
      </textFields>
    </textPr>
  </connection>
</connections>
</file>

<file path=xl/sharedStrings.xml><?xml version="1.0" encoding="utf-8"?>
<sst xmlns="http://schemas.openxmlformats.org/spreadsheetml/2006/main" count="40" uniqueCount="28">
  <si>
    <t>ODPOWIEDŹ</t>
  </si>
  <si>
    <t>od 17.08.2022 do 31.08.2022</t>
  </si>
  <si>
    <t>dzień</t>
  </si>
  <si>
    <t>ilość stopni</t>
  </si>
  <si>
    <t>lody</t>
  </si>
  <si>
    <t>kukurydza</t>
  </si>
  <si>
    <t>hot-dog</t>
  </si>
  <si>
    <t>Etykiety wierszy</t>
  </si>
  <si>
    <t>Suma końcowa</t>
  </si>
  <si>
    <t>Jun</t>
  </si>
  <si>
    <t>Jul</t>
  </si>
  <si>
    <t>Aug</t>
  </si>
  <si>
    <t>Sprzedaż Lodów</t>
  </si>
  <si>
    <t>Sprzedaż kukurydzy</t>
  </si>
  <si>
    <t>Sprzedaż hot-dogów</t>
  </si>
  <si>
    <t>Czerwiec</t>
  </si>
  <si>
    <t>Lipiec</t>
  </si>
  <si>
    <t>Sierpień</t>
  </si>
  <si>
    <t>Lody</t>
  </si>
  <si>
    <t>Kukurydza</t>
  </si>
  <si>
    <t>Hot-dogi</t>
  </si>
  <si>
    <t>dzienny utarg</t>
  </si>
  <si>
    <t>utarg włącznie</t>
  </si>
  <si>
    <t>27.06.2022 45358</t>
  </si>
  <si>
    <t>ODPOWIEDŹ a)</t>
  </si>
  <si>
    <t>ODPOWIEDŹ b)</t>
  </si>
  <si>
    <t>23.09.2022</t>
  </si>
  <si>
    <t>1,34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</si>
</sst>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1" fillId="0" borderId="0" xfId="0" applyNumberFormat="1" applyFont="1"/>
    <xf numFmtId="0" fontId="1" fillId="0" borderId="0" xfId="0" applyFont="1"/>
    <xf numFmtId="14" fontId="0" fillId="0" borderId="0" xfId="0" applyNumberFormat="1" applyFont="1"/>
    <xf numFmtId="0" fontId="0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sprzedanych produktów w</a:t>
            </a:r>
            <a:r>
              <a:rPr lang="pl-PL" baseline="0"/>
              <a:t> poszczególnych miesiącach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'5.2'!$H$10</c:f>
              <c:strCache>
                <c:ptCount val="1"/>
                <c:pt idx="0">
                  <c:v>Czerwiec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'5.2'!$I$9:$K$9</c:f>
              <c:strCache>
                <c:ptCount val="3"/>
                <c:pt idx="0">
                  <c:v>Lody</c:v>
                </c:pt>
                <c:pt idx="1">
                  <c:v>Kukurydza</c:v>
                </c:pt>
                <c:pt idx="2">
                  <c:v>Hot-dogi</c:v>
                </c:pt>
              </c:strCache>
            </c:strRef>
          </c:cat>
          <c:val>
            <c:numRef>
              <c:f>'5.2'!$I$10:$K$10</c:f>
              <c:numCache>
                <c:formatCode>General</c:formatCode>
                <c:ptCount val="3"/>
                <c:pt idx="0">
                  <c:v>3527</c:v>
                </c:pt>
                <c:pt idx="1">
                  <c:v>2355</c:v>
                </c:pt>
                <c:pt idx="2">
                  <c:v>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B-4A1E-BFC0-62158D719BC9}"/>
            </c:ext>
          </c:extLst>
        </c:ser>
        <c:ser>
          <c:idx val="1"/>
          <c:order val="1"/>
          <c:tx>
            <c:strRef>
              <c:f>'5.2'!$H$11</c:f>
              <c:strCache>
                <c:ptCount val="1"/>
                <c:pt idx="0">
                  <c:v>Lipiec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'5.2'!$I$9:$K$9</c:f>
              <c:strCache>
                <c:ptCount val="3"/>
                <c:pt idx="0">
                  <c:v>Lody</c:v>
                </c:pt>
                <c:pt idx="1">
                  <c:v>Kukurydza</c:v>
                </c:pt>
                <c:pt idx="2">
                  <c:v>Hot-dogi</c:v>
                </c:pt>
              </c:strCache>
            </c:strRef>
          </c:cat>
          <c:val>
            <c:numRef>
              <c:f>'5.2'!$I$11:$K$11</c:f>
              <c:numCache>
                <c:formatCode>General</c:formatCode>
                <c:ptCount val="3"/>
                <c:pt idx="0">
                  <c:v>3675</c:v>
                </c:pt>
                <c:pt idx="1">
                  <c:v>2448</c:v>
                </c:pt>
                <c:pt idx="2">
                  <c:v>2747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2B-4A1E-BFC0-62158D719BC9}"/>
            </c:ext>
          </c:extLst>
        </c:ser>
        <c:ser>
          <c:idx val="2"/>
          <c:order val="2"/>
          <c:tx>
            <c:strRef>
              <c:f>'5.2'!$H$12</c:f>
              <c:strCache>
                <c:ptCount val="1"/>
                <c:pt idx="0">
                  <c:v>Sierpień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'5.2'!$I$9:$K$9</c:f>
              <c:strCache>
                <c:ptCount val="3"/>
                <c:pt idx="0">
                  <c:v>Lody</c:v>
                </c:pt>
                <c:pt idx="1">
                  <c:v>Kukurydza</c:v>
                </c:pt>
                <c:pt idx="2">
                  <c:v>Hot-dogi</c:v>
                </c:pt>
              </c:strCache>
            </c:strRef>
          </c:cat>
          <c:val>
            <c:numRef>
              <c:f>'5.2'!$I$12:$K$12</c:f>
              <c:numCache>
                <c:formatCode>General</c:formatCode>
                <c:ptCount val="3"/>
                <c:pt idx="0">
                  <c:v>3579</c:v>
                </c:pt>
                <c:pt idx="1">
                  <c:v>2390</c:v>
                </c:pt>
                <c:pt idx="2">
                  <c:v>2665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2B-4A1E-BFC0-62158D719B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2860720"/>
        <c:axId val="1792862640"/>
      </c:barChart>
      <c:catAx>
        <c:axId val="1792860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2862640"/>
        <c:crosses val="autoZero"/>
        <c:auto val="1"/>
        <c:lblAlgn val="ctr"/>
        <c:lblOffset val="100"/>
        <c:noMultiLvlLbl val="0"/>
      </c:catAx>
      <c:valAx>
        <c:axId val="179286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sztuk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9286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491132</xdr:colOff>
      <xdr:row>15</xdr:row>
      <xdr:rowOff>18455</xdr:rowOff>
    </xdr:from>
    <xdr:to>
      <xdr:col>10</xdr:col>
      <xdr:colOff>985241</xdr:colOff>
      <xdr:row>31</xdr:row>
      <xdr:rowOff>89297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7197D74F-8491-3566-90C2-E6429BFC6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gumil" refreshedDate="46149.548621527778" createdVersion="8" refreshedVersion="8" minRefreshableVersion="3" recordCount="92" xr:uid="{2353F050-3A73-4BAA-8B9B-B3172E6DE97F}">
  <cacheSource type="worksheet">
    <worksheetSource ref="A1:E93" sheet="5.2"/>
  </cacheSource>
  <cacheFields count="7">
    <cacheField name="dzień" numFmtId="14">
      <sharedItems containsSemiMixedTypes="0" containsNonDate="0" containsDate="1" containsString="0" minDate="2022-06-01T00:00:00" maxDate="2022-09-01T00:00:00" count="92"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</sharedItems>
      <fieldGroup par="6"/>
    </cacheField>
    <cacheField name="ilość stopni" numFmtId="0">
      <sharedItems containsSemiMixedTypes="0" containsString="0" containsNumber="1" containsInteger="1" minValue="15" maxValue="33"/>
    </cacheField>
    <cacheField name="lody" numFmtId="0">
      <sharedItems containsSemiMixedTypes="0" containsString="0" containsNumber="1" containsInteger="1" minValue="82" maxValue="157" count="18">
        <n v="120"/>
        <n v="124"/>
        <n v="132"/>
        <n v="111"/>
        <n v="107"/>
        <n v="99"/>
        <n v="82"/>
        <n v="115"/>
        <n v="86"/>
        <n v="136"/>
        <n v="148"/>
        <n v="157"/>
        <n v="91"/>
        <n v="95"/>
        <n v="128"/>
        <n v="140"/>
        <n v="103"/>
        <n v="153"/>
      </sharedItems>
    </cacheField>
    <cacheField name="kukurydza" numFmtId="0">
      <sharedItems containsSemiMixedTypes="0" containsString="0" containsNumber="1" containsInteger="1" minValue="58" maxValue="101" count="18">
        <n v="80"/>
        <n v="82"/>
        <n v="87"/>
        <n v="75"/>
        <n v="72"/>
        <n v="68"/>
        <n v="58"/>
        <n v="77"/>
        <n v="61"/>
        <n v="89"/>
        <n v="96"/>
        <n v="101"/>
        <n v="63"/>
        <n v="65"/>
        <n v="84"/>
        <n v="91"/>
        <n v="70"/>
        <n v="98"/>
      </sharedItems>
    </cacheField>
    <cacheField name="hot-dog" numFmtId="0">
      <sharedItems containsSemiMixedTypes="0" containsString="0" containsNumber="1" containsInteger="1" minValue="58" maxValue="121" count="18">
        <n v="90"/>
        <n v="93"/>
        <n v="100"/>
        <n v="83"/>
        <n v="79"/>
        <n v="72"/>
        <n v="58"/>
        <n v="86"/>
        <n v="62"/>
        <n v="103"/>
        <n v="114"/>
        <n v="121"/>
        <n v="65"/>
        <n v="69"/>
        <n v="96"/>
        <n v="107"/>
        <n v="76"/>
        <n v="117"/>
      </sharedItems>
    </cacheField>
    <cacheField name="Dni (dzień)" numFmtId="0" databaseField="0">
      <fieldGroup base="0">
        <rangePr groupBy="days" startDate="2022-06-01T00:00:00" endDate="2022-09-01T00:00:00"/>
        <groupItems count="368">
          <s v="&lt;6/1/2022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1/2022"/>
        </groupItems>
      </fieldGroup>
    </cacheField>
    <cacheField name="Miesiące (dzień)" numFmtId="0" databaseField="0">
      <fieldGroup base="0">
        <rangePr groupBy="months" startDate="2022-06-01T00:00:00" endDate="2022-09-01T00:00:00"/>
        <groupItems count="14">
          <s v="&lt;6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n v="24"/>
    <x v="0"/>
    <x v="0"/>
    <x v="0"/>
  </r>
  <r>
    <x v="1"/>
    <n v="25"/>
    <x v="1"/>
    <x v="1"/>
    <x v="1"/>
  </r>
  <r>
    <x v="2"/>
    <n v="27"/>
    <x v="2"/>
    <x v="2"/>
    <x v="2"/>
  </r>
  <r>
    <x v="3"/>
    <n v="27"/>
    <x v="2"/>
    <x v="2"/>
    <x v="2"/>
  </r>
  <r>
    <x v="4"/>
    <n v="27"/>
    <x v="2"/>
    <x v="2"/>
    <x v="2"/>
  </r>
  <r>
    <x v="5"/>
    <n v="22"/>
    <x v="3"/>
    <x v="3"/>
    <x v="3"/>
  </r>
  <r>
    <x v="6"/>
    <n v="25"/>
    <x v="1"/>
    <x v="1"/>
    <x v="1"/>
  </r>
  <r>
    <x v="7"/>
    <n v="25"/>
    <x v="1"/>
    <x v="1"/>
    <x v="1"/>
  </r>
  <r>
    <x v="8"/>
    <n v="21"/>
    <x v="4"/>
    <x v="4"/>
    <x v="4"/>
  </r>
  <r>
    <x v="9"/>
    <n v="21"/>
    <x v="4"/>
    <x v="4"/>
    <x v="4"/>
  </r>
  <r>
    <x v="10"/>
    <n v="19"/>
    <x v="5"/>
    <x v="5"/>
    <x v="5"/>
  </r>
  <r>
    <x v="11"/>
    <n v="19"/>
    <x v="5"/>
    <x v="5"/>
    <x v="5"/>
  </r>
  <r>
    <x v="12"/>
    <n v="15"/>
    <x v="6"/>
    <x v="6"/>
    <x v="6"/>
  </r>
  <r>
    <x v="13"/>
    <n v="21"/>
    <x v="4"/>
    <x v="4"/>
    <x v="4"/>
  </r>
  <r>
    <x v="14"/>
    <n v="23"/>
    <x v="7"/>
    <x v="7"/>
    <x v="7"/>
  </r>
  <r>
    <x v="15"/>
    <n v="23"/>
    <x v="7"/>
    <x v="7"/>
    <x v="7"/>
  </r>
  <r>
    <x v="16"/>
    <n v="16"/>
    <x v="8"/>
    <x v="8"/>
    <x v="8"/>
  </r>
  <r>
    <x v="17"/>
    <n v="21"/>
    <x v="4"/>
    <x v="4"/>
    <x v="4"/>
  </r>
  <r>
    <x v="18"/>
    <n v="22"/>
    <x v="3"/>
    <x v="3"/>
    <x v="3"/>
  </r>
  <r>
    <x v="19"/>
    <n v="22"/>
    <x v="3"/>
    <x v="3"/>
    <x v="3"/>
  </r>
  <r>
    <x v="20"/>
    <n v="22"/>
    <x v="3"/>
    <x v="3"/>
    <x v="3"/>
  </r>
  <r>
    <x v="21"/>
    <n v="28"/>
    <x v="9"/>
    <x v="9"/>
    <x v="9"/>
  </r>
  <r>
    <x v="22"/>
    <n v="31"/>
    <x v="10"/>
    <x v="10"/>
    <x v="10"/>
  </r>
  <r>
    <x v="23"/>
    <n v="33"/>
    <x v="11"/>
    <x v="11"/>
    <x v="11"/>
  </r>
  <r>
    <x v="24"/>
    <n v="33"/>
    <x v="11"/>
    <x v="11"/>
    <x v="11"/>
  </r>
  <r>
    <x v="25"/>
    <n v="23"/>
    <x v="7"/>
    <x v="7"/>
    <x v="7"/>
  </r>
  <r>
    <x v="26"/>
    <n v="23"/>
    <x v="7"/>
    <x v="7"/>
    <x v="7"/>
  </r>
  <r>
    <x v="27"/>
    <n v="19"/>
    <x v="5"/>
    <x v="5"/>
    <x v="5"/>
  </r>
  <r>
    <x v="28"/>
    <n v="24"/>
    <x v="0"/>
    <x v="0"/>
    <x v="0"/>
  </r>
  <r>
    <x v="29"/>
    <n v="25"/>
    <x v="1"/>
    <x v="1"/>
    <x v="1"/>
  </r>
  <r>
    <x v="30"/>
    <n v="27"/>
    <x v="2"/>
    <x v="2"/>
    <x v="2"/>
  </r>
  <r>
    <x v="31"/>
    <n v="27"/>
    <x v="2"/>
    <x v="2"/>
    <x v="2"/>
  </r>
  <r>
    <x v="32"/>
    <n v="21"/>
    <x v="4"/>
    <x v="4"/>
    <x v="4"/>
  </r>
  <r>
    <x v="33"/>
    <n v="21"/>
    <x v="4"/>
    <x v="4"/>
    <x v="4"/>
  </r>
  <r>
    <x v="34"/>
    <n v="25"/>
    <x v="1"/>
    <x v="1"/>
    <x v="1"/>
  </r>
  <r>
    <x v="35"/>
    <n v="19"/>
    <x v="5"/>
    <x v="5"/>
    <x v="5"/>
  </r>
  <r>
    <x v="36"/>
    <n v="21"/>
    <x v="4"/>
    <x v="4"/>
    <x v="4"/>
  </r>
  <r>
    <x v="37"/>
    <n v="24"/>
    <x v="0"/>
    <x v="0"/>
    <x v="0"/>
  </r>
  <r>
    <x v="38"/>
    <n v="19"/>
    <x v="5"/>
    <x v="5"/>
    <x v="5"/>
  </r>
  <r>
    <x v="39"/>
    <n v="28"/>
    <x v="9"/>
    <x v="9"/>
    <x v="9"/>
  </r>
  <r>
    <x v="40"/>
    <n v="27"/>
    <x v="2"/>
    <x v="2"/>
    <x v="2"/>
  </r>
  <r>
    <x v="41"/>
    <n v="24"/>
    <x v="0"/>
    <x v="0"/>
    <x v="0"/>
  </r>
  <r>
    <x v="42"/>
    <n v="22"/>
    <x v="3"/>
    <x v="3"/>
    <x v="3"/>
  </r>
  <r>
    <x v="43"/>
    <n v="17"/>
    <x v="12"/>
    <x v="12"/>
    <x v="12"/>
  </r>
  <r>
    <x v="44"/>
    <n v="18"/>
    <x v="13"/>
    <x v="13"/>
    <x v="13"/>
  </r>
  <r>
    <x v="45"/>
    <n v="23"/>
    <x v="7"/>
    <x v="7"/>
    <x v="7"/>
  </r>
  <r>
    <x v="46"/>
    <n v="23"/>
    <x v="7"/>
    <x v="7"/>
    <x v="7"/>
  </r>
  <r>
    <x v="47"/>
    <n v="19"/>
    <x v="5"/>
    <x v="5"/>
    <x v="5"/>
  </r>
  <r>
    <x v="48"/>
    <n v="21"/>
    <x v="4"/>
    <x v="4"/>
    <x v="4"/>
  </r>
  <r>
    <x v="49"/>
    <n v="25"/>
    <x v="1"/>
    <x v="1"/>
    <x v="1"/>
  </r>
  <r>
    <x v="50"/>
    <n v="28"/>
    <x v="9"/>
    <x v="9"/>
    <x v="9"/>
  </r>
  <r>
    <x v="51"/>
    <n v="27"/>
    <x v="2"/>
    <x v="2"/>
    <x v="2"/>
  </r>
  <r>
    <x v="52"/>
    <n v="23"/>
    <x v="7"/>
    <x v="7"/>
    <x v="7"/>
  </r>
  <r>
    <x v="53"/>
    <n v="26"/>
    <x v="14"/>
    <x v="14"/>
    <x v="14"/>
  </r>
  <r>
    <x v="54"/>
    <n v="29"/>
    <x v="15"/>
    <x v="15"/>
    <x v="15"/>
  </r>
  <r>
    <x v="55"/>
    <n v="26"/>
    <x v="14"/>
    <x v="14"/>
    <x v="14"/>
  </r>
  <r>
    <x v="56"/>
    <n v="27"/>
    <x v="2"/>
    <x v="2"/>
    <x v="2"/>
  </r>
  <r>
    <x v="57"/>
    <n v="24"/>
    <x v="0"/>
    <x v="0"/>
    <x v="0"/>
  </r>
  <r>
    <x v="58"/>
    <n v="26"/>
    <x v="14"/>
    <x v="14"/>
    <x v="14"/>
  </r>
  <r>
    <x v="59"/>
    <n v="25"/>
    <x v="1"/>
    <x v="1"/>
    <x v="1"/>
  </r>
  <r>
    <x v="60"/>
    <n v="24"/>
    <x v="0"/>
    <x v="0"/>
    <x v="0"/>
  </r>
  <r>
    <x v="61"/>
    <n v="22"/>
    <x v="3"/>
    <x v="3"/>
    <x v="3"/>
  </r>
  <r>
    <x v="62"/>
    <n v="19"/>
    <x v="5"/>
    <x v="5"/>
    <x v="5"/>
  </r>
  <r>
    <x v="63"/>
    <n v="21"/>
    <x v="4"/>
    <x v="4"/>
    <x v="4"/>
  </r>
  <r>
    <x v="64"/>
    <n v="26"/>
    <x v="14"/>
    <x v="14"/>
    <x v="14"/>
  </r>
  <r>
    <x v="65"/>
    <n v="19"/>
    <x v="5"/>
    <x v="5"/>
    <x v="5"/>
  </r>
  <r>
    <x v="66"/>
    <n v="21"/>
    <x v="4"/>
    <x v="4"/>
    <x v="4"/>
  </r>
  <r>
    <x v="67"/>
    <n v="23"/>
    <x v="7"/>
    <x v="7"/>
    <x v="7"/>
  </r>
  <r>
    <x v="68"/>
    <n v="27"/>
    <x v="2"/>
    <x v="2"/>
    <x v="2"/>
  </r>
  <r>
    <x v="69"/>
    <n v="20"/>
    <x v="16"/>
    <x v="16"/>
    <x v="16"/>
  </r>
  <r>
    <x v="70"/>
    <n v="18"/>
    <x v="13"/>
    <x v="13"/>
    <x v="13"/>
  </r>
  <r>
    <x v="71"/>
    <n v="17"/>
    <x v="12"/>
    <x v="12"/>
    <x v="12"/>
  </r>
  <r>
    <x v="72"/>
    <n v="19"/>
    <x v="5"/>
    <x v="5"/>
    <x v="5"/>
  </r>
  <r>
    <x v="73"/>
    <n v="26"/>
    <x v="14"/>
    <x v="14"/>
    <x v="14"/>
  </r>
  <r>
    <x v="74"/>
    <n v="21"/>
    <x v="4"/>
    <x v="4"/>
    <x v="4"/>
  </r>
  <r>
    <x v="75"/>
    <n v="19"/>
    <x v="5"/>
    <x v="5"/>
    <x v="5"/>
  </r>
  <r>
    <x v="76"/>
    <n v="19"/>
    <x v="5"/>
    <x v="5"/>
    <x v="5"/>
  </r>
  <r>
    <x v="77"/>
    <n v="21"/>
    <x v="4"/>
    <x v="4"/>
    <x v="4"/>
  </r>
  <r>
    <x v="78"/>
    <n v="21"/>
    <x v="4"/>
    <x v="4"/>
    <x v="4"/>
  </r>
  <r>
    <x v="79"/>
    <n v="24"/>
    <x v="0"/>
    <x v="0"/>
    <x v="0"/>
  </r>
  <r>
    <x v="80"/>
    <n v="26"/>
    <x v="14"/>
    <x v="14"/>
    <x v="14"/>
  </r>
  <r>
    <x v="81"/>
    <n v="23"/>
    <x v="7"/>
    <x v="7"/>
    <x v="7"/>
  </r>
  <r>
    <x v="82"/>
    <n v="23"/>
    <x v="7"/>
    <x v="7"/>
    <x v="7"/>
  </r>
  <r>
    <x v="83"/>
    <n v="24"/>
    <x v="0"/>
    <x v="0"/>
    <x v="0"/>
  </r>
  <r>
    <x v="84"/>
    <n v="26"/>
    <x v="14"/>
    <x v="14"/>
    <x v="14"/>
  </r>
  <r>
    <x v="85"/>
    <n v="28"/>
    <x v="9"/>
    <x v="9"/>
    <x v="9"/>
  </r>
  <r>
    <x v="86"/>
    <n v="32"/>
    <x v="17"/>
    <x v="17"/>
    <x v="17"/>
  </r>
  <r>
    <x v="87"/>
    <n v="26"/>
    <x v="14"/>
    <x v="14"/>
    <x v="14"/>
  </r>
  <r>
    <x v="88"/>
    <n v="32"/>
    <x v="17"/>
    <x v="17"/>
    <x v="17"/>
  </r>
  <r>
    <x v="89"/>
    <n v="23"/>
    <x v="7"/>
    <x v="7"/>
    <x v="7"/>
  </r>
  <r>
    <x v="90"/>
    <n v="22"/>
    <x v="3"/>
    <x v="3"/>
    <x v="3"/>
  </r>
  <r>
    <x v="91"/>
    <n v="25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8CA64-CFDD-4661-8C2D-75AD2546A6CE}" name="Tabela przestawna1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H2:K6" firstHeaderRow="0" firstDataRow="1" firstDataCol="1"/>
  <pivotFields count="7"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dataField="1"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4"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przedaż Lodów" fld="2" baseField="6" baseItem="6"/>
    <dataField name="Sprzedaż kukurydzy" fld="3" baseField="6" baseItem="6"/>
    <dataField name="Sprzedaż hot-dogów" fld="4" baseField="6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y_1" connectionId="1" xr16:uid="{FCD4B908-13BC-4539-9551-C556A2C95F64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y_1" connectionId="2" xr16:uid="{C707CBBC-8290-42EB-AE0F-D4EE86F780E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y_1" connectionId="3" xr16:uid="{63FB8AA3-D153-48FA-8DE8-9D4CA23E8BB4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y_1" connectionId="4" xr16:uid="{FBF7BF73-581A-48B5-8EF5-BDEDB37BFDA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4F71-E48E-402C-8855-79A399645610}">
  <dimension ref="A1:D94"/>
  <sheetViews>
    <sheetView topLeftCell="A87" zoomScale="175" zoomScaleNormal="175" workbookViewId="0">
      <selection activeCell="D94" sqref="D94"/>
    </sheetView>
  </sheetViews>
  <sheetFormatPr defaultRowHeight="15" x14ac:dyDescent="0.25"/>
  <cols>
    <col min="1" max="1" width="15.7109375" customWidth="1"/>
    <col min="2" max="2" width="3.28515625" customWidth="1"/>
    <col min="4" max="4" width="27" customWidth="1"/>
  </cols>
  <sheetData>
    <row r="1" spans="1:4" x14ac:dyDescent="0.25">
      <c r="A1" s="1">
        <v>44713</v>
      </c>
      <c r="B1">
        <v>24</v>
      </c>
      <c r="C1">
        <f>IF(B1&gt;20, 1, "")</f>
        <v>1</v>
      </c>
    </row>
    <row r="2" spans="1:4" x14ac:dyDescent="0.25">
      <c r="A2" s="1">
        <v>44714</v>
      </c>
      <c r="B2">
        <v>25</v>
      </c>
      <c r="C2">
        <f t="shared" ref="C2:C65" si="0">IF(B2&gt;20, 1, "")</f>
        <v>1</v>
      </c>
    </row>
    <row r="3" spans="1:4" x14ac:dyDescent="0.25">
      <c r="A3" s="1">
        <v>44715</v>
      </c>
      <c r="B3">
        <v>27</v>
      </c>
      <c r="C3">
        <f t="shared" si="0"/>
        <v>1</v>
      </c>
    </row>
    <row r="4" spans="1:4" x14ac:dyDescent="0.25">
      <c r="A4" s="1">
        <v>44716</v>
      </c>
      <c r="B4">
        <v>27</v>
      </c>
      <c r="C4">
        <f t="shared" si="0"/>
        <v>1</v>
      </c>
    </row>
    <row r="5" spans="1:4" x14ac:dyDescent="0.25">
      <c r="A5" s="1">
        <v>44717</v>
      </c>
      <c r="B5">
        <v>27</v>
      </c>
      <c r="C5">
        <f t="shared" si="0"/>
        <v>1</v>
      </c>
    </row>
    <row r="6" spans="1:4" x14ac:dyDescent="0.25">
      <c r="A6" s="1">
        <v>44718</v>
      </c>
      <c r="B6">
        <v>22</v>
      </c>
      <c r="C6">
        <f t="shared" si="0"/>
        <v>1</v>
      </c>
    </row>
    <row r="7" spans="1:4" x14ac:dyDescent="0.25">
      <c r="A7" s="1">
        <v>44719</v>
      </c>
      <c r="B7">
        <v>25</v>
      </c>
      <c r="C7">
        <f t="shared" si="0"/>
        <v>1</v>
      </c>
    </row>
    <row r="8" spans="1:4" x14ac:dyDescent="0.25">
      <c r="A8" s="1">
        <v>44720</v>
      </c>
      <c r="B8">
        <v>25</v>
      </c>
      <c r="C8">
        <f t="shared" si="0"/>
        <v>1</v>
      </c>
    </row>
    <row r="9" spans="1:4" x14ac:dyDescent="0.25">
      <c r="A9" s="1">
        <v>44721</v>
      </c>
      <c r="B9">
        <v>21</v>
      </c>
      <c r="C9">
        <f t="shared" si="0"/>
        <v>1</v>
      </c>
    </row>
    <row r="10" spans="1:4" x14ac:dyDescent="0.25">
      <c r="A10" s="1">
        <v>44722</v>
      </c>
      <c r="B10">
        <v>21</v>
      </c>
      <c r="C10">
        <f t="shared" si="0"/>
        <v>1</v>
      </c>
      <c r="D10">
        <f>SUM(C1:C10)</f>
        <v>10</v>
      </c>
    </row>
    <row r="11" spans="1:4" x14ac:dyDescent="0.25">
      <c r="A11" s="1">
        <v>44723</v>
      </c>
      <c r="B11">
        <v>19</v>
      </c>
      <c r="C11" t="str">
        <f t="shared" si="0"/>
        <v/>
      </c>
    </row>
    <row r="12" spans="1:4" x14ac:dyDescent="0.25">
      <c r="A12" s="1">
        <v>44724</v>
      </c>
      <c r="B12">
        <v>19</v>
      </c>
      <c r="C12" t="str">
        <f t="shared" si="0"/>
        <v/>
      </c>
    </row>
    <row r="13" spans="1:4" x14ac:dyDescent="0.25">
      <c r="A13" s="1">
        <v>44725</v>
      </c>
      <c r="B13">
        <v>15</v>
      </c>
      <c r="C13" t="str">
        <f t="shared" si="0"/>
        <v/>
      </c>
    </row>
    <row r="14" spans="1:4" x14ac:dyDescent="0.25">
      <c r="A14" s="1">
        <v>44726</v>
      </c>
      <c r="B14">
        <v>21</v>
      </c>
      <c r="C14">
        <f t="shared" si="0"/>
        <v>1</v>
      </c>
    </row>
    <row r="15" spans="1:4" x14ac:dyDescent="0.25">
      <c r="A15" s="1">
        <v>44727</v>
      </c>
      <c r="B15">
        <v>23</v>
      </c>
      <c r="C15">
        <f t="shared" si="0"/>
        <v>1</v>
      </c>
    </row>
    <row r="16" spans="1:4" x14ac:dyDescent="0.25">
      <c r="A16" s="1">
        <v>44728</v>
      </c>
      <c r="B16">
        <v>23</v>
      </c>
      <c r="C16">
        <f t="shared" si="0"/>
        <v>1</v>
      </c>
      <c r="D16">
        <f>SUM(C14:C16)</f>
        <v>3</v>
      </c>
    </row>
    <row r="17" spans="1:4" x14ac:dyDescent="0.25">
      <c r="A17" s="1">
        <v>44729</v>
      </c>
      <c r="B17">
        <v>16</v>
      </c>
      <c r="C17" t="str">
        <f t="shared" si="0"/>
        <v/>
      </c>
    </row>
    <row r="18" spans="1:4" x14ac:dyDescent="0.25">
      <c r="A18" s="1">
        <v>44730</v>
      </c>
      <c r="B18">
        <v>21</v>
      </c>
      <c r="C18">
        <f t="shared" si="0"/>
        <v>1</v>
      </c>
    </row>
    <row r="19" spans="1:4" x14ac:dyDescent="0.25">
      <c r="A19" s="1">
        <v>44731</v>
      </c>
      <c r="B19">
        <v>22</v>
      </c>
      <c r="C19">
        <f t="shared" si="0"/>
        <v>1</v>
      </c>
    </row>
    <row r="20" spans="1:4" x14ac:dyDescent="0.25">
      <c r="A20" s="1">
        <v>44732</v>
      </c>
      <c r="B20">
        <v>22</v>
      </c>
      <c r="C20">
        <f t="shared" si="0"/>
        <v>1</v>
      </c>
    </row>
    <row r="21" spans="1:4" x14ac:dyDescent="0.25">
      <c r="A21" s="1">
        <v>44733</v>
      </c>
      <c r="B21">
        <v>22</v>
      </c>
      <c r="C21">
        <f t="shared" si="0"/>
        <v>1</v>
      </c>
    </row>
    <row r="22" spans="1:4" x14ac:dyDescent="0.25">
      <c r="A22" s="1">
        <v>44734</v>
      </c>
      <c r="B22">
        <v>28</v>
      </c>
      <c r="C22">
        <f t="shared" si="0"/>
        <v>1</v>
      </c>
    </row>
    <row r="23" spans="1:4" x14ac:dyDescent="0.25">
      <c r="A23" s="1">
        <v>44735</v>
      </c>
      <c r="B23">
        <v>31</v>
      </c>
      <c r="C23">
        <f t="shared" si="0"/>
        <v>1</v>
      </c>
    </row>
    <row r="24" spans="1:4" x14ac:dyDescent="0.25">
      <c r="A24" s="1">
        <v>44736</v>
      </c>
      <c r="B24">
        <v>33</v>
      </c>
      <c r="C24">
        <f t="shared" si="0"/>
        <v>1</v>
      </c>
    </row>
    <row r="25" spans="1:4" x14ac:dyDescent="0.25">
      <c r="A25" s="1">
        <v>44737</v>
      </c>
      <c r="B25">
        <v>33</v>
      </c>
      <c r="C25">
        <f t="shared" si="0"/>
        <v>1</v>
      </c>
    </row>
    <row r="26" spans="1:4" x14ac:dyDescent="0.25">
      <c r="A26" s="1">
        <v>44738</v>
      </c>
      <c r="B26">
        <v>23</v>
      </c>
      <c r="C26">
        <f t="shared" si="0"/>
        <v>1</v>
      </c>
    </row>
    <row r="27" spans="1:4" x14ac:dyDescent="0.25">
      <c r="A27" s="1">
        <v>44739</v>
      </c>
      <c r="B27">
        <v>23</v>
      </c>
      <c r="C27">
        <f t="shared" si="0"/>
        <v>1</v>
      </c>
      <c r="D27">
        <f>SUM(C18:C27)</f>
        <v>10</v>
      </c>
    </row>
    <row r="28" spans="1:4" x14ac:dyDescent="0.25">
      <c r="A28" s="1">
        <v>44740</v>
      </c>
      <c r="B28">
        <v>19</v>
      </c>
      <c r="C28" t="str">
        <f t="shared" si="0"/>
        <v/>
      </c>
    </row>
    <row r="29" spans="1:4" x14ac:dyDescent="0.25">
      <c r="A29" s="1">
        <v>44741</v>
      </c>
      <c r="B29">
        <v>24</v>
      </c>
      <c r="C29">
        <f t="shared" si="0"/>
        <v>1</v>
      </c>
    </row>
    <row r="30" spans="1:4" x14ac:dyDescent="0.25">
      <c r="A30" s="1">
        <v>44742</v>
      </c>
      <c r="B30">
        <v>25</v>
      </c>
      <c r="C30">
        <f t="shared" si="0"/>
        <v>1</v>
      </c>
    </row>
    <row r="31" spans="1:4" x14ac:dyDescent="0.25">
      <c r="A31" s="1">
        <v>44743</v>
      </c>
      <c r="B31">
        <v>27</v>
      </c>
      <c r="C31">
        <f t="shared" si="0"/>
        <v>1</v>
      </c>
    </row>
    <row r="32" spans="1:4" x14ac:dyDescent="0.25">
      <c r="A32" s="1">
        <v>44744</v>
      </c>
      <c r="B32">
        <v>27</v>
      </c>
      <c r="C32">
        <f t="shared" si="0"/>
        <v>1</v>
      </c>
    </row>
    <row r="33" spans="1:4" x14ac:dyDescent="0.25">
      <c r="A33" s="1">
        <v>44745</v>
      </c>
      <c r="B33">
        <v>21</v>
      </c>
      <c r="C33">
        <f t="shared" si="0"/>
        <v>1</v>
      </c>
    </row>
    <row r="34" spans="1:4" x14ac:dyDescent="0.25">
      <c r="A34" s="1">
        <v>44746</v>
      </c>
      <c r="B34">
        <v>21</v>
      </c>
      <c r="C34">
        <f t="shared" si="0"/>
        <v>1</v>
      </c>
    </row>
    <row r="35" spans="1:4" x14ac:dyDescent="0.25">
      <c r="A35" s="1">
        <v>44747</v>
      </c>
      <c r="B35">
        <v>25</v>
      </c>
      <c r="C35">
        <f t="shared" si="0"/>
        <v>1</v>
      </c>
      <c r="D35">
        <f>SUM(C29:C35)</f>
        <v>7</v>
      </c>
    </row>
    <row r="36" spans="1:4" x14ac:dyDescent="0.25">
      <c r="A36" s="1">
        <v>44748</v>
      </c>
      <c r="B36">
        <v>19</v>
      </c>
      <c r="C36" t="str">
        <f t="shared" si="0"/>
        <v/>
      </c>
    </row>
    <row r="37" spans="1:4" x14ac:dyDescent="0.25">
      <c r="A37" s="1">
        <v>44749</v>
      </c>
      <c r="B37">
        <v>21</v>
      </c>
      <c r="C37">
        <f t="shared" si="0"/>
        <v>1</v>
      </c>
    </row>
    <row r="38" spans="1:4" x14ac:dyDescent="0.25">
      <c r="A38" s="1">
        <v>44750</v>
      </c>
      <c r="B38">
        <v>24</v>
      </c>
      <c r="C38">
        <f t="shared" si="0"/>
        <v>1</v>
      </c>
      <c r="D38">
        <v>2</v>
      </c>
    </row>
    <row r="39" spans="1:4" x14ac:dyDescent="0.25">
      <c r="A39" s="1">
        <v>44751</v>
      </c>
      <c r="B39">
        <v>19</v>
      </c>
      <c r="C39" t="str">
        <f t="shared" si="0"/>
        <v/>
      </c>
    </row>
    <row r="40" spans="1:4" x14ac:dyDescent="0.25">
      <c r="A40" s="1">
        <v>44752</v>
      </c>
      <c r="B40">
        <v>28</v>
      </c>
      <c r="C40">
        <f t="shared" si="0"/>
        <v>1</v>
      </c>
    </row>
    <row r="41" spans="1:4" x14ac:dyDescent="0.25">
      <c r="A41" s="1">
        <v>44753</v>
      </c>
      <c r="B41">
        <v>27</v>
      </c>
      <c r="C41">
        <f t="shared" si="0"/>
        <v>1</v>
      </c>
    </row>
    <row r="42" spans="1:4" x14ac:dyDescent="0.25">
      <c r="A42" s="1">
        <v>44754</v>
      </c>
      <c r="B42">
        <v>24</v>
      </c>
      <c r="C42">
        <f t="shared" si="0"/>
        <v>1</v>
      </c>
    </row>
    <row r="43" spans="1:4" x14ac:dyDescent="0.25">
      <c r="A43" s="1">
        <v>44755</v>
      </c>
      <c r="B43">
        <v>22</v>
      </c>
      <c r="C43">
        <f t="shared" si="0"/>
        <v>1</v>
      </c>
      <c r="D43">
        <v>4</v>
      </c>
    </row>
    <row r="44" spans="1:4" x14ac:dyDescent="0.25">
      <c r="A44" s="1">
        <v>44756</v>
      </c>
      <c r="B44">
        <v>17</v>
      </c>
      <c r="C44" t="str">
        <f t="shared" si="0"/>
        <v/>
      </c>
    </row>
    <row r="45" spans="1:4" x14ac:dyDescent="0.25">
      <c r="A45" s="1">
        <v>44757</v>
      </c>
      <c r="B45">
        <v>18</v>
      </c>
      <c r="C45" t="str">
        <f t="shared" si="0"/>
        <v/>
      </c>
    </row>
    <row r="46" spans="1:4" x14ac:dyDescent="0.25">
      <c r="A46" s="1">
        <v>44758</v>
      </c>
      <c r="B46">
        <v>23</v>
      </c>
      <c r="C46">
        <f t="shared" si="0"/>
        <v>1</v>
      </c>
    </row>
    <row r="47" spans="1:4" x14ac:dyDescent="0.25">
      <c r="A47" s="1">
        <v>44759</v>
      </c>
      <c r="B47">
        <v>23</v>
      </c>
      <c r="C47">
        <f t="shared" si="0"/>
        <v>1</v>
      </c>
      <c r="D47">
        <v>2</v>
      </c>
    </row>
    <row r="48" spans="1:4" x14ac:dyDescent="0.25">
      <c r="A48" s="1">
        <v>44760</v>
      </c>
      <c r="B48">
        <v>19</v>
      </c>
      <c r="C48" t="str">
        <f t="shared" si="0"/>
        <v/>
      </c>
    </row>
    <row r="49" spans="1:4" x14ac:dyDescent="0.25">
      <c r="A49" s="1">
        <v>44761</v>
      </c>
      <c r="B49">
        <v>21</v>
      </c>
      <c r="C49">
        <f t="shared" si="0"/>
        <v>1</v>
      </c>
    </row>
    <row r="50" spans="1:4" x14ac:dyDescent="0.25">
      <c r="A50" s="1">
        <v>44762</v>
      </c>
      <c r="B50">
        <v>25</v>
      </c>
      <c r="C50">
        <f t="shared" si="0"/>
        <v>1</v>
      </c>
    </row>
    <row r="51" spans="1:4" x14ac:dyDescent="0.25">
      <c r="A51" s="1">
        <v>44763</v>
      </c>
      <c r="B51">
        <v>28</v>
      </c>
      <c r="C51">
        <f t="shared" si="0"/>
        <v>1</v>
      </c>
    </row>
    <row r="52" spans="1:4" x14ac:dyDescent="0.25">
      <c r="A52" s="1">
        <v>44764</v>
      </c>
      <c r="B52">
        <v>27</v>
      </c>
      <c r="C52">
        <f t="shared" si="0"/>
        <v>1</v>
      </c>
    </row>
    <row r="53" spans="1:4" x14ac:dyDescent="0.25">
      <c r="A53" s="1">
        <v>44765</v>
      </c>
      <c r="B53">
        <v>23</v>
      </c>
      <c r="C53">
        <f t="shared" si="0"/>
        <v>1</v>
      </c>
    </row>
    <row r="54" spans="1:4" x14ac:dyDescent="0.25">
      <c r="A54" s="1">
        <v>44766</v>
      </c>
      <c r="B54">
        <v>26</v>
      </c>
      <c r="C54">
        <f t="shared" si="0"/>
        <v>1</v>
      </c>
    </row>
    <row r="55" spans="1:4" x14ac:dyDescent="0.25">
      <c r="A55" s="1">
        <v>44767</v>
      </c>
      <c r="B55">
        <v>29</v>
      </c>
      <c r="C55">
        <f t="shared" si="0"/>
        <v>1</v>
      </c>
    </row>
    <row r="56" spans="1:4" x14ac:dyDescent="0.25">
      <c r="A56" s="1">
        <v>44768</v>
      </c>
      <c r="B56">
        <v>26</v>
      </c>
      <c r="C56">
        <f t="shared" si="0"/>
        <v>1</v>
      </c>
    </row>
    <row r="57" spans="1:4" x14ac:dyDescent="0.25">
      <c r="A57" s="1">
        <v>44769</v>
      </c>
      <c r="B57">
        <v>27</v>
      </c>
      <c r="C57">
        <f t="shared" si="0"/>
        <v>1</v>
      </c>
    </row>
    <row r="58" spans="1:4" x14ac:dyDescent="0.25">
      <c r="A58" s="1">
        <v>44770</v>
      </c>
      <c r="B58">
        <v>24</v>
      </c>
      <c r="C58">
        <f t="shared" si="0"/>
        <v>1</v>
      </c>
    </row>
    <row r="59" spans="1:4" x14ac:dyDescent="0.25">
      <c r="A59" s="1">
        <v>44771</v>
      </c>
      <c r="B59">
        <v>26</v>
      </c>
      <c r="C59">
        <f t="shared" si="0"/>
        <v>1</v>
      </c>
    </row>
    <row r="60" spans="1:4" x14ac:dyDescent="0.25">
      <c r="A60" s="1">
        <v>44772</v>
      </c>
      <c r="B60">
        <v>25</v>
      </c>
      <c r="C60">
        <f t="shared" si="0"/>
        <v>1</v>
      </c>
    </row>
    <row r="61" spans="1:4" x14ac:dyDescent="0.25">
      <c r="A61" s="1">
        <v>44773</v>
      </c>
      <c r="B61">
        <v>24</v>
      </c>
      <c r="C61">
        <f t="shared" si="0"/>
        <v>1</v>
      </c>
    </row>
    <row r="62" spans="1:4" x14ac:dyDescent="0.25">
      <c r="A62" s="1">
        <v>44774</v>
      </c>
      <c r="B62">
        <v>22</v>
      </c>
      <c r="C62">
        <f t="shared" si="0"/>
        <v>1</v>
      </c>
      <c r="D62">
        <f>SUM(C49:C62)</f>
        <v>14</v>
      </c>
    </row>
    <row r="63" spans="1:4" x14ac:dyDescent="0.25">
      <c r="A63" s="1">
        <v>44775</v>
      </c>
      <c r="B63">
        <v>19</v>
      </c>
      <c r="C63" t="str">
        <f t="shared" si="0"/>
        <v/>
      </c>
    </row>
    <row r="64" spans="1:4" x14ac:dyDescent="0.25">
      <c r="A64" s="1">
        <v>44776</v>
      </c>
      <c r="B64">
        <v>21</v>
      </c>
      <c r="C64">
        <f t="shared" si="0"/>
        <v>1</v>
      </c>
    </row>
    <row r="65" spans="1:4" x14ac:dyDescent="0.25">
      <c r="A65" s="1">
        <v>44777</v>
      </c>
      <c r="B65">
        <v>26</v>
      </c>
      <c r="C65">
        <f t="shared" si="0"/>
        <v>1</v>
      </c>
      <c r="D65">
        <v>2</v>
      </c>
    </row>
    <row r="66" spans="1:4" x14ac:dyDescent="0.25">
      <c r="A66" s="1">
        <v>44778</v>
      </c>
      <c r="B66">
        <v>19</v>
      </c>
      <c r="C66" t="str">
        <f t="shared" ref="C66:C92" si="1">IF(B66&gt;20, 1, "")</f>
        <v/>
      </c>
    </row>
    <row r="67" spans="1:4" x14ac:dyDescent="0.25">
      <c r="A67" s="1">
        <v>44779</v>
      </c>
      <c r="B67">
        <v>21</v>
      </c>
      <c r="C67">
        <f t="shared" si="1"/>
        <v>1</v>
      </c>
    </row>
    <row r="68" spans="1:4" x14ac:dyDescent="0.25">
      <c r="A68" s="1">
        <v>44780</v>
      </c>
      <c r="B68">
        <v>23</v>
      </c>
      <c r="C68">
        <f t="shared" si="1"/>
        <v>1</v>
      </c>
    </row>
    <row r="69" spans="1:4" x14ac:dyDescent="0.25">
      <c r="A69" s="1">
        <v>44781</v>
      </c>
      <c r="B69">
        <v>27</v>
      </c>
      <c r="C69">
        <f t="shared" si="1"/>
        <v>1</v>
      </c>
      <c r="D69">
        <v>3</v>
      </c>
    </row>
    <row r="70" spans="1:4" x14ac:dyDescent="0.25">
      <c r="A70" s="1">
        <v>44782</v>
      </c>
      <c r="B70">
        <v>20</v>
      </c>
      <c r="C70" t="str">
        <f t="shared" si="1"/>
        <v/>
      </c>
    </row>
    <row r="71" spans="1:4" x14ac:dyDescent="0.25">
      <c r="A71" s="1">
        <v>44783</v>
      </c>
      <c r="B71">
        <v>18</v>
      </c>
      <c r="C71" t="str">
        <f t="shared" si="1"/>
        <v/>
      </c>
    </row>
    <row r="72" spans="1:4" x14ac:dyDescent="0.25">
      <c r="A72" s="1">
        <v>44784</v>
      </c>
      <c r="B72">
        <v>17</v>
      </c>
      <c r="C72" t="str">
        <f t="shared" si="1"/>
        <v/>
      </c>
    </row>
    <row r="73" spans="1:4" x14ac:dyDescent="0.25">
      <c r="A73" s="1">
        <v>44785</v>
      </c>
      <c r="B73">
        <v>19</v>
      </c>
      <c r="C73" t="str">
        <f t="shared" si="1"/>
        <v/>
      </c>
    </row>
    <row r="74" spans="1:4" x14ac:dyDescent="0.25">
      <c r="A74" s="1">
        <v>44786</v>
      </c>
      <c r="B74">
        <v>26</v>
      </c>
      <c r="C74">
        <f t="shared" si="1"/>
        <v>1</v>
      </c>
    </row>
    <row r="75" spans="1:4" x14ac:dyDescent="0.25">
      <c r="A75" s="1">
        <v>44787</v>
      </c>
      <c r="B75">
        <v>21</v>
      </c>
      <c r="C75">
        <f t="shared" si="1"/>
        <v>1</v>
      </c>
      <c r="D75">
        <v>2</v>
      </c>
    </row>
    <row r="76" spans="1:4" x14ac:dyDescent="0.25">
      <c r="A76" s="1">
        <v>44788</v>
      </c>
      <c r="B76">
        <v>19</v>
      </c>
      <c r="C76" t="str">
        <f t="shared" si="1"/>
        <v/>
      </c>
    </row>
    <row r="77" spans="1:4" x14ac:dyDescent="0.25">
      <c r="A77" s="1">
        <v>44789</v>
      </c>
      <c r="B77">
        <v>19</v>
      </c>
      <c r="C77" t="str">
        <f t="shared" si="1"/>
        <v/>
      </c>
    </row>
    <row r="78" spans="1:4" x14ac:dyDescent="0.25">
      <c r="A78" s="1">
        <v>44790</v>
      </c>
      <c r="B78">
        <v>21</v>
      </c>
      <c r="C78">
        <f t="shared" si="1"/>
        <v>1</v>
      </c>
    </row>
    <row r="79" spans="1:4" x14ac:dyDescent="0.25">
      <c r="A79" s="1">
        <v>44791</v>
      </c>
      <c r="B79">
        <v>21</v>
      </c>
      <c r="C79">
        <f t="shared" si="1"/>
        <v>1</v>
      </c>
    </row>
    <row r="80" spans="1:4" x14ac:dyDescent="0.25">
      <c r="A80" s="1">
        <v>44792</v>
      </c>
      <c r="B80">
        <v>24</v>
      </c>
      <c r="C80">
        <f t="shared" si="1"/>
        <v>1</v>
      </c>
    </row>
    <row r="81" spans="1:4" x14ac:dyDescent="0.25">
      <c r="A81" s="1">
        <v>44793</v>
      </c>
      <c r="B81">
        <v>26</v>
      </c>
      <c r="C81">
        <f t="shared" si="1"/>
        <v>1</v>
      </c>
    </row>
    <row r="82" spans="1:4" x14ac:dyDescent="0.25">
      <c r="A82" s="1">
        <v>44794</v>
      </c>
      <c r="B82">
        <v>23</v>
      </c>
      <c r="C82">
        <f t="shared" si="1"/>
        <v>1</v>
      </c>
    </row>
    <row r="83" spans="1:4" x14ac:dyDescent="0.25">
      <c r="A83" s="1">
        <v>44795</v>
      </c>
      <c r="B83">
        <v>23</v>
      </c>
      <c r="C83">
        <f t="shared" si="1"/>
        <v>1</v>
      </c>
    </row>
    <row r="84" spans="1:4" x14ac:dyDescent="0.25">
      <c r="A84" s="1">
        <v>44796</v>
      </c>
      <c r="B84">
        <v>24</v>
      </c>
      <c r="C84">
        <f t="shared" si="1"/>
        <v>1</v>
      </c>
    </row>
    <row r="85" spans="1:4" x14ac:dyDescent="0.25">
      <c r="A85" s="1">
        <v>44797</v>
      </c>
      <c r="B85">
        <v>26</v>
      </c>
      <c r="C85">
        <f t="shared" si="1"/>
        <v>1</v>
      </c>
    </row>
    <row r="86" spans="1:4" x14ac:dyDescent="0.25">
      <c r="A86" s="1">
        <v>44798</v>
      </c>
      <c r="B86">
        <v>28</v>
      </c>
      <c r="C86">
        <f t="shared" si="1"/>
        <v>1</v>
      </c>
    </row>
    <row r="87" spans="1:4" x14ac:dyDescent="0.25">
      <c r="A87" s="1">
        <v>44799</v>
      </c>
      <c r="B87">
        <v>32</v>
      </c>
      <c r="C87">
        <f t="shared" si="1"/>
        <v>1</v>
      </c>
    </row>
    <row r="88" spans="1:4" x14ac:dyDescent="0.25">
      <c r="A88" s="1">
        <v>44800</v>
      </c>
      <c r="B88">
        <v>26</v>
      </c>
      <c r="C88">
        <f t="shared" si="1"/>
        <v>1</v>
      </c>
    </row>
    <row r="89" spans="1:4" x14ac:dyDescent="0.25">
      <c r="A89" s="1">
        <v>44801</v>
      </c>
      <c r="B89">
        <v>32</v>
      </c>
      <c r="C89">
        <f t="shared" si="1"/>
        <v>1</v>
      </c>
    </row>
    <row r="90" spans="1:4" x14ac:dyDescent="0.25">
      <c r="A90" s="1">
        <v>44802</v>
      </c>
      <c r="B90">
        <v>23</v>
      </c>
      <c r="C90">
        <f t="shared" si="1"/>
        <v>1</v>
      </c>
    </row>
    <row r="91" spans="1:4" x14ac:dyDescent="0.25">
      <c r="A91" s="1">
        <v>44803</v>
      </c>
      <c r="B91">
        <v>22</v>
      </c>
      <c r="C91">
        <f t="shared" si="1"/>
        <v>1</v>
      </c>
    </row>
    <row r="92" spans="1:4" x14ac:dyDescent="0.25">
      <c r="A92" s="1">
        <v>44804</v>
      </c>
      <c r="B92">
        <v>25</v>
      </c>
      <c r="C92">
        <f t="shared" si="1"/>
        <v>1</v>
      </c>
      <c r="D92">
        <f>SUM(C78:C92)</f>
        <v>15</v>
      </c>
    </row>
    <row r="93" spans="1:4" x14ac:dyDescent="0.25">
      <c r="D93" t="s">
        <v>0</v>
      </c>
    </row>
    <row r="94" spans="1:4" x14ac:dyDescent="0.25">
      <c r="D9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096B5-3246-402E-A5C1-6A0CD39FC3C5}">
  <dimension ref="A1:K93"/>
  <sheetViews>
    <sheetView zoomScale="130" zoomScaleNormal="130" workbookViewId="0">
      <selection activeCell="H9" sqref="H9:K12"/>
    </sheetView>
  </sheetViews>
  <sheetFormatPr defaultRowHeight="15" x14ac:dyDescent="0.25"/>
  <cols>
    <col min="1" max="1" width="15.7109375" customWidth="1"/>
    <col min="2" max="2" width="11.140625" customWidth="1"/>
    <col min="3" max="3" width="13.140625" customWidth="1"/>
    <col min="4" max="4" width="11.7109375" customWidth="1"/>
    <col min="8" max="8" width="17.85546875" bestFit="1" customWidth="1"/>
    <col min="9" max="9" width="15.42578125" bestFit="1" customWidth="1"/>
    <col min="10" max="10" width="18.7109375" bestFit="1" customWidth="1"/>
    <col min="11" max="11" width="19.28515625" bestFit="1" customWidth="1"/>
  </cols>
  <sheetData>
    <row r="1" spans="1:1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11" x14ac:dyDescent="0.25">
      <c r="A2" s="1">
        <v>44713</v>
      </c>
      <c r="B2">
        <v>24</v>
      </c>
      <c r="C2">
        <f>ROUNDDOWN(120*(1+(2/29)*((B2-24)/2)), 0)</f>
        <v>120</v>
      </c>
      <c r="D2">
        <f>ROUNDDOWN(80*(1+(1/17)*((B2-24)/2)), 0)</f>
        <v>80</v>
      </c>
      <c r="E2">
        <f>ROUNDDOWN(90*(1+(1/13)*((B2-24)/2)), 0)</f>
        <v>90</v>
      </c>
      <c r="H2" s="2" t="s">
        <v>7</v>
      </c>
      <c r="I2" t="s">
        <v>12</v>
      </c>
      <c r="J2" t="s">
        <v>13</v>
      </c>
      <c r="K2" t="s">
        <v>14</v>
      </c>
    </row>
    <row r="3" spans="1:11" x14ac:dyDescent="0.25">
      <c r="A3" s="1">
        <v>44714</v>
      </c>
      <c r="B3">
        <v>25</v>
      </c>
      <c r="C3">
        <f t="shared" ref="C3:C66" si="0">ROUNDDOWN(120*(1+(2/29)*((B3-24)/2)), 0)</f>
        <v>124</v>
      </c>
      <c r="D3">
        <f t="shared" ref="D3:D66" si="1">ROUNDDOWN(80*(1+(1/17)*((B3-24)/2)), 0)</f>
        <v>82</v>
      </c>
      <c r="E3">
        <f t="shared" ref="E3:E66" si="2">ROUNDDOWN(90*(1+(1/13)*((B3-24)/2)), 0)</f>
        <v>93</v>
      </c>
      <c r="H3" s="3" t="s">
        <v>9</v>
      </c>
      <c r="I3" s="4">
        <v>3527</v>
      </c>
      <c r="J3" s="4">
        <v>2355</v>
      </c>
      <c r="K3" s="4">
        <v>2639</v>
      </c>
    </row>
    <row r="4" spans="1:11" x14ac:dyDescent="0.25">
      <c r="A4" s="1">
        <v>44715</v>
      </c>
      <c r="B4">
        <v>27</v>
      </c>
      <c r="C4">
        <f t="shared" si="0"/>
        <v>132</v>
      </c>
      <c r="D4">
        <f t="shared" si="1"/>
        <v>87</v>
      </c>
      <c r="E4">
        <f t="shared" si="2"/>
        <v>100</v>
      </c>
      <c r="H4" s="3" t="s">
        <v>10</v>
      </c>
      <c r="I4" s="4">
        <v>3675</v>
      </c>
      <c r="J4" s="4">
        <v>2448</v>
      </c>
      <c r="K4" s="4">
        <v>2747</v>
      </c>
    </row>
    <row r="5" spans="1:11" x14ac:dyDescent="0.25">
      <c r="A5" s="1">
        <v>44716</v>
      </c>
      <c r="B5">
        <v>27</v>
      </c>
      <c r="C5">
        <f t="shared" si="0"/>
        <v>132</v>
      </c>
      <c r="D5">
        <f t="shared" si="1"/>
        <v>87</v>
      </c>
      <c r="E5">
        <f t="shared" si="2"/>
        <v>100</v>
      </c>
      <c r="H5" s="3" t="s">
        <v>11</v>
      </c>
      <c r="I5" s="4">
        <v>3579</v>
      </c>
      <c r="J5" s="4">
        <v>2390</v>
      </c>
      <c r="K5" s="4">
        <v>2665</v>
      </c>
    </row>
    <row r="6" spans="1:11" x14ac:dyDescent="0.25">
      <c r="A6" s="1">
        <v>44717</v>
      </c>
      <c r="B6">
        <v>27</v>
      </c>
      <c r="C6">
        <f t="shared" si="0"/>
        <v>132</v>
      </c>
      <c r="D6">
        <f t="shared" si="1"/>
        <v>87</v>
      </c>
      <c r="E6">
        <f t="shared" si="2"/>
        <v>100</v>
      </c>
      <c r="H6" s="3" t="s">
        <v>8</v>
      </c>
      <c r="I6" s="4">
        <v>10781</v>
      </c>
      <c r="J6" s="4">
        <v>7193</v>
      </c>
      <c r="K6" s="4">
        <v>8051</v>
      </c>
    </row>
    <row r="7" spans="1:11" x14ac:dyDescent="0.25">
      <c r="A7" s="1">
        <v>44718</v>
      </c>
      <c r="B7">
        <v>22</v>
      </c>
      <c r="C7">
        <f t="shared" si="0"/>
        <v>111</v>
      </c>
      <c r="D7">
        <f t="shared" si="1"/>
        <v>75</v>
      </c>
      <c r="E7">
        <f t="shared" si="2"/>
        <v>83</v>
      </c>
    </row>
    <row r="8" spans="1:11" x14ac:dyDescent="0.25">
      <c r="A8" s="1">
        <v>44719</v>
      </c>
      <c r="B8">
        <v>25</v>
      </c>
      <c r="C8">
        <f t="shared" si="0"/>
        <v>124</v>
      </c>
      <c r="D8">
        <f t="shared" si="1"/>
        <v>82</v>
      </c>
      <c r="E8">
        <f t="shared" si="2"/>
        <v>93</v>
      </c>
    </row>
    <row r="9" spans="1:11" x14ac:dyDescent="0.25">
      <c r="A9" s="1">
        <v>44720</v>
      </c>
      <c r="B9">
        <v>25</v>
      </c>
      <c r="C9">
        <f t="shared" si="0"/>
        <v>124</v>
      </c>
      <c r="D9">
        <f t="shared" si="1"/>
        <v>82</v>
      </c>
      <c r="E9">
        <f t="shared" si="2"/>
        <v>93</v>
      </c>
      <c r="I9" t="s">
        <v>18</v>
      </c>
      <c r="J9" t="s">
        <v>19</v>
      </c>
      <c r="K9" t="s">
        <v>20</v>
      </c>
    </row>
    <row r="10" spans="1:11" x14ac:dyDescent="0.25">
      <c r="A10" s="1">
        <v>44721</v>
      </c>
      <c r="B10">
        <v>21</v>
      </c>
      <c r="C10">
        <f t="shared" si="0"/>
        <v>107</v>
      </c>
      <c r="D10">
        <f t="shared" si="1"/>
        <v>72</v>
      </c>
      <c r="E10">
        <f t="shared" si="2"/>
        <v>79</v>
      </c>
      <c r="H10" s="3" t="s">
        <v>15</v>
      </c>
      <c r="I10" s="4">
        <v>3527</v>
      </c>
      <c r="J10" s="4">
        <v>2355</v>
      </c>
      <c r="K10" s="4">
        <v>2639</v>
      </c>
    </row>
    <row r="11" spans="1:11" x14ac:dyDescent="0.25">
      <c r="A11" s="1">
        <v>44722</v>
      </c>
      <c r="B11">
        <v>21</v>
      </c>
      <c r="C11">
        <f t="shared" si="0"/>
        <v>107</v>
      </c>
      <c r="D11">
        <f t="shared" si="1"/>
        <v>72</v>
      </c>
      <c r="E11">
        <f t="shared" si="2"/>
        <v>79</v>
      </c>
      <c r="H11" s="3" t="s">
        <v>16</v>
      </c>
      <c r="I11" s="4">
        <v>3675</v>
      </c>
      <c r="J11" s="4">
        <v>2448</v>
      </c>
      <c r="K11" s="4">
        <v>2747</v>
      </c>
    </row>
    <row r="12" spans="1:11" x14ac:dyDescent="0.25">
      <c r="A12" s="1">
        <v>44723</v>
      </c>
      <c r="B12">
        <v>19</v>
      </c>
      <c r="C12">
        <f t="shared" si="0"/>
        <v>99</v>
      </c>
      <c r="D12">
        <f t="shared" si="1"/>
        <v>68</v>
      </c>
      <c r="E12">
        <f t="shared" si="2"/>
        <v>72</v>
      </c>
      <c r="H12" s="3" t="s">
        <v>17</v>
      </c>
      <c r="I12" s="4">
        <v>3579</v>
      </c>
      <c r="J12" s="4">
        <v>2390</v>
      </c>
      <c r="K12" s="4">
        <v>2665</v>
      </c>
    </row>
    <row r="13" spans="1:11" x14ac:dyDescent="0.25">
      <c r="A13" s="1">
        <v>44724</v>
      </c>
      <c r="B13">
        <v>19</v>
      </c>
      <c r="C13">
        <f t="shared" si="0"/>
        <v>99</v>
      </c>
      <c r="D13">
        <f t="shared" si="1"/>
        <v>68</v>
      </c>
      <c r="E13">
        <f t="shared" si="2"/>
        <v>72</v>
      </c>
    </row>
    <row r="14" spans="1:11" x14ac:dyDescent="0.25">
      <c r="A14" s="1">
        <v>44725</v>
      </c>
      <c r="B14">
        <v>15</v>
      </c>
      <c r="C14">
        <f t="shared" si="0"/>
        <v>82</v>
      </c>
      <c r="D14">
        <f t="shared" si="1"/>
        <v>58</v>
      </c>
      <c r="E14">
        <f t="shared" si="2"/>
        <v>58</v>
      </c>
    </row>
    <row r="15" spans="1:11" x14ac:dyDescent="0.25">
      <c r="A15" s="1">
        <v>44726</v>
      </c>
      <c r="B15">
        <v>21</v>
      </c>
      <c r="C15">
        <f t="shared" si="0"/>
        <v>107</v>
      </c>
      <c r="D15">
        <f t="shared" si="1"/>
        <v>72</v>
      </c>
      <c r="E15">
        <f t="shared" si="2"/>
        <v>79</v>
      </c>
    </row>
    <row r="16" spans="1:11" x14ac:dyDescent="0.25">
      <c r="A16" s="1">
        <v>44727</v>
      </c>
      <c r="B16">
        <v>23</v>
      </c>
      <c r="C16">
        <f t="shared" si="0"/>
        <v>115</v>
      </c>
      <c r="D16">
        <f t="shared" si="1"/>
        <v>77</v>
      </c>
      <c r="E16">
        <f t="shared" si="2"/>
        <v>86</v>
      </c>
    </row>
    <row r="17" spans="1:5" x14ac:dyDescent="0.25">
      <c r="A17" s="1">
        <v>44728</v>
      </c>
      <c r="B17">
        <v>23</v>
      </c>
      <c r="C17">
        <f t="shared" si="0"/>
        <v>115</v>
      </c>
      <c r="D17">
        <f t="shared" si="1"/>
        <v>77</v>
      </c>
      <c r="E17">
        <f t="shared" si="2"/>
        <v>86</v>
      </c>
    </row>
    <row r="18" spans="1:5" x14ac:dyDescent="0.25">
      <c r="A18" s="1">
        <v>44729</v>
      </c>
      <c r="B18">
        <v>16</v>
      </c>
      <c r="C18">
        <f t="shared" si="0"/>
        <v>86</v>
      </c>
      <c r="D18">
        <f t="shared" si="1"/>
        <v>61</v>
      </c>
      <c r="E18">
        <f t="shared" si="2"/>
        <v>62</v>
      </c>
    </row>
    <row r="19" spans="1:5" x14ac:dyDescent="0.25">
      <c r="A19" s="1">
        <v>44730</v>
      </c>
      <c r="B19">
        <v>21</v>
      </c>
      <c r="C19">
        <f t="shared" si="0"/>
        <v>107</v>
      </c>
      <c r="D19">
        <f t="shared" si="1"/>
        <v>72</v>
      </c>
      <c r="E19">
        <f t="shared" si="2"/>
        <v>79</v>
      </c>
    </row>
    <row r="20" spans="1:5" x14ac:dyDescent="0.25">
      <c r="A20" s="1">
        <v>44731</v>
      </c>
      <c r="B20">
        <v>22</v>
      </c>
      <c r="C20">
        <f t="shared" si="0"/>
        <v>111</v>
      </c>
      <c r="D20">
        <f t="shared" si="1"/>
        <v>75</v>
      </c>
      <c r="E20">
        <f t="shared" si="2"/>
        <v>83</v>
      </c>
    </row>
    <row r="21" spans="1:5" x14ac:dyDescent="0.25">
      <c r="A21" s="1">
        <v>44732</v>
      </c>
      <c r="B21">
        <v>22</v>
      </c>
      <c r="C21">
        <f t="shared" si="0"/>
        <v>111</v>
      </c>
      <c r="D21">
        <f t="shared" si="1"/>
        <v>75</v>
      </c>
      <c r="E21">
        <f t="shared" si="2"/>
        <v>83</v>
      </c>
    </row>
    <row r="22" spans="1:5" x14ac:dyDescent="0.25">
      <c r="A22" s="1">
        <v>44733</v>
      </c>
      <c r="B22">
        <v>22</v>
      </c>
      <c r="C22">
        <f t="shared" si="0"/>
        <v>111</v>
      </c>
      <c r="D22">
        <f t="shared" si="1"/>
        <v>75</v>
      </c>
      <c r="E22">
        <f t="shared" si="2"/>
        <v>83</v>
      </c>
    </row>
    <row r="23" spans="1:5" x14ac:dyDescent="0.25">
      <c r="A23" s="1">
        <v>44734</v>
      </c>
      <c r="B23">
        <v>28</v>
      </c>
      <c r="C23">
        <f t="shared" si="0"/>
        <v>136</v>
      </c>
      <c r="D23">
        <f t="shared" si="1"/>
        <v>89</v>
      </c>
      <c r="E23">
        <f t="shared" si="2"/>
        <v>103</v>
      </c>
    </row>
    <row r="24" spans="1:5" x14ac:dyDescent="0.25">
      <c r="A24" s="1">
        <v>44735</v>
      </c>
      <c r="B24">
        <v>31</v>
      </c>
      <c r="C24">
        <f t="shared" si="0"/>
        <v>148</v>
      </c>
      <c r="D24">
        <f t="shared" si="1"/>
        <v>96</v>
      </c>
      <c r="E24">
        <f t="shared" si="2"/>
        <v>114</v>
      </c>
    </row>
    <row r="25" spans="1:5" x14ac:dyDescent="0.25">
      <c r="A25" s="1">
        <v>44736</v>
      </c>
      <c r="B25">
        <v>33</v>
      </c>
      <c r="C25">
        <f t="shared" si="0"/>
        <v>157</v>
      </c>
      <c r="D25">
        <f t="shared" si="1"/>
        <v>101</v>
      </c>
      <c r="E25">
        <f t="shared" si="2"/>
        <v>121</v>
      </c>
    </row>
    <row r="26" spans="1:5" x14ac:dyDescent="0.25">
      <c r="A26" s="1">
        <v>44737</v>
      </c>
      <c r="B26">
        <v>33</v>
      </c>
      <c r="C26">
        <f t="shared" si="0"/>
        <v>157</v>
      </c>
      <c r="D26">
        <f t="shared" si="1"/>
        <v>101</v>
      </c>
      <c r="E26">
        <f t="shared" si="2"/>
        <v>121</v>
      </c>
    </row>
    <row r="27" spans="1:5" x14ac:dyDescent="0.25">
      <c r="A27" s="1">
        <v>44738</v>
      </c>
      <c r="B27">
        <v>23</v>
      </c>
      <c r="C27">
        <f t="shared" si="0"/>
        <v>115</v>
      </c>
      <c r="D27">
        <f t="shared" si="1"/>
        <v>77</v>
      </c>
      <c r="E27">
        <f t="shared" si="2"/>
        <v>86</v>
      </c>
    </row>
    <row r="28" spans="1:5" x14ac:dyDescent="0.25">
      <c r="A28" s="1">
        <v>44739</v>
      </c>
      <c r="B28">
        <v>23</v>
      </c>
      <c r="C28">
        <f t="shared" si="0"/>
        <v>115</v>
      </c>
      <c r="D28">
        <f t="shared" si="1"/>
        <v>77</v>
      </c>
      <c r="E28">
        <f t="shared" si="2"/>
        <v>86</v>
      </c>
    </row>
    <row r="29" spans="1:5" x14ac:dyDescent="0.25">
      <c r="A29" s="1">
        <v>44740</v>
      </c>
      <c r="B29">
        <v>19</v>
      </c>
      <c r="C29">
        <f t="shared" si="0"/>
        <v>99</v>
      </c>
      <c r="D29">
        <f t="shared" si="1"/>
        <v>68</v>
      </c>
      <c r="E29">
        <f t="shared" si="2"/>
        <v>72</v>
      </c>
    </row>
    <row r="30" spans="1:5" x14ac:dyDescent="0.25">
      <c r="A30" s="1">
        <v>44741</v>
      </c>
      <c r="B30">
        <v>24</v>
      </c>
      <c r="C30">
        <f t="shared" si="0"/>
        <v>120</v>
      </c>
      <c r="D30">
        <f t="shared" si="1"/>
        <v>80</v>
      </c>
      <c r="E30">
        <f t="shared" si="2"/>
        <v>90</v>
      </c>
    </row>
    <row r="31" spans="1:5" x14ac:dyDescent="0.25">
      <c r="A31" s="1">
        <v>44742</v>
      </c>
      <c r="B31">
        <v>25</v>
      </c>
      <c r="C31">
        <f t="shared" si="0"/>
        <v>124</v>
      </c>
      <c r="D31">
        <f t="shared" si="1"/>
        <v>82</v>
      </c>
      <c r="E31">
        <f t="shared" si="2"/>
        <v>93</v>
      </c>
    </row>
    <row r="32" spans="1:5" x14ac:dyDescent="0.25">
      <c r="A32" s="1">
        <v>44743</v>
      </c>
      <c r="B32">
        <v>27</v>
      </c>
      <c r="C32">
        <f t="shared" si="0"/>
        <v>132</v>
      </c>
      <c r="D32">
        <f t="shared" si="1"/>
        <v>87</v>
      </c>
      <c r="E32">
        <f t="shared" si="2"/>
        <v>100</v>
      </c>
    </row>
    <row r="33" spans="1:5" x14ac:dyDescent="0.25">
      <c r="A33" s="1">
        <v>44744</v>
      </c>
      <c r="B33">
        <v>27</v>
      </c>
      <c r="C33">
        <f t="shared" si="0"/>
        <v>132</v>
      </c>
      <c r="D33">
        <f t="shared" si="1"/>
        <v>87</v>
      </c>
      <c r="E33">
        <f t="shared" si="2"/>
        <v>100</v>
      </c>
    </row>
    <row r="34" spans="1:5" x14ac:dyDescent="0.25">
      <c r="A34" s="1">
        <v>44745</v>
      </c>
      <c r="B34">
        <v>21</v>
      </c>
      <c r="C34">
        <f t="shared" si="0"/>
        <v>107</v>
      </c>
      <c r="D34">
        <f t="shared" si="1"/>
        <v>72</v>
      </c>
      <c r="E34">
        <f t="shared" si="2"/>
        <v>79</v>
      </c>
    </row>
    <row r="35" spans="1:5" x14ac:dyDescent="0.25">
      <c r="A35" s="1">
        <v>44746</v>
      </c>
      <c r="B35">
        <v>21</v>
      </c>
      <c r="C35">
        <f t="shared" si="0"/>
        <v>107</v>
      </c>
      <c r="D35">
        <f t="shared" si="1"/>
        <v>72</v>
      </c>
      <c r="E35">
        <f t="shared" si="2"/>
        <v>79</v>
      </c>
    </row>
    <row r="36" spans="1:5" x14ac:dyDescent="0.25">
      <c r="A36" s="1">
        <v>44747</v>
      </c>
      <c r="B36">
        <v>25</v>
      </c>
      <c r="C36">
        <f t="shared" si="0"/>
        <v>124</v>
      </c>
      <c r="D36">
        <f t="shared" si="1"/>
        <v>82</v>
      </c>
      <c r="E36">
        <f t="shared" si="2"/>
        <v>93</v>
      </c>
    </row>
    <row r="37" spans="1:5" x14ac:dyDescent="0.25">
      <c r="A37" s="1">
        <v>44748</v>
      </c>
      <c r="B37">
        <v>19</v>
      </c>
      <c r="C37">
        <f t="shared" si="0"/>
        <v>99</v>
      </c>
      <c r="D37">
        <f t="shared" si="1"/>
        <v>68</v>
      </c>
      <c r="E37">
        <f t="shared" si="2"/>
        <v>72</v>
      </c>
    </row>
    <row r="38" spans="1:5" x14ac:dyDescent="0.25">
      <c r="A38" s="1">
        <v>44749</v>
      </c>
      <c r="B38">
        <v>21</v>
      </c>
      <c r="C38">
        <f t="shared" si="0"/>
        <v>107</v>
      </c>
      <c r="D38">
        <f t="shared" si="1"/>
        <v>72</v>
      </c>
      <c r="E38">
        <f t="shared" si="2"/>
        <v>79</v>
      </c>
    </row>
    <row r="39" spans="1:5" x14ac:dyDescent="0.25">
      <c r="A39" s="1">
        <v>44750</v>
      </c>
      <c r="B39">
        <v>24</v>
      </c>
      <c r="C39">
        <f t="shared" si="0"/>
        <v>120</v>
      </c>
      <c r="D39">
        <f t="shared" si="1"/>
        <v>80</v>
      </c>
      <c r="E39">
        <f t="shared" si="2"/>
        <v>90</v>
      </c>
    </row>
    <row r="40" spans="1:5" x14ac:dyDescent="0.25">
      <c r="A40" s="1">
        <v>44751</v>
      </c>
      <c r="B40">
        <v>19</v>
      </c>
      <c r="C40">
        <f t="shared" si="0"/>
        <v>99</v>
      </c>
      <c r="D40">
        <f t="shared" si="1"/>
        <v>68</v>
      </c>
      <c r="E40">
        <f t="shared" si="2"/>
        <v>72</v>
      </c>
    </row>
    <row r="41" spans="1:5" x14ac:dyDescent="0.25">
      <c r="A41" s="1">
        <v>44752</v>
      </c>
      <c r="B41">
        <v>28</v>
      </c>
      <c r="C41">
        <f t="shared" si="0"/>
        <v>136</v>
      </c>
      <c r="D41">
        <f t="shared" si="1"/>
        <v>89</v>
      </c>
      <c r="E41">
        <f t="shared" si="2"/>
        <v>103</v>
      </c>
    </row>
    <row r="42" spans="1:5" x14ac:dyDescent="0.25">
      <c r="A42" s="1">
        <v>44753</v>
      </c>
      <c r="B42">
        <v>27</v>
      </c>
      <c r="C42">
        <f t="shared" si="0"/>
        <v>132</v>
      </c>
      <c r="D42">
        <f t="shared" si="1"/>
        <v>87</v>
      </c>
      <c r="E42">
        <f t="shared" si="2"/>
        <v>100</v>
      </c>
    </row>
    <row r="43" spans="1:5" x14ac:dyDescent="0.25">
      <c r="A43" s="1">
        <v>44754</v>
      </c>
      <c r="B43">
        <v>24</v>
      </c>
      <c r="C43">
        <f t="shared" si="0"/>
        <v>120</v>
      </c>
      <c r="D43">
        <f t="shared" si="1"/>
        <v>80</v>
      </c>
      <c r="E43">
        <f t="shared" si="2"/>
        <v>90</v>
      </c>
    </row>
    <row r="44" spans="1:5" x14ac:dyDescent="0.25">
      <c r="A44" s="1">
        <v>44755</v>
      </c>
      <c r="B44">
        <v>22</v>
      </c>
      <c r="C44">
        <f t="shared" si="0"/>
        <v>111</v>
      </c>
      <c r="D44">
        <f t="shared" si="1"/>
        <v>75</v>
      </c>
      <c r="E44">
        <f t="shared" si="2"/>
        <v>83</v>
      </c>
    </row>
    <row r="45" spans="1:5" x14ac:dyDescent="0.25">
      <c r="A45" s="1">
        <v>44756</v>
      </c>
      <c r="B45">
        <v>17</v>
      </c>
      <c r="C45">
        <f t="shared" si="0"/>
        <v>91</v>
      </c>
      <c r="D45">
        <f t="shared" si="1"/>
        <v>63</v>
      </c>
      <c r="E45">
        <f t="shared" si="2"/>
        <v>65</v>
      </c>
    </row>
    <row r="46" spans="1:5" x14ac:dyDescent="0.25">
      <c r="A46" s="1">
        <v>44757</v>
      </c>
      <c r="B46">
        <v>18</v>
      </c>
      <c r="C46">
        <f t="shared" si="0"/>
        <v>95</v>
      </c>
      <c r="D46">
        <f t="shared" si="1"/>
        <v>65</v>
      </c>
      <c r="E46">
        <f t="shared" si="2"/>
        <v>69</v>
      </c>
    </row>
    <row r="47" spans="1:5" x14ac:dyDescent="0.25">
      <c r="A47" s="1">
        <v>44758</v>
      </c>
      <c r="B47">
        <v>23</v>
      </c>
      <c r="C47">
        <f t="shared" si="0"/>
        <v>115</v>
      </c>
      <c r="D47">
        <f t="shared" si="1"/>
        <v>77</v>
      </c>
      <c r="E47">
        <f t="shared" si="2"/>
        <v>86</v>
      </c>
    </row>
    <row r="48" spans="1:5" x14ac:dyDescent="0.25">
      <c r="A48" s="1">
        <v>44759</v>
      </c>
      <c r="B48">
        <v>23</v>
      </c>
      <c r="C48">
        <f t="shared" si="0"/>
        <v>115</v>
      </c>
      <c r="D48">
        <f t="shared" si="1"/>
        <v>77</v>
      </c>
      <c r="E48">
        <f t="shared" si="2"/>
        <v>86</v>
      </c>
    </row>
    <row r="49" spans="1:5" x14ac:dyDescent="0.25">
      <c r="A49" s="1">
        <v>44760</v>
      </c>
      <c r="B49">
        <v>19</v>
      </c>
      <c r="C49">
        <f t="shared" si="0"/>
        <v>99</v>
      </c>
      <c r="D49">
        <f t="shared" si="1"/>
        <v>68</v>
      </c>
      <c r="E49">
        <f t="shared" si="2"/>
        <v>72</v>
      </c>
    </row>
    <row r="50" spans="1:5" x14ac:dyDescent="0.25">
      <c r="A50" s="1">
        <v>44761</v>
      </c>
      <c r="B50">
        <v>21</v>
      </c>
      <c r="C50">
        <f t="shared" si="0"/>
        <v>107</v>
      </c>
      <c r="D50">
        <f t="shared" si="1"/>
        <v>72</v>
      </c>
      <c r="E50">
        <f t="shared" si="2"/>
        <v>79</v>
      </c>
    </row>
    <row r="51" spans="1:5" x14ac:dyDescent="0.25">
      <c r="A51" s="1">
        <v>44762</v>
      </c>
      <c r="B51">
        <v>25</v>
      </c>
      <c r="C51">
        <f t="shared" si="0"/>
        <v>124</v>
      </c>
      <c r="D51">
        <f t="shared" si="1"/>
        <v>82</v>
      </c>
      <c r="E51">
        <f t="shared" si="2"/>
        <v>93</v>
      </c>
    </row>
    <row r="52" spans="1:5" x14ac:dyDescent="0.25">
      <c r="A52" s="1">
        <v>44763</v>
      </c>
      <c r="B52">
        <v>28</v>
      </c>
      <c r="C52">
        <f t="shared" si="0"/>
        <v>136</v>
      </c>
      <c r="D52">
        <f t="shared" si="1"/>
        <v>89</v>
      </c>
      <c r="E52">
        <f t="shared" si="2"/>
        <v>103</v>
      </c>
    </row>
    <row r="53" spans="1:5" x14ac:dyDescent="0.25">
      <c r="A53" s="1">
        <v>44764</v>
      </c>
      <c r="B53">
        <v>27</v>
      </c>
      <c r="C53">
        <f t="shared" si="0"/>
        <v>132</v>
      </c>
      <c r="D53">
        <f t="shared" si="1"/>
        <v>87</v>
      </c>
      <c r="E53">
        <f t="shared" si="2"/>
        <v>100</v>
      </c>
    </row>
    <row r="54" spans="1:5" x14ac:dyDescent="0.25">
      <c r="A54" s="1">
        <v>44765</v>
      </c>
      <c r="B54">
        <v>23</v>
      </c>
      <c r="C54">
        <f t="shared" si="0"/>
        <v>115</v>
      </c>
      <c r="D54">
        <f t="shared" si="1"/>
        <v>77</v>
      </c>
      <c r="E54">
        <f t="shared" si="2"/>
        <v>86</v>
      </c>
    </row>
    <row r="55" spans="1:5" x14ac:dyDescent="0.25">
      <c r="A55" s="1">
        <v>44766</v>
      </c>
      <c r="B55">
        <v>26</v>
      </c>
      <c r="C55">
        <f t="shared" si="0"/>
        <v>128</v>
      </c>
      <c r="D55">
        <f t="shared" si="1"/>
        <v>84</v>
      </c>
      <c r="E55">
        <f t="shared" si="2"/>
        <v>96</v>
      </c>
    </row>
    <row r="56" spans="1:5" x14ac:dyDescent="0.25">
      <c r="A56" s="1">
        <v>44767</v>
      </c>
      <c r="B56">
        <v>29</v>
      </c>
      <c r="C56">
        <f t="shared" si="0"/>
        <v>140</v>
      </c>
      <c r="D56">
        <f t="shared" si="1"/>
        <v>91</v>
      </c>
      <c r="E56">
        <f t="shared" si="2"/>
        <v>107</v>
      </c>
    </row>
    <row r="57" spans="1:5" x14ac:dyDescent="0.25">
      <c r="A57" s="1">
        <v>44768</v>
      </c>
      <c r="B57">
        <v>26</v>
      </c>
      <c r="C57">
        <f t="shared" si="0"/>
        <v>128</v>
      </c>
      <c r="D57">
        <f t="shared" si="1"/>
        <v>84</v>
      </c>
      <c r="E57">
        <f t="shared" si="2"/>
        <v>96</v>
      </c>
    </row>
    <row r="58" spans="1:5" x14ac:dyDescent="0.25">
      <c r="A58" s="1">
        <v>44769</v>
      </c>
      <c r="B58">
        <v>27</v>
      </c>
      <c r="C58">
        <f t="shared" si="0"/>
        <v>132</v>
      </c>
      <c r="D58">
        <f t="shared" si="1"/>
        <v>87</v>
      </c>
      <c r="E58">
        <f t="shared" si="2"/>
        <v>100</v>
      </c>
    </row>
    <row r="59" spans="1:5" x14ac:dyDescent="0.25">
      <c r="A59" s="1">
        <v>44770</v>
      </c>
      <c r="B59">
        <v>24</v>
      </c>
      <c r="C59">
        <f t="shared" si="0"/>
        <v>120</v>
      </c>
      <c r="D59">
        <f t="shared" si="1"/>
        <v>80</v>
      </c>
      <c r="E59">
        <f t="shared" si="2"/>
        <v>90</v>
      </c>
    </row>
    <row r="60" spans="1:5" x14ac:dyDescent="0.25">
      <c r="A60" s="1">
        <v>44771</v>
      </c>
      <c r="B60">
        <v>26</v>
      </c>
      <c r="C60">
        <f t="shared" si="0"/>
        <v>128</v>
      </c>
      <c r="D60">
        <f t="shared" si="1"/>
        <v>84</v>
      </c>
      <c r="E60">
        <f t="shared" si="2"/>
        <v>96</v>
      </c>
    </row>
    <row r="61" spans="1:5" x14ac:dyDescent="0.25">
      <c r="A61" s="1">
        <v>44772</v>
      </c>
      <c r="B61">
        <v>25</v>
      </c>
      <c r="C61">
        <f t="shared" si="0"/>
        <v>124</v>
      </c>
      <c r="D61">
        <f t="shared" si="1"/>
        <v>82</v>
      </c>
      <c r="E61">
        <f t="shared" si="2"/>
        <v>93</v>
      </c>
    </row>
    <row r="62" spans="1:5" x14ac:dyDescent="0.25">
      <c r="A62" s="1">
        <v>44773</v>
      </c>
      <c r="B62">
        <v>24</v>
      </c>
      <c r="C62">
        <f t="shared" si="0"/>
        <v>120</v>
      </c>
      <c r="D62">
        <f t="shared" si="1"/>
        <v>80</v>
      </c>
      <c r="E62">
        <f t="shared" si="2"/>
        <v>90</v>
      </c>
    </row>
    <row r="63" spans="1:5" x14ac:dyDescent="0.25">
      <c r="A63" s="1">
        <v>44774</v>
      </c>
      <c r="B63">
        <v>22</v>
      </c>
      <c r="C63">
        <f t="shared" si="0"/>
        <v>111</v>
      </c>
      <c r="D63">
        <f t="shared" si="1"/>
        <v>75</v>
      </c>
      <c r="E63">
        <f t="shared" si="2"/>
        <v>83</v>
      </c>
    </row>
    <row r="64" spans="1:5" x14ac:dyDescent="0.25">
      <c r="A64" s="1">
        <v>44775</v>
      </c>
      <c r="B64">
        <v>19</v>
      </c>
      <c r="C64">
        <f t="shared" si="0"/>
        <v>99</v>
      </c>
      <c r="D64">
        <f t="shared" si="1"/>
        <v>68</v>
      </c>
      <c r="E64">
        <f t="shared" si="2"/>
        <v>72</v>
      </c>
    </row>
    <row r="65" spans="1:5" x14ac:dyDescent="0.25">
      <c r="A65" s="1">
        <v>44776</v>
      </c>
      <c r="B65">
        <v>21</v>
      </c>
      <c r="C65">
        <f t="shared" si="0"/>
        <v>107</v>
      </c>
      <c r="D65">
        <f t="shared" si="1"/>
        <v>72</v>
      </c>
      <c r="E65">
        <f t="shared" si="2"/>
        <v>79</v>
      </c>
    </row>
    <row r="66" spans="1:5" x14ac:dyDescent="0.25">
      <c r="A66" s="1">
        <v>44777</v>
      </c>
      <c r="B66">
        <v>26</v>
      </c>
      <c r="C66">
        <f t="shared" si="0"/>
        <v>128</v>
      </c>
      <c r="D66">
        <f t="shared" si="1"/>
        <v>84</v>
      </c>
      <c r="E66">
        <f t="shared" si="2"/>
        <v>96</v>
      </c>
    </row>
    <row r="67" spans="1:5" x14ac:dyDescent="0.25">
      <c r="A67" s="1">
        <v>44778</v>
      </c>
      <c r="B67">
        <v>19</v>
      </c>
      <c r="C67">
        <f t="shared" ref="C67:C93" si="3">ROUNDDOWN(120*(1+(2/29)*((B67-24)/2)), 0)</f>
        <v>99</v>
      </c>
      <c r="D67">
        <f t="shared" ref="D67:D93" si="4">ROUNDDOWN(80*(1+(1/17)*((B67-24)/2)), 0)</f>
        <v>68</v>
      </c>
      <c r="E67">
        <f t="shared" ref="E67:E93" si="5">ROUNDDOWN(90*(1+(1/13)*((B67-24)/2)), 0)</f>
        <v>72</v>
      </c>
    </row>
    <row r="68" spans="1:5" x14ac:dyDescent="0.25">
      <c r="A68" s="1">
        <v>44779</v>
      </c>
      <c r="B68">
        <v>21</v>
      </c>
      <c r="C68">
        <f t="shared" si="3"/>
        <v>107</v>
      </c>
      <c r="D68">
        <f t="shared" si="4"/>
        <v>72</v>
      </c>
      <c r="E68">
        <f t="shared" si="5"/>
        <v>79</v>
      </c>
    </row>
    <row r="69" spans="1:5" x14ac:dyDescent="0.25">
      <c r="A69" s="1">
        <v>44780</v>
      </c>
      <c r="B69">
        <v>23</v>
      </c>
      <c r="C69">
        <f t="shared" si="3"/>
        <v>115</v>
      </c>
      <c r="D69">
        <f t="shared" si="4"/>
        <v>77</v>
      </c>
      <c r="E69">
        <f t="shared" si="5"/>
        <v>86</v>
      </c>
    </row>
    <row r="70" spans="1:5" x14ac:dyDescent="0.25">
      <c r="A70" s="1">
        <v>44781</v>
      </c>
      <c r="B70">
        <v>27</v>
      </c>
      <c r="C70">
        <f t="shared" si="3"/>
        <v>132</v>
      </c>
      <c r="D70">
        <f t="shared" si="4"/>
        <v>87</v>
      </c>
      <c r="E70">
        <f t="shared" si="5"/>
        <v>100</v>
      </c>
    </row>
    <row r="71" spans="1:5" x14ac:dyDescent="0.25">
      <c r="A71" s="1">
        <v>44782</v>
      </c>
      <c r="B71">
        <v>20</v>
      </c>
      <c r="C71">
        <f t="shared" si="3"/>
        <v>103</v>
      </c>
      <c r="D71">
        <f t="shared" si="4"/>
        <v>70</v>
      </c>
      <c r="E71">
        <f t="shared" si="5"/>
        <v>76</v>
      </c>
    </row>
    <row r="72" spans="1:5" x14ac:dyDescent="0.25">
      <c r="A72" s="1">
        <v>44783</v>
      </c>
      <c r="B72">
        <v>18</v>
      </c>
      <c r="C72">
        <f t="shared" si="3"/>
        <v>95</v>
      </c>
      <c r="D72">
        <f t="shared" si="4"/>
        <v>65</v>
      </c>
      <c r="E72">
        <f t="shared" si="5"/>
        <v>69</v>
      </c>
    </row>
    <row r="73" spans="1:5" x14ac:dyDescent="0.25">
      <c r="A73" s="1">
        <v>44784</v>
      </c>
      <c r="B73">
        <v>17</v>
      </c>
      <c r="C73">
        <f t="shared" si="3"/>
        <v>91</v>
      </c>
      <c r="D73">
        <f t="shared" si="4"/>
        <v>63</v>
      </c>
      <c r="E73">
        <f t="shared" si="5"/>
        <v>65</v>
      </c>
    </row>
    <row r="74" spans="1:5" x14ac:dyDescent="0.25">
      <c r="A74" s="1">
        <v>44785</v>
      </c>
      <c r="B74">
        <v>19</v>
      </c>
      <c r="C74">
        <f t="shared" si="3"/>
        <v>99</v>
      </c>
      <c r="D74">
        <f t="shared" si="4"/>
        <v>68</v>
      </c>
      <c r="E74">
        <f t="shared" si="5"/>
        <v>72</v>
      </c>
    </row>
    <row r="75" spans="1:5" x14ac:dyDescent="0.25">
      <c r="A75" s="1">
        <v>44786</v>
      </c>
      <c r="B75">
        <v>26</v>
      </c>
      <c r="C75">
        <f t="shared" si="3"/>
        <v>128</v>
      </c>
      <c r="D75">
        <f t="shared" si="4"/>
        <v>84</v>
      </c>
      <c r="E75">
        <f t="shared" si="5"/>
        <v>96</v>
      </c>
    </row>
    <row r="76" spans="1:5" x14ac:dyDescent="0.25">
      <c r="A76" s="1">
        <v>44787</v>
      </c>
      <c r="B76">
        <v>21</v>
      </c>
      <c r="C76">
        <f t="shared" si="3"/>
        <v>107</v>
      </c>
      <c r="D76">
        <f t="shared" si="4"/>
        <v>72</v>
      </c>
      <c r="E76">
        <f t="shared" si="5"/>
        <v>79</v>
      </c>
    </row>
    <row r="77" spans="1:5" x14ac:dyDescent="0.25">
      <c r="A77" s="1">
        <v>44788</v>
      </c>
      <c r="B77">
        <v>19</v>
      </c>
      <c r="C77">
        <f t="shared" si="3"/>
        <v>99</v>
      </c>
      <c r="D77">
        <f t="shared" si="4"/>
        <v>68</v>
      </c>
      <c r="E77">
        <f t="shared" si="5"/>
        <v>72</v>
      </c>
    </row>
    <row r="78" spans="1:5" x14ac:dyDescent="0.25">
      <c r="A78" s="1">
        <v>44789</v>
      </c>
      <c r="B78">
        <v>19</v>
      </c>
      <c r="C78">
        <f t="shared" si="3"/>
        <v>99</v>
      </c>
      <c r="D78">
        <f t="shared" si="4"/>
        <v>68</v>
      </c>
      <c r="E78">
        <f t="shared" si="5"/>
        <v>72</v>
      </c>
    </row>
    <row r="79" spans="1:5" x14ac:dyDescent="0.25">
      <c r="A79" s="1">
        <v>44790</v>
      </c>
      <c r="B79">
        <v>21</v>
      </c>
      <c r="C79">
        <f t="shared" si="3"/>
        <v>107</v>
      </c>
      <c r="D79">
        <f t="shared" si="4"/>
        <v>72</v>
      </c>
      <c r="E79">
        <f t="shared" si="5"/>
        <v>79</v>
      </c>
    </row>
    <row r="80" spans="1:5" x14ac:dyDescent="0.25">
      <c r="A80" s="1">
        <v>44791</v>
      </c>
      <c r="B80">
        <v>21</v>
      </c>
      <c r="C80">
        <f t="shared" si="3"/>
        <v>107</v>
      </c>
      <c r="D80">
        <f t="shared" si="4"/>
        <v>72</v>
      </c>
      <c r="E80">
        <f t="shared" si="5"/>
        <v>79</v>
      </c>
    </row>
    <row r="81" spans="1:5" x14ac:dyDescent="0.25">
      <c r="A81" s="1">
        <v>44792</v>
      </c>
      <c r="B81">
        <v>24</v>
      </c>
      <c r="C81">
        <f t="shared" si="3"/>
        <v>120</v>
      </c>
      <c r="D81">
        <f t="shared" si="4"/>
        <v>80</v>
      </c>
      <c r="E81">
        <f t="shared" si="5"/>
        <v>90</v>
      </c>
    </row>
    <row r="82" spans="1:5" x14ac:dyDescent="0.25">
      <c r="A82" s="1">
        <v>44793</v>
      </c>
      <c r="B82">
        <v>26</v>
      </c>
      <c r="C82">
        <f t="shared" si="3"/>
        <v>128</v>
      </c>
      <c r="D82">
        <f t="shared" si="4"/>
        <v>84</v>
      </c>
      <c r="E82">
        <f t="shared" si="5"/>
        <v>96</v>
      </c>
    </row>
    <row r="83" spans="1:5" x14ac:dyDescent="0.25">
      <c r="A83" s="1">
        <v>44794</v>
      </c>
      <c r="B83">
        <v>23</v>
      </c>
      <c r="C83">
        <f t="shared" si="3"/>
        <v>115</v>
      </c>
      <c r="D83">
        <f t="shared" si="4"/>
        <v>77</v>
      </c>
      <c r="E83">
        <f t="shared" si="5"/>
        <v>86</v>
      </c>
    </row>
    <row r="84" spans="1:5" x14ac:dyDescent="0.25">
      <c r="A84" s="1">
        <v>44795</v>
      </c>
      <c r="B84">
        <v>23</v>
      </c>
      <c r="C84">
        <f t="shared" si="3"/>
        <v>115</v>
      </c>
      <c r="D84">
        <f t="shared" si="4"/>
        <v>77</v>
      </c>
      <c r="E84">
        <f t="shared" si="5"/>
        <v>86</v>
      </c>
    </row>
    <row r="85" spans="1:5" x14ac:dyDescent="0.25">
      <c r="A85" s="1">
        <v>44796</v>
      </c>
      <c r="B85">
        <v>24</v>
      </c>
      <c r="C85">
        <f t="shared" si="3"/>
        <v>120</v>
      </c>
      <c r="D85">
        <f t="shared" si="4"/>
        <v>80</v>
      </c>
      <c r="E85">
        <f t="shared" si="5"/>
        <v>90</v>
      </c>
    </row>
    <row r="86" spans="1:5" x14ac:dyDescent="0.25">
      <c r="A86" s="1">
        <v>44797</v>
      </c>
      <c r="B86">
        <v>26</v>
      </c>
      <c r="C86">
        <f t="shared" si="3"/>
        <v>128</v>
      </c>
      <c r="D86">
        <f t="shared" si="4"/>
        <v>84</v>
      </c>
      <c r="E86">
        <f t="shared" si="5"/>
        <v>96</v>
      </c>
    </row>
    <row r="87" spans="1:5" x14ac:dyDescent="0.25">
      <c r="A87" s="1">
        <v>44798</v>
      </c>
      <c r="B87">
        <v>28</v>
      </c>
      <c r="C87">
        <f t="shared" si="3"/>
        <v>136</v>
      </c>
      <c r="D87">
        <f t="shared" si="4"/>
        <v>89</v>
      </c>
      <c r="E87">
        <f t="shared" si="5"/>
        <v>103</v>
      </c>
    </row>
    <row r="88" spans="1:5" x14ac:dyDescent="0.25">
      <c r="A88" s="1">
        <v>44799</v>
      </c>
      <c r="B88">
        <v>32</v>
      </c>
      <c r="C88">
        <f t="shared" si="3"/>
        <v>153</v>
      </c>
      <c r="D88">
        <f t="shared" si="4"/>
        <v>98</v>
      </c>
      <c r="E88">
        <f t="shared" si="5"/>
        <v>117</v>
      </c>
    </row>
    <row r="89" spans="1:5" x14ac:dyDescent="0.25">
      <c r="A89" s="1">
        <v>44800</v>
      </c>
      <c r="B89">
        <v>26</v>
      </c>
      <c r="C89">
        <f t="shared" si="3"/>
        <v>128</v>
      </c>
      <c r="D89">
        <f t="shared" si="4"/>
        <v>84</v>
      </c>
      <c r="E89">
        <f t="shared" si="5"/>
        <v>96</v>
      </c>
    </row>
    <row r="90" spans="1:5" x14ac:dyDescent="0.25">
      <c r="A90" s="1">
        <v>44801</v>
      </c>
      <c r="B90">
        <v>32</v>
      </c>
      <c r="C90">
        <f t="shared" si="3"/>
        <v>153</v>
      </c>
      <c r="D90">
        <f t="shared" si="4"/>
        <v>98</v>
      </c>
      <c r="E90">
        <f t="shared" si="5"/>
        <v>117</v>
      </c>
    </row>
    <row r="91" spans="1:5" x14ac:dyDescent="0.25">
      <c r="A91" s="1">
        <v>44802</v>
      </c>
      <c r="B91">
        <v>23</v>
      </c>
      <c r="C91">
        <f t="shared" si="3"/>
        <v>115</v>
      </c>
      <c r="D91">
        <f t="shared" si="4"/>
        <v>77</v>
      </c>
      <c r="E91">
        <f t="shared" si="5"/>
        <v>86</v>
      </c>
    </row>
    <row r="92" spans="1:5" x14ac:dyDescent="0.25">
      <c r="A92" s="1">
        <v>44803</v>
      </c>
      <c r="B92">
        <v>22</v>
      </c>
      <c r="C92">
        <f t="shared" si="3"/>
        <v>111</v>
      </c>
      <c r="D92">
        <f t="shared" si="4"/>
        <v>75</v>
      </c>
      <c r="E92">
        <f t="shared" si="5"/>
        <v>83</v>
      </c>
    </row>
    <row r="93" spans="1:5" x14ac:dyDescent="0.25">
      <c r="A93" s="1">
        <v>44804</v>
      </c>
      <c r="B93">
        <v>25</v>
      </c>
      <c r="C93">
        <f t="shared" si="3"/>
        <v>124</v>
      </c>
      <c r="D93">
        <f t="shared" si="4"/>
        <v>82</v>
      </c>
      <c r="E93">
        <f t="shared" si="5"/>
        <v>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D0B4-E812-4C89-B969-B90CEBB77193}">
  <dimension ref="A1:K93"/>
  <sheetViews>
    <sheetView zoomScale="130" zoomScaleNormal="130" workbookViewId="0">
      <selection activeCell="I9" sqref="I9"/>
    </sheetView>
  </sheetViews>
  <sheetFormatPr defaultRowHeight="15" x14ac:dyDescent="0.25"/>
  <cols>
    <col min="1" max="1" width="15.7109375" customWidth="1"/>
    <col min="2" max="2" width="11.140625" customWidth="1"/>
    <col min="3" max="3" width="13.140625" customWidth="1"/>
    <col min="4" max="4" width="11.7109375" customWidth="1"/>
    <col min="6" max="6" width="14.5703125" customWidth="1"/>
    <col min="7" max="7" width="34.7109375" customWidth="1"/>
    <col min="8" max="8" width="17.85546875" bestFit="1" customWidth="1"/>
    <col min="9" max="9" width="20" customWidth="1"/>
    <col min="10" max="10" width="18.7109375" bestFit="1" customWidth="1"/>
    <col min="11" max="11" width="19.28515625" bestFit="1" customWidth="1"/>
  </cols>
  <sheetData>
    <row r="1" spans="1:1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21</v>
      </c>
      <c r="G1" t="s">
        <v>22</v>
      </c>
    </row>
    <row r="2" spans="1:11" x14ac:dyDescent="0.25">
      <c r="A2" s="1">
        <v>44713</v>
      </c>
      <c r="B2">
        <v>24</v>
      </c>
      <c r="C2">
        <f>ROUNDDOWN(120*(1+(2/29)*((B2-24)/2)), 0)</f>
        <v>120</v>
      </c>
      <c r="D2">
        <f>ROUNDDOWN(80*(1+(1/17)*((B2-24)/2)), 0)</f>
        <v>80</v>
      </c>
      <c r="E2">
        <f>ROUNDDOWN(90*(1+(1/13)*((B2-24)/2)), 0)</f>
        <v>90</v>
      </c>
      <c r="F2">
        <f>SUM(C2*5,D2*6,E2*7)</f>
        <v>1710</v>
      </c>
      <c r="G2">
        <f>F2</f>
        <v>1710</v>
      </c>
    </row>
    <row r="3" spans="1:11" x14ac:dyDescent="0.25">
      <c r="A3" s="1">
        <v>44714</v>
      </c>
      <c r="B3">
        <v>25</v>
      </c>
      <c r="C3">
        <f t="shared" ref="C3:C66" si="0">ROUNDDOWN(120*(1+(2/29)*((B3-24)/2)), 0)</f>
        <v>124</v>
      </c>
      <c r="D3">
        <f t="shared" ref="D3:D66" si="1">ROUNDDOWN(80*(1+(1/17)*((B3-24)/2)), 0)</f>
        <v>82</v>
      </c>
      <c r="E3">
        <f t="shared" ref="E3:E66" si="2">ROUNDDOWN(90*(1+(1/13)*((B3-24)/2)), 0)</f>
        <v>93</v>
      </c>
      <c r="F3">
        <f t="shared" ref="F3:F66" si="3">SUM(C3*5,D3*6,E3*7)</f>
        <v>1763</v>
      </c>
      <c r="G3">
        <f>SUM(F3,G2)</f>
        <v>3473</v>
      </c>
    </row>
    <row r="4" spans="1:11" x14ac:dyDescent="0.25">
      <c r="A4" s="1">
        <v>44715</v>
      </c>
      <c r="B4">
        <v>27</v>
      </c>
      <c r="C4">
        <f t="shared" si="0"/>
        <v>132</v>
      </c>
      <c r="D4">
        <f t="shared" si="1"/>
        <v>87</v>
      </c>
      <c r="E4">
        <f t="shared" si="2"/>
        <v>100</v>
      </c>
      <c r="F4">
        <f t="shared" si="3"/>
        <v>1882</v>
      </c>
      <c r="G4">
        <f>SUM(F4,G3)</f>
        <v>5355</v>
      </c>
    </row>
    <row r="5" spans="1:11" x14ac:dyDescent="0.25">
      <c r="A5" s="1">
        <v>44716</v>
      </c>
      <c r="B5">
        <v>27</v>
      </c>
      <c r="C5">
        <f t="shared" si="0"/>
        <v>132</v>
      </c>
      <c r="D5">
        <f t="shared" si="1"/>
        <v>87</v>
      </c>
      <c r="E5">
        <f t="shared" si="2"/>
        <v>100</v>
      </c>
      <c r="F5">
        <f t="shared" si="3"/>
        <v>1882</v>
      </c>
      <c r="G5">
        <f t="shared" ref="G5:G68" si="4">SUM(F5,G4)</f>
        <v>7237</v>
      </c>
    </row>
    <row r="6" spans="1:11" x14ac:dyDescent="0.25">
      <c r="A6" s="1">
        <v>44717</v>
      </c>
      <c r="B6">
        <v>27</v>
      </c>
      <c r="C6">
        <f t="shared" si="0"/>
        <v>132</v>
      </c>
      <c r="D6">
        <f t="shared" si="1"/>
        <v>87</v>
      </c>
      <c r="E6">
        <f t="shared" si="2"/>
        <v>100</v>
      </c>
      <c r="F6">
        <f t="shared" si="3"/>
        <v>1882</v>
      </c>
      <c r="G6">
        <f t="shared" si="4"/>
        <v>9119</v>
      </c>
    </row>
    <row r="7" spans="1:11" x14ac:dyDescent="0.25">
      <c r="A7" s="1">
        <v>44718</v>
      </c>
      <c r="B7">
        <v>22</v>
      </c>
      <c r="C7">
        <f t="shared" si="0"/>
        <v>111</v>
      </c>
      <c r="D7">
        <f t="shared" si="1"/>
        <v>75</v>
      </c>
      <c r="E7">
        <f t="shared" si="2"/>
        <v>83</v>
      </c>
      <c r="F7">
        <f t="shared" si="3"/>
        <v>1586</v>
      </c>
      <c r="G7">
        <f t="shared" si="4"/>
        <v>10705</v>
      </c>
    </row>
    <row r="8" spans="1:11" x14ac:dyDescent="0.25">
      <c r="A8" s="1">
        <v>44719</v>
      </c>
      <c r="B8">
        <v>25</v>
      </c>
      <c r="C8">
        <f t="shared" si="0"/>
        <v>124</v>
      </c>
      <c r="D8">
        <f t="shared" si="1"/>
        <v>82</v>
      </c>
      <c r="E8">
        <f t="shared" si="2"/>
        <v>93</v>
      </c>
      <c r="F8">
        <f t="shared" si="3"/>
        <v>1763</v>
      </c>
      <c r="G8">
        <f t="shared" si="4"/>
        <v>12468</v>
      </c>
      <c r="I8" t="s">
        <v>0</v>
      </c>
    </row>
    <row r="9" spans="1:11" x14ac:dyDescent="0.25">
      <c r="A9" s="1">
        <v>44720</v>
      </c>
      <c r="B9">
        <v>25</v>
      </c>
      <c r="C9">
        <f t="shared" si="0"/>
        <v>124</v>
      </c>
      <c r="D9">
        <f t="shared" si="1"/>
        <v>82</v>
      </c>
      <c r="E9">
        <f t="shared" si="2"/>
        <v>93</v>
      </c>
      <c r="F9">
        <f t="shared" si="3"/>
        <v>1763</v>
      </c>
      <c r="G9">
        <f t="shared" si="4"/>
        <v>14231</v>
      </c>
      <c r="I9" t="s">
        <v>23</v>
      </c>
    </row>
    <row r="10" spans="1:11" x14ac:dyDescent="0.25">
      <c r="A10" s="1">
        <v>44721</v>
      </c>
      <c r="B10">
        <v>21</v>
      </c>
      <c r="C10">
        <f t="shared" si="0"/>
        <v>107</v>
      </c>
      <c r="D10">
        <f t="shared" si="1"/>
        <v>72</v>
      </c>
      <c r="E10">
        <f t="shared" si="2"/>
        <v>79</v>
      </c>
      <c r="F10">
        <f t="shared" si="3"/>
        <v>1520</v>
      </c>
      <c r="G10">
        <f t="shared" si="4"/>
        <v>15751</v>
      </c>
      <c r="H10" s="3"/>
      <c r="I10" s="4"/>
      <c r="J10" s="4"/>
      <c r="K10" s="4"/>
    </row>
    <row r="11" spans="1:11" x14ac:dyDescent="0.25">
      <c r="A11" s="1">
        <v>44722</v>
      </c>
      <c r="B11">
        <v>21</v>
      </c>
      <c r="C11">
        <f t="shared" si="0"/>
        <v>107</v>
      </c>
      <c r="D11">
        <f t="shared" si="1"/>
        <v>72</v>
      </c>
      <c r="E11">
        <f t="shared" si="2"/>
        <v>79</v>
      </c>
      <c r="F11">
        <f t="shared" si="3"/>
        <v>1520</v>
      </c>
      <c r="G11">
        <f t="shared" si="4"/>
        <v>17271</v>
      </c>
      <c r="H11" s="3"/>
      <c r="I11" s="4"/>
      <c r="J11" s="4"/>
      <c r="K11" s="4"/>
    </row>
    <row r="12" spans="1:11" x14ac:dyDescent="0.25">
      <c r="A12" s="1">
        <v>44723</v>
      </c>
      <c r="B12">
        <v>19</v>
      </c>
      <c r="C12">
        <f t="shared" si="0"/>
        <v>99</v>
      </c>
      <c r="D12">
        <f t="shared" si="1"/>
        <v>68</v>
      </c>
      <c r="E12">
        <f t="shared" si="2"/>
        <v>72</v>
      </c>
      <c r="F12">
        <f t="shared" si="3"/>
        <v>1407</v>
      </c>
      <c r="G12">
        <f t="shared" si="4"/>
        <v>18678</v>
      </c>
      <c r="H12" s="3"/>
      <c r="I12" s="4"/>
      <c r="J12" s="4"/>
      <c r="K12" s="4"/>
    </row>
    <row r="13" spans="1:11" x14ac:dyDescent="0.25">
      <c r="A13" s="1">
        <v>44724</v>
      </c>
      <c r="B13">
        <v>19</v>
      </c>
      <c r="C13">
        <f t="shared" si="0"/>
        <v>99</v>
      </c>
      <c r="D13">
        <f t="shared" si="1"/>
        <v>68</v>
      </c>
      <c r="E13">
        <f t="shared" si="2"/>
        <v>72</v>
      </c>
      <c r="F13">
        <f t="shared" si="3"/>
        <v>1407</v>
      </c>
      <c r="G13">
        <f t="shared" si="4"/>
        <v>20085</v>
      </c>
    </row>
    <row r="14" spans="1:11" x14ac:dyDescent="0.25">
      <c r="A14" s="1">
        <v>44725</v>
      </c>
      <c r="B14">
        <v>15</v>
      </c>
      <c r="C14">
        <f t="shared" si="0"/>
        <v>82</v>
      </c>
      <c r="D14">
        <f t="shared" si="1"/>
        <v>58</v>
      </c>
      <c r="E14">
        <f t="shared" si="2"/>
        <v>58</v>
      </c>
      <c r="F14">
        <f t="shared" si="3"/>
        <v>1164</v>
      </c>
      <c r="G14">
        <f t="shared" si="4"/>
        <v>21249</v>
      </c>
    </row>
    <row r="15" spans="1:11" x14ac:dyDescent="0.25">
      <c r="A15" s="1">
        <v>44726</v>
      </c>
      <c r="B15">
        <v>21</v>
      </c>
      <c r="C15">
        <f t="shared" si="0"/>
        <v>107</v>
      </c>
      <c r="D15">
        <f t="shared" si="1"/>
        <v>72</v>
      </c>
      <c r="E15">
        <f t="shared" si="2"/>
        <v>79</v>
      </c>
      <c r="F15">
        <f t="shared" si="3"/>
        <v>1520</v>
      </c>
      <c r="G15">
        <f t="shared" si="4"/>
        <v>22769</v>
      </c>
    </row>
    <row r="16" spans="1:11" x14ac:dyDescent="0.25">
      <c r="A16" s="1">
        <v>44727</v>
      </c>
      <c r="B16">
        <v>23</v>
      </c>
      <c r="C16">
        <f t="shared" si="0"/>
        <v>115</v>
      </c>
      <c r="D16">
        <f t="shared" si="1"/>
        <v>77</v>
      </c>
      <c r="E16">
        <f t="shared" si="2"/>
        <v>86</v>
      </c>
      <c r="F16">
        <f t="shared" si="3"/>
        <v>1639</v>
      </c>
      <c r="G16">
        <f t="shared" si="4"/>
        <v>24408</v>
      </c>
    </row>
    <row r="17" spans="1:7" x14ac:dyDescent="0.25">
      <c r="A17" s="1">
        <v>44728</v>
      </c>
      <c r="B17">
        <v>23</v>
      </c>
      <c r="C17">
        <f t="shared" si="0"/>
        <v>115</v>
      </c>
      <c r="D17">
        <f t="shared" si="1"/>
        <v>77</v>
      </c>
      <c r="E17">
        <f t="shared" si="2"/>
        <v>86</v>
      </c>
      <c r="F17">
        <f t="shared" si="3"/>
        <v>1639</v>
      </c>
      <c r="G17">
        <f t="shared" si="4"/>
        <v>26047</v>
      </c>
    </row>
    <row r="18" spans="1:7" x14ac:dyDescent="0.25">
      <c r="A18" s="1">
        <v>44729</v>
      </c>
      <c r="B18">
        <v>16</v>
      </c>
      <c r="C18">
        <f t="shared" si="0"/>
        <v>86</v>
      </c>
      <c r="D18">
        <f t="shared" si="1"/>
        <v>61</v>
      </c>
      <c r="E18">
        <f t="shared" si="2"/>
        <v>62</v>
      </c>
      <c r="F18">
        <f t="shared" si="3"/>
        <v>1230</v>
      </c>
      <c r="G18">
        <f t="shared" si="4"/>
        <v>27277</v>
      </c>
    </row>
    <row r="19" spans="1:7" x14ac:dyDescent="0.25">
      <c r="A19" s="1">
        <v>44730</v>
      </c>
      <c r="B19">
        <v>21</v>
      </c>
      <c r="C19">
        <f t="shared" si="0"/>
        <v>107</v>
      </c>
      <c r="D19">
        <f t="shared" si="1"/>
        <v>72</v>
      </c>
      <c r="E19">
        <f t="shared" si="2"/>
        <v>79</v>
      </c>
      <c r="F19">
        <f t="shared" si="3"/>
        <v>1520</v>
      </c>
      <c r="G19">
        <f t="shared" si="4"/>
        <v>28797</v>
      </c>
    </row>
    <row r="20" spans="1:7" x14ac:dyDescent="0.25">
      <c r="A20" s="1">
        <v>44731</v>
      </c>
      <c r="B20">
        <v>22</v>
      </c>
      <c r="C20">
        <f t="shared" si="0"/>
        <v>111</v>
      </c>
      <c r="D20">
        <f t="shared" si="1"/>
        <v>75</v>
      </c>
      <c r="E20">
        <f t="shared" si="2"/>
        <v>83</v>
      </c>
      <c r="F20">
        <f t="shared" si="3"/>
        <v>1586</v>
      </c>
      <c r="G20">
        <f t="shared" si="4"/>
        <v>30383</v>
      </c>
    </row>
    <row r="21" spans="1:7" x14ac:dyDescent="0.25">
      <c r="A21" s="1">
        <v>44732</v>
      </c>
      <c r="B21">
        <v>22</v>
      </c>
      <c r="C21">
        <f t="shared" si="0"/>
        <v>111</v>
      </c>
      <c r="D21">
        <f t="shared" si="1"/>
        <v>75</v>
      </c>
      <c r="E21">
        <f t="shared" si="2"/>
        <v>83</v>
      </c>
      <c r="F21">
        <f t="shared" si="3"/>
        <v>1586</v>
      </c>
      <c r="G21">
        <f t="shared" si="4"/>
        <v>31969</v>
      </c>
    </row>
    <row r="22" spans="1:7" x14ac:dyDescent="0.25">
      <c r="A22" s="1">
        <v>44733</v>
      </c>
      <c r="B22">
        <v>22</v>
      </c>
      <c r="C22">
        <f t="shared" si="0"/>
        <v>111</v>
      </c>
      <c r="D22">
        <f t="shared" si="1"/>
        <v>75</v>
      </c>
      <c r="E22">
        <f t="shared" si="2"/>
        <v>83</v>
      </c>
      <c r="F22">
        <f t="shared" si="3"/>
        <v>1586</v>
      </c>
      <c r="G22">
        <f t="shared" si="4"/>
        <v>33555</v>
      </c>
    </row>
    <row r="23" spans="1:7" x14ac:dyDescent="0.25">
      <c r="A23" s="1">
        <v>44734</v>
      </c>
      <c r="B23">
        <v>28</v>
      </c>
      <c r="C23">
        <f t="shared" si="0"/>
        <v>136</v>
      </c>
      <c r="D23">
        <f t="shared" si="1"/>
        <v>89</v>
      </c>
      <c r="E23">
        <f t="shared" si="2"/>
        <v>103</v>
      </c>
      <c r="F23">
        <f t="shared" si="3"/>
        <v>1935</v>
      </c>
      <c r="G23">
        <f t="shared" si="4"/>
        <v>35490</v>
      </c>
    </row>
    <row r="24" spans="1:7" x14ac:dyDescent="0.25">
      <c r="A24" s="1">
        <v>44735</v>
      </c>
      <c r="B24">
        <v>31</v>
      </c>
      <c r="C24">
        <f t="shared" si="0"/>
        <v>148</v>
      </c>
      <c r="D24">
        <f t="shared" si="1"/>
        <v>96</v>
      </c>
      <c r="E24">
        <f t="shared" si="2"/>
        <v>114</v>
      </c>
      <c r="F24">
        <f t="shared" si="3"/>
        <v>2114</v>
      </c>
      <c r="G24">
        <f t="shared" si="4"/>
        <v>37604</v>
      </c>
    </row>
    <row r="25" spans="1:7" x14ac:dyDescent="0.25">
      <c r="A25" s="1">
        <v>44736</v>
      </c>
      <c r="B25">
        <v>33</v>
      </c>
      <c r="C25">
        <f t="shared" si="0"/>
        <v>157</v>
      </c>
      <c r="D25">
        <f t="shared" si="1"/>
        <v>101</v>
      </c>
      <c r="E25">
        <f t="shared" si="2"/>
        <v>121</v>
      </c>
      <c r="F25">
        <f t="shared" si="3"/>
        <v>2238</v>
      </c>
      <c r="G25">
        <f t="shared" si="4"/>
        <v>39842</v>
      </c>
    </row>
    <row r="26" spans="1:7" x14ac:dyDescent="0.25">
      <c r="A26" s="1">
        <v>44737</v>
      </c>
      <c r="B26">
        <v>33</v>
      </c>
      <c r="C26">
        <f t="shared" si="0"/>
        <v>157</v>
      </c>
      <c r="D26">
        <f t="shared" si="1"/>
        <v>101</v>
      </c>
      <c r="E26">
        <f t="shared" si="2"/>
        <v>121</v>
      </c>
      <c r="F26">
        <f t="shared" si="3"/>
        <v>2238</v>
      </c>
      <c r="G26">
        <f t="shared" si="4"/>
        <v>42080</v>
      </c>
    </row>
    <row r="27" spans="1:7" x14ac:dyDescent="0.25">
      <c r="A27" s="1">
        <v>44738</v>
      </c>
      <c r="B27">
        <v>23</v>
      </c>
      <c r="C27">
        <f t="shared" si="0"/>
        <v>115</v>
      </c>
      <c r="D27">
        <f t="shared" si="1"/>
        <v>77</v>
      </c>
      <c r="E27">
        <f t="shared" si="2"/>
        <v>86</v>
      </c>
      <c r="F27">
        <f t="shared" si="3"/>
        <v>1639</v>
      </c>
      <c r="G27">
        <f t="shared" si="4"/>
        <v>43719</v>
      </c>
    </row>
    <row r="28" spans="1:7" x14ac:dyDescent="0.25">
      <c r="A28" s="5">
        <v>44739</v>
      </c>
      <c r="B28" s="6">
        <v>23</v>
      </c>
      <c r="C28" s="6">
        <f t="shared" si="0"/>
        <v>115</v>
      </c>
      <c r="D28" s="6">
        <f t="shared" si="1"/>
        <v>77</v>
      </c>
      <c r="E28" s="6">
        <f t="shared" si="2"/>
        <v>86</v>
      </c>
      <c r="F28" s="6">
        <f t="shared" si="3"/>
        <v>1639</v>
      </c>
      <c r="G28" s="6">
        <f t="shared" si="4"/>
        <v>45358</v>
      </c>
    </row>
    <row r="29" spans="1:7" x14ac:dyDescent="0.25">
      <c r="A29" s="1">
        <v>44740</v>
      </c>
      <c r="B29">
        <v>19</v>
      </c>
      <c r="C29">
        <f t="shared" si="0"/>
        <v>99</v>
      </c>
      <c r="D29">
        <f t="shared" si="1"/>
        <v>68</v>
      </c>
      <c r="E29">
        <f t="shared" si="2"/>
        <v>72</v>
      </c>
      <c r="F29">
        <f t="shared" si="3"/>
        <v>1407</v>
      </c>
      <c r="G29">
        <f t="shared" si="4"/>
        <v>46765</v>
      </c>
    </row>
    <row r="30" spans="1:7" x14ac:dyDescent="0.25">
      <c r="A30" s="1">
        <v>44741</v>
      </c>
      <c r="B30">
        <v>24</v>
      </c>
      <c r="C30">
        <f t="shared" si="0"/>
        <v>120</v>
      </c>
      <c r="D30">
        <f t="shared" si="1"/>
        <v>80</v>
      </c>
      <c r="E30">
        <f t="shared" si="2"/>
        <v>90</v>
      </c>
      <c r="F30">
        <f t="shared" si="3"/>
        <v>1710</v>
      </c>
      <c r="G30">
        <f t="shared" si="4"/>
        <v>48475</v>
      </c>
    </row>
    <row r="31" spans="1:7" x14ac:dyDescent="0.25">
      <c r="A31" s="1">
        <v>44742</v>
      </c>
      <c r="B31">
        <v>25</v>
      </c>
      <c r="C31">
        <f t="shared" si="0"/>
        <v>124</v>
      </c>
      <c r="D31">
        <f t="shared" si="1"/>
        <v>82</v>
      </c>
      <c r="E31">
        <f t="shared" si="2"/>
        <v>93</v>
      </c>
      <c r="F31">
        <f t="shared" si="3"/>
        <v>1763</v>
      </c>
      <c r="G31">
        <f t="shared" si="4"/>
        <v>50238</v>
      </c>
    </row>
    <row r="32" spans="1:7" x14ac:dyDescent="0.25">
      <c r="A32" s="1">
        <v>44743</v>
      </c>
      <c r="B32">
        <v>27</v>
      </c>
      <c r="C32">
        <f t="shared" si="0"/>
        <v>132</v>
      </c>
      <c r="D32">
        <f t="shared" si="1"/>
        <v>87</v>
      </c>
      <c r="E32">
        <f t="shared" si="2"/>
        <v>100</v>
      </c>
      <c r="F32">
        <f t="shared" si="3"/>
        <v>1882</v>
      </c>
      <c r="G32">
        <f t="shared" si="4"/>
        <v>52120</v>
      </c>
    </row>
    <row r="33" spans="1:7" x14ac:dyDescent="0.25">
      <c r="A33" s="1">
        <v>44744</v>
      </c>
      <c r="B33">
        <v>27</v>
      </c>
      <c r="C33">
        <f t="shared" si="0"/>
        <v>132</v>
      </c>
      <c r="D33">
        <f t="shared" si="1"/>
        <v>87</v>
      </c>
      <c r="E33">
        <f t="shared" si="2"/>
        <v>100</v>
      </c>
      <c r="F33">
        <f t="shared" si="3"/>
        <v>1882</v>
      </c>
      <c r="G33">
        <f t="shared" si="4"/>
        <v>54002</v>
      </c>
    </row>
    <row r="34" spans="1:7" x14ac:dyDescent="0.25">
      <c r="A34" s="1">
        <v>44745</v>
      </c>
      <c r="B34">
        <v>21</v>
      </c>
      <c r="C34">
        <f t="shared" si="0"/>
        <v>107</v>
      </c>
      <c r="D34">
        <f t="shared" si="1"/>
        <v>72</v>
      </c>
      <c r="E34">
        <f t="shared" si="2"/>
        <v>79</v>
      </c>
      <c r="F34">
        <f t="shared" si="3"/>
        <v>1520</v>
      </c>
      <c r="G34">
        <f t="shared" si="4"/>
        <v>55522</v>
      </c>
    </row>
    <row r="35" spans="1:7" x14ac:dyDescent="0.25">
      <c r="A35" s="1">
        <v>44746</v>
      </c>
      <c r="B35">
        <v>21</v>
      </c>
      <c r="C35">
        <f t="shared" si="0"/>
        <v>107</v>
      </c>
      <c r="D35">
        <f t="shared" si="1"/>
        <v>72</v>
      </c>
      <c r="E35">
        <f t="shared" si="2"/>
        <v>79</v>
      </c>
      <c r="F35">
        <f t="shared" si="3"/>
        <v>1520</v>
      </c>
      <c r="G35">
        <f t="shared" si="4"/>
        <v>57042</v>
      </c>
    </row>
    <row r="36" spans="1:7" x14ac:dyDescent="0.25">
      <c r="A36" s="1">
        <v>44747</v>
      </c>
      <c r="B36">
        <v>25</v>
      </c>
      <c r="C36">
        <f t="shared" si="0"/>
        <v>124</v>
      </c>
      <c r="D36">
        <f t="shared" si="1"/>
        <v>82</v>
      </c>
      <c r="E36">
        <f t="shared" si="2"/>
        <v>93</v>
      </c>
      <c r="F36">
        <f t="shared" si="3"/>
        <v>1763</v>
      </c>
      <c r="G36">
        <f t="shared" si="4"/>
        <v>58805</v>
      </c>
    </row>
    <row r="37" spans="1:7" x14ac:dyDescent="0.25">
      <c r="A37" s="1">
        <v>44748</v>
      </c>
      <c r="B37">
        <v>19</v>
      </c>
      <c r="C37">
        <f t="shared" si="0"/>
        <v>99</v>
      </c>
      <c r="D37">
        <f t="shared" si="1"/>
        <v>68</v>
      </c>
      <c r="E37">
        <f t="shared" si="2"/>
        <v>72</v>
      </c>
      <c r="F37">
        <f t="shared" si="3"/>
        <v>1407</v>
      </c>
      <c r="G37">
        <f t="shared" si="4"/>
        <v>60212</v>
      </c>
    </row>
    <row r="38" spans="1:7" x14ac:dyDescent="0.25">
      <c r="A38" s="1">
        <v>44749</v>
      </c>
      <c r="B38">
        <v>21</v>
      </c>
      <c r="C38">
        <f t="shared" si="0"/>
        <v>107</v>
      </c>
      <c r="D38">
        <f t="shared" si="1"/>
        <v>72</v>
      </c>
      <c r="E38">
        <f t="shared" si="2"/>
        <v>79</v>
      </c>
      <c r="F38">
        <f t="shared" si="3"/>
        <v>1520</v>
      </c>
      <c r="G38">
        <f t="shared" si="4"/>
        <v>61732</v>
      </c>
    </row>
    <row r="39" spans="1:7" x14ac:dyDescent="0.25">
      <c r="A39" s="1">
        <v>44750</v>
      </c>
      <c r="B39">
        <v>24</v>
      </c>
      <c r="C39">
        <f t="shared" si="0"/>
        <v>120</v>
      </c>
      <c r="D39">
        <f t="shared" si="1"/>
        <v>80</v>
      </c>
      <c r="E39">
        <f t="shared" si="2"/>
        <v>90</v>
      </c>
      <c r="F39">
        <f t="shared" si="3"/>
        <v>1710</v>
      </c>
      <c r="G39">
        <f t="shared" si="4"/>
        <v>63442</v>
      </c>
    </row>
    <row r="40" spans="1:7" x14ac:dyDescent="0.25">
      <c r="A40" s="1">
        <v>44751</v>
      </c>
      <c r="B40">
        <v>19</v>
      </c>
      <c r="C40">
        <f t="shared" si="0"/>
        <v>99</v>
      </c>
      <c r="D40">
        <f t="shared" si="1"/>
        <v>68</v>
      </c>
      <c r="E40">
        <f t="shared" si="2"/>
        <v>72</v>
      </c>
      <c r="F40">
        <f t="shared" si="3"/>
        <v>1407</v>
      </c>
      <c r="G40">
        <f t="shared" si="4"/>
        <v>64849</v>
      </c>
    </row>
    <row r="41" spans="1:7" x14ac:dyDescent="0.25">
      <c r="A41" s="1">
        <v>44752</v>
      </c>
      <c r="B41">
        <v>28</v>
      </c>
      <c r="C41">
        <f t="shared" si="0"/>
        <v>136</v>
      </c>
      <c r="D41">
        <f t="shared" si="1"/>
        <v>89</v>
      </c>
      <c r="E41">
        <f t="shared" si="2"/>
        <v>103</v>
      </c>
      <c r="F41">
        <f t="shared" si="3"/>
        <v>1935</v>
      </c>
      <c r="G41">
        <f t="shared" si="4"/>
        <v>66784</v>
      </c>
    </row>
    <row r="42" spans="1:7" x14ac:dyDescent="0.25">
      <c r="A42" s="1">
        <v>44753</v>
      </c>
      <c r="B42">
        <v>27</v>
      </c>
      <c r="C42">
        <f t="shared" si="0"/>
        <v>132</v>
      </c>
      <c r="D42">
        <f t="shared" si="1"/>
        <v>87</v>
      </c>
      <c r="E42">
        <f t="shared" si="2"/>
        <v>100</v>
      </c>
      <c r="F42">
        <f t="shared" si="3"/>
        <v>1882</v>
      </c>
      <c r="G42">
        <f t="shared" si="4"/>
        <v>68666</v>
      </c>
    </row>
    <row r="43" spans="1:7" x14ac:dyDescent="0.25">
      <c r="A43" s="1">
        <v>44754</v>
      </c>
      <c r="B43">
        <v>24</v>
      </c>
      <c r="C43">
        <f t="shared" si="0"/>
        <v>120</v>
      </c>
      <c r="D43">
        <f t="shared" si="1"/>
        <v>80</v>
      </c>
      <c r="E43">
        <f t="shared" si="2"/>
        <v>90</v>
      </c>
      <c r="F43">
        <f t="shared" si="3"/>
        <v>1710</v>
      </c>
      <c r="G43">
        <f t="shared" si="4"/>
        <v>70376</v>
      </c>
    </row>
    <row r="44" spans="1:7" x14ac:dyDescent="0.25">
      <c r="A44" s="1">
        <v>44755</v>
      </c>
      <c r="B44">
        <v>22</v>
      </c>
      <c r="C44">
        <f t="shared" si="0"/>
        <v>111</v>
      </c>
      <c r="D44">
        <f t="shared" si="1"/>
        <v>75</v>
      </c>
      <c r="E44">
        <f t="shared" si="2"/>
        <v>83</v>
      </c>
      <c r="F44">
        <f t="shared" si="3"/>
        <v>1586</v>
      </c>
      <c r="G44">
        <f t="shared" si="4"/>
        <v>71962</v>
      </c>
    </row>
    <row r="45" spans="1:7" x14ac:dyDescent="0.25">
      <c r="A45" s="1">
        <v>44756</v>
      </c>
      <c r="B45">
        <v>17</v>
      </c>
      <c r="C45">
        <f t="shared" si="0"/>
        <v>91</v>
      </c>
      <c r="D45">
        <f t="shared" si="1"/>
        <v>63</v>
      </c>
      <c r="E45">
        <f t="shared" si="2"/>
        <v>65</v>
      </c>
      <c r="F45">
        <f t="shared" si="3"/>
        <v>1288</v>
      </c>
      <c r="G45">
        <f t="shared" si="4"/>
        <v>73250</v>
      </c>
    </row>
    <row r="46" spans="1:7" x14ac:dyDescent="0.25">
      <c r="A46" s="1">
        <v>44757</v>
      </c>
      <c r="B46">
        <v>18</v>
      </c>
      <c r="C46">
        <f t="shared" si="0"/>
        <v>95</v>
      </c>
      <c r="D46">
        <f t="shared" si="1"/>
        <v>65</v>
      </c>
      <c r="E46">
        <f t="shared" si="2"/>
        <v>69</v>
      </c>
      <c r="F46">
        <f t="shared" si="3"/>
        <v>1348</v>
      </c>
      <c r="G46">
        <f t="shared" si="4"/>
        <v>74598</v>
      </c>
    </row>
    <row r="47" spans="1:7" x14ac:dyDescent="0.25">
      <c r="A47" s="1">
        <v>44758</v>
      </c>
      <c r="B47">
        <v>23</v>
      </c>
      <c r="C47">
        <f t="shared" si="0"/>
        <v>115</v>
      </c>
      <c r="D47">
        <f t="shared" si="1"/>
        <v>77</v>
      </c>
      <c r="E47">
        <f t="shared" si="2"/>
        <v>86</v>
      </c>
      <c r="F47">
        <f t="shared" si="3"/>
        <v>1639</v>
      </c>
      <c r="G47">
        <f t="shared" si="4"/>
        <v>76237</v>
      </c>
    </row>
    <row r="48" spans="1:7" x14ac:dyDescent="0.25">
      <c r="A48" s="1">
        <v>44759</v>
      </c>
      <c r="B48">
        <v>23</v>
      </c>
      <c r="C48">
        <f t="shared" si="0"/>
        <v>115</v>
      </c>
      <c r="D48">
        <f t="shared" si="1"/>
        <v>77</v>
      </c>
      <c r="E48">
        <f t="shared" si="2"/>
        <v>86</v>
      </c>
      <c r="F48">
        <f t="shared" si="3"/>
        <v>1639</v>
      </c>
      <c r="G48">
        <f t="shared" si="4"/>
        <v>77876</v>
      </c>
    </row>
    <row r="49" spans="1:7" x14ac:dyDescent="0.25">
      <c r="A49" s="1">
        <v>44760</v>
      </c>
      <c r="B49">
        <v>19</v>
      </c>
      <c r="C49">
        <f t="shared" si="0"/>
        <v>99</v>
      </c>
      <c r="D49">
        <f t="shared" si="1"/>
        <v>68</v>
      </c>
      <c r="E49">
        <f t="shared" si="2"/>
        <v>72</v>
      </c>
      <c r="F49">
        <f t="shared" si="3"/>
        <v>1407</v>
      </c>
      <c r="G49">
        <f t="shared" si="4"/>
        <v>79283</v>
      </c>
    </row>
    <row r="50" spans="1:7" x14ac:dyDescent="0.25">
      <c r="A50" s="1">
        <v>44761</v>
      </c>
      <c r="B50">
        <v>21</v>
      </c>
      <c r="C50">
        <f t="shared" si="0"/>
        <v>107</v>
      </c>
      <c r="D50">
        <f t="shared" si="1"/>
        <v>72</v>
      </c>
      <c r="E50">
        <f t="shared" si="2"/>
        <v>79</v>
      </c>
      <c r="F50">
        <f t="shared" si="3"/>
        <v>1520</v>
      </c>
      <c r="G50">
        <f t="shared" si="4"/>
        <v>80803</v>
      </c>
    </row>
    <row r="51" spans="1:7" x14ac:dyDescent="0.25">
      <c r="A51" s="1">
        <v>44762</v>
      </c>
      <c r="B51">
        <v>25</v>
      </c>
      <c r="C51">
        <f t="shared" si="0"/>
        <v>124</v>
      </c>
      <c r="D51">
        <f t="shared" si="1"/>
        <v>82</v>
      </c>
      <c r="E51">
        <f t="shared" si="2"/>
        <v>93</v>
      </c>
      <c r="F51">
        <f t="shared" si="3"/>
        <v>1763</v>
      </c>
      <c r="G51">
        <f t="shared" si="4"/>
        <v>82566</v>
      </c>
    </row>
    <row r="52" spans="1:7" x14ac:dyDescent="0.25">
      <c r="A52" s="1">
        <v>44763</v>
      </c>
      <c r="B52">
        <v>28</v>
      </c>
      <c r="C52">
        <f t="shared" si="0"/>
        <v>136</v>
      </c>
      <c r="D52">
        <f t="shared" si="1"/>
        <v>89</v>
      </c>
      <c r="E52">
        <f t="shared" si="2"/>
        <v>103</v>
      </c>
      <c r="F52">
        <f t="shared" si="3"/>
        <v>1935</v>
      </c>
      <c r="G52">
        <f t="shared" si="4"/>
        <v>84501</v>
      </c>
    </row>
    <row r="53" spans="1:7" x14ac:dyDescent="0.25">
      <c r="A53" s="1">
        <v>44764</v>
      </c>
      <c r="B53">
        <v>27</v>
      </c>
      <c r="C53">
        <f t="shared" si="0"/>
        <v>132</v>
      </c>
      <c r="D53">
        <f t="shared" si="1"/>
        <v>87</v>
      </c>
      <c r="E53">
        <f t="shared" si="2"/>
        <v>100</v>
      </c>
      <c r="F53">
        <f t="shared" si="3"/>
        <v>1882</v>
      </c>
      <c r="G53">
        <f t="shared" si="4"/>
        <v>86383</v>
      </c>
    </row>
    <row r="54" spans="1:7" x14ac:dyDescent="0.25">
      <c r="A54" s="1">
        <v>44765</v>
      </c>
      <c r="B54">
        <v>23</v>
      </c>
      <c r="C54">
        <f t="shared" si="0"/>
        <v>115</v>
      </c>
      <c r="D54">
        <f t="shared" si="1"/>
        <v>77</v>
      </c>
      <c r="E54">
        <f t="shared" si="2"/>
        <v>86</v>
      </c>
      <c r="F54">
        <f t="shared" si="3"/>
        <v>1639</v>
      </c>
      <c r="G54">
        <f t="shared" si="4"/>
        <v>88022</v>
      </c>
    </row>
    <row r="55" spans="1:7" x14ac:dyDescent="0.25">
      <c r="A55" s="1">
        <v>44766</v>
      </c>
      <c r="B55">
        <v>26</v>
      </c>
      <c r="C55">
        <f t="shared" si="0"/>
        <v>128</v>
      </c>
      <c r="D55">
        <f t="shared" si="1"/>
        <v>84</v>
      </c>
      <c r="E55">
        <f t="shared" si="2"/>
        <v>96</v>
      </c>
      <c r="F55">
        <f t="shared" si="3"/>
        <v>1816</v>
      </c>
      <c r="G55">
        <f t="shared" si="4"/>
        <v>89838</v>
      </c>
    </row>
    <row r="56" spans="1:7" x14ac:dyDescent="0.25">
      <c r="A56" s="1">
        <v>44767</v>
      </c>
      <c r="B56">
        <v>29</v>
      </c>
      <c r="C56">
        <f t="shared" si="0"/>
        <v>140</v>
      </c>
      <c r="D56">
        <f t="shared" si="1"/>
        <v>91</v>
      </c>
      <c r="E56">
        <f t="shared" si="2"/>
        <v>107</v>
      </c>
      <c r="F56">
        <f t="shared" si="3"/>
        <v>1995</v>
      </c>
      <c r="G56">
        <f t="shared" si="4"/>
        <v>91833</v>
      </c>
    </row>
    <row r="57" spans="1:7" x14ac:dyDescent="0.25">
      <c r="A57" s="1">
        <v>44768</v>
      </c>
      <c r="B57">
        <v>26</v>
      </c>
      <c r="C57">
        <f t="shared" si="0"/>
        <v>128</v>
      </c>
      <c r="D57">
        <f t="shared" si="1"/>
        <v>84</v>
      </c>
      <c r="E57">
        <f t="shared" si="2"/>
        <v>96</v>
      </c>
      <c r="F57">
        <f t="shared" si="3"/>
        <v>1816</v>
      </c>
      <c r="G57">
        <f t="shared" si="4"/>
        <v>93649</v>
      </c>
    </row>
    <row r="58" spans="1:7" x14ac:dyDescent="0.25">
      <c r="A58" s="1">
        <v>44769</v>
      </c>
      <c r="B58">
        <v>27</v>
      </c>
      <c r="C58">
        <f t="shared" si="0"/>
        <v>132</v>
      </c>
      <c r="D58">
        <f t="shared" si="1"/>
        <v>87</v>
      </c>
      <c r="E58">
        <f t="shared" si="2"/>
        <v>100</v>
      </c>
      <c r="F58">
        <f t="shared" si="3"/>
        <v>1882</v>
      </c>
      <c r="G58">
        <f t="shared" si="4"/>
        <v>95531</v>
      </c>
    </row>
    <row r="59" spans="1:7" x14ac:dyDescent="0.25">
      <c r="A59" s="1">
        <v>44770</v>
      </c>
      <c r="B59">
        <v>24</v>
      </c>
      <c r="C59">
        <f t="shared" si="0"/>
        <v>120</v>
      </c>
      <c r="D59">
        <f t="shared" si="1"/>
        <v>80</v>
      </c>
      <c r="E59">
        <f t="shared" si="2"/>
        <v>90</v>
      </c>
      <c r="F59">
        <f t="shared" si="3"/>
        <v>1710</v>
      </c>
      <c r="G59">
        <f t="shared" si="4"/>
        <v>97241</v>
      </c>
    </row>
    <row r="60" spans="1:7" x14ac:dyDescent="0.25">
      <c r="A60" s="1">
        <v>44771</v>
      </c>
      <c r="B60">
        <v>26</v>
      </c>
      <c r="C60">
        <f t="shared" si="0"/>
        <v>128</v>
      </c>
      <c r="D60">
        <f t="shared" si="1"/>
        <v>84</v>
      </c>
      <c r="E60">
        <f t="shared" si="2"/>
        <v>96</v>
      </c>
      <c r="F60">
        <f t="shared" si="3"/>
        <v>1816</v>
      </c>
      <c r="G60">
        <f t="shared" si="4"/>
        <v>99057</v>
      </c>
    </row>
    <row r="61" spans="1:7" x14ac:dyDescent="0.25">
      <c r="A61" s="1">
        <v>44772</v>
      </c>
      <c r="B61">
        <v>25</v>
      </c>
      <c r="C61">
        <f t="shared" si="0"/>
        <v>124</v>
      </c>
      <c r="D61">
        <f t="shared" si="1"/>
        <v>82</v>
      </c>
      <c r="E61">
        <f t="shared" si="2"/>
        <v>93</v>
      </c>
      <c r="F61">
        <f t="shared" si="3"/>
        <v>1763</v>
      </c>
      <c r="G61">
        <f t="shared" si="4"/>
        <v>100820</v>
      </c>
    </row>
    <row r="62" spans="1:7" x14ac:dyDescent="0.25">
      <c r="A62" s="1">
        <v>44773</v>
      </c>
      <c r="B62">
        <v>24</v>
      </c>
      <c r="C62">
        <f t="shared" si="0"/>
        <v>120</v>
      </c>
      <c r="D62">
        <f t="shared" si="1"/>
        <v>80</v>
      </c>
      <c r="E62">
        <f t="shared" si="2"/>
        <v>90</v>
      </c>
      <c r="F62">
        <f t="shared" si="3"/>
        <v>1710</v>
      </c>
      <c r="G62">
        <f t="shared" si="4"/>
        <v>102530</v>
      </c>
    </row>
    <row r="63" spans="1:7" x14ac:dyDescent="0.25">
      <c r="A63" s="1">
        <v>44774</v>
      </c>
      <c r="B63">
        <v>22</v>
      </c>
      <c r="C63">
        <f t="shared" si="0"/>
        <v>111</v>
      </c>
      <c r="D63">
        <f t="shared" si="1"/>
        <v>75</v>
      </c>
      <c r="E63">
        <f t="shared" si="2"/>
        <v>83</v>
      </c>
      <c r="F63">
        <f t="shared" si="3"/>
        <v>1586</v>
      </c>
      <c r="G63">
        <f t="shared" si="4"/>
        <v>104116</v>
      </c>
    </row>
    <row r="64" spans="1:7" x14ac:dyDescent="0.25">
      <c r="A64" s="1">
        <v>44775</v>
      </c>
      <c r="B64">
        <v>19</v>
      </c>
      <c r="C64">
        <f t="shared" si="0"/>
        <v>99</v>
      </c>
      <c r="D64">
        <f t="shared" si="1"/>
        <v>68</v>
      </c>
      <c r="E64">
        <f t="shared" si="2"/>
        <v>72</v>
      </c>
      <c r="F64">
        <f t="shared" si="3"/>
        <v>1407</v>
      </c>
      <c r="G64">
        <f t="shared" si="4"/>
        <v>105523</v>
      </c>
    </row>
    <row r="65" spans="1:7" x14ac:dyDescent="0.25">
      <c r="A65" s="1">
        <v>44776</v>
      </c>
      <c r="B65">
        <v>21</v>
      </c>
      <c r="C65">
        <f t="shared" si="0"/>
        <v>107</v>
      </c>
      <c r="D65">
        <f t="shared" si="1"/>
        <v>72</v>
      </c>
      <c r="E65">
        <f t="shared" si="2"/>
        <v>79</v>
      </c>
      <c r="F65">
        <f t="shared" si="3"/>
        <v>1520</v>
      </c>
      <c r="G65">
        <f t="shared" si="4"/>
        <v>107043</v>
      </c>
    </row>
    <row r="66" spans="1:7" x14ac:dyDescent="0.25">
      <c r="A66" s="1">
        <v>44777</v>
      </c>
      <c r="B66">
        <v>26</v>
      </c>
      <c r="C66">
        <f t="shared" si="0"/>
        <v>128</v>
      </c>
      <c r="D66">
        <f t="shared" si="1"/>
        <v>84</v>
      </c>
      <c r="E66">
        <f t="shared" si="2"/>
        <v>96</v>
      </c>
      <c r="F66">
        <f t="shared" si="3"/>
        <v>1816</v>
      </c>
      <c r="G66">
        <f t="shared" si="4"/>
        <v>108859</v>
      </c>
    </row>
    <row r="67" spans="1:7" x14ac:dyDescent="0.25">
      <c r="A67" s="1">
        <v>44778</v>
      </c>
      <c r="B67">
        <v>19</v>
      </c>
      <c r="C67">
        <f t="shared" ref="C67:C93" si="5">ROUNDDOWN(120*(1+(2/29)*((B67-24)/2)), 0)</f>
        <v>99</v>
      </c>
      <c r="D67">
        <f t="shared" ref="D67:D93" si="6">ROUNDDOWN(80*(1+(1/17)*((B67-24)/2)), 0)</f>
        <v>68</v>
      </c>
      <c r="E67">
        <f t="shared" ref="E67:E93" si="7">ROUNDDOWN(90*(1+(1/13)*((B67-24)/2)), 0)</f>
        <v>72</v>
      </c>
      <c r="F67">
        <f t="shared" ref="F67:F93" si="8">SUM(C67*5,D67*6,E67*7)</f>
        <v>1407</v>
      </c>
      <c r="G67">
        <f t="shared" si="4"/>
        <v>110266</v>
      </c>
    </row>
    <row r="68" spans="1:7" x14ac:dyDescent="0.25">
      <c r="A68" s="1">
        <v>44779</v>
      </c>
      <c r="B68">
        <v>21</v>
      </c>
      <c r="C68">
        <f t="shared" si="5"/>
        <v>107</v>
      </c>
      <c r="D68">
        <f t="shared" si="6"/>
        <v>72</v>
      </c>
      <c r="E68">
        <f t="shared" si="7"/>
        <v>79</v>
      </c>
      <c r="F68">
        <f t="shared" si="8"/>
        <v>1520</v>
      </c>
      <c r="G68">
        <f t="shared" si="4"/>
        <v>111786</v>
      </c>
    </row>
    <row r="69" spans="1:7" x14ac:dyDescent="0.25">
      <c r="A69" s="1">
        <v>44780</v>
      </c>
      <c r="B69">
        <v>23</v>
      </c>
      <c r="C69">
        <f t="shared" si="5"/>
        <v>115</v>
      </c>
      <c r="D69">
        <f t="shared" si="6"/>
        <v>77</v>
      </c>
      <c r="E69">
        <f t="shared" si="7"/>
        <v>86</v>
      </c>
      <c r="F69">
        <f t="shared" si="8"/>
        <v>1639</v>
      </c>
      <c r="G69">
        <f t="shared" ref="G69:G93" si="9">SUM(F69,G68)</f>
        <v>113425</v>
      </c>
    </row>
    <row r="70" spans="1:7" x14ac:dyDescent="0.25">
      <c r="A70" s="1">
        <v>44781</v>
      </c>
      <c r="B70">
        <v>27</v>
      </c>
      <c r="C70">
        <f t="shared" si="5"/>
        <v>132</v>
      </c>
      <c r="D70">
        <f t="shared" si="6"/>
        <v>87</v>
      </c>
      <c r="E70">
        <f t="shared" si="7"/>
        <v>100</v>
      </c>
      <c r="F70">
        <f t="shared" si="8"/>
        <v>1882</v>
      </c>
      <c r="G70">
        <f t="shared" si="9"/>
        <v>115307</v>
      </c>
    </row>
    <row r="71" spans="1:7" x14ac:dyDescent="0.25">
      <c r="A71" s="1">
        <v>44782</v>
      </c>
      <c r="B71">
        <v>20</v>
      </c>
      <c r="C71">
        <f t="shared" si="5"/>
        <v>103</v>
      </c>
      <c r="D71">
        <f t="shared" si="6"/>
        <v>70</v>
      </c>
      <c r="E71">
        <f t="shared" si="7"/>
        <v>76</v>
      </c>
      <c r="F71">
        <f t="shared" si="8"/>
        <v>1467</v>
      </c>
      <c r="G71">
        <f t="shared" si="9"/>
        <v>116774</v>
      </c>
    </row>
    <row r="72" spans="1:7" x14ac:dyDescent="0.25">
      <c r="A72" s="1">
        <v>44783</v>
      </c>
      <c r="B72">
        <v>18</v>
      </c>
      <c r="C72">
        <f t="shared" si="5"/>
        <v>95</v>
      </c>
      <c r="D72">
        <f t="shared" si="6"/>
        <v>65</v>
      </c>
      <c r="E72">
        <f t="shared" si="7"/>
        <v>69</v>
      </c>
      <c r="F72">
        <f t="shared" si="8"/>
        <v>1348</v>
      </c>
      <c r="G72">
        <f t="shared" si="9"/>
        <v>118122</v>
      </c>
    </row>
    <row r="73" spans="1:7" x14ac:dyDescent="0.25">
      <c r="A73" s="1">
        <v>44784</v>
      </c>
      <c r="B73">
        <v>17</v>
      </c>
      <c r="C73">
        <f t="shared" si="5"/>
        <v>91</v>
      </c>
      <c r="D73">
        <f t="shared" si="6"/>
        <v>63</v>
      </c>
      <c r="E73">
        <f t="shared" si="7"/>
        <v>65</v>
      </c>
      <c r="F73">
        <f t="shared" si="8"/>
        <v>1288</v>
      </c>
      <c r="G73">
        <f t="shared" si="9"/>
        <v>119410</v>
      </c>
    </row>
    <row r="74" spans="1:7" x14ac:dyDescent="0.25">
      <c r="A74" s="1">
        <v>44785</v>
      </c>
      <c r="B74">
        <v>19</v>
      </c>
      <c r="C74">
        <f t="shared" si="5"/>
        <v>99</v>
      </c>
      <c r="D74">
        <f t="shared" si="6"/>
        <v>68</v>
      </c>
      <c r="E74">
        <f t="shared" si="7"/>
        <v>72</v>
      </c>
      <c r="F74">
        <f t="shared" si="8"/>
        <v>1407</v>
      </c>
      <c r="G74">
        <f t="shared" si="9"/>
        <v>120817</v>
      </c>
    </row>
    <row r="75" spans="1:7" x14ac:dyDescent="0.25">
      <c r="A75" s="1">
        <v>44786</v>
      </c>
      <c r="B75">
        <v>26</v>
      </c>
      <c r="C75">
        <f t="shared" si="5"/>
        <v>128</v>
      </c>
      <c r="D75">
        <f t="shared" si="6"/>
        <v>84</v>
      </c>
      <c r="E75">
        <f t="shared" si="7"/>
        <v>96</v>
      </c>
      <c r="F75">
        <f t="shared" si="8"/>
        <v>1816</v>
      </c>
      <c r="G75">
        <f t="shared" si="9"/>
        <v>122633</v>
      </c>
    </row>
    <row r="76" spans="1:7" x14ac:dyDescent="0.25">
      <c r="A76" s="1">
        <v>44787</v>
      </c>
      <c r="B76">
        <v>21</v>
      </c>
      <c r="C76">
        <f t="shared" si="5"/>
        <v>107</v>
      </c>
      <c r="D76">
        <f t="shared" si="6"/>
        <v>72</v>
      </c>
      <c r="E76">
        <f t="shared" si="7"/>
        <v>79</v>
      </c>
      <c r="F76">
        <f t="shared" si="8"/>
        <v>1520</v>
      </c>
      <c r="G76">
        <f t="shared" si="9"/>
        <v>124153</v>
      </c>
    </row>
    <row r="77" spans="1:7" x14ac:dyDescent="0.25">
      <c r="A77" s="1">
        <v>44788</v>
      </c>
      <c r="B77">
        <v>19</v>
      </c>
      <c r="C77">
        <f t="shared" si="5"/>
        <v>99</v>
      </c>
      <c r="D77">
        <f t="shared" si="6"/>
        <v>68</v>
      </c>
      <c r="E77">
        <f t="shared" si="7"/>
        <v>72</v>
      </c>
      <c r="F77">
        <f t="shared" si="8"/>
        <v>1407</v>
      </c>
      <c r="G77">
        <f t="shared" si="9"/>
        <v>125560</v>
      </c>
    </row>
    <row r="78" spans="1:7" x14ac:dyDescent="0.25">
      <c r="A78" s="1">
        <v>44789</v>
      </c>
      <c r="B78">
        <v>19</v>
      </c>
      <c r="C78">
        <f t="shared" si="5"/>
        <v>99</v>
      </c>
      <c r="D78">
        <f t="shared" si="6"/>
        <v>68</v>
      </c>
      <c r="E78">
        <f t="shared" si="7"/>
        <v>72</v>
      </c>
      <c r="F78">
        <f t="shared" si="8"/>
        <v>1407</v>
      </c>
      <c r="G78">
        <f t="shared" si="9"/>
        <v>126967</v>
      </c>
    </row>
    <row r="79" spans="1:7" x14ac:dyDescent="0.25">
      <c r="A79" s="1">
        <v>44790</v>
      </c>
      <c r="B79">
        <v>21</v>
      </c>
      <c r="C79">
        <f t="shared" si="5"/>
        <v>107</v>
      </c>
      <c r="D79">
        <f t="shared" si="6"/>
        <v>72</v>
      </c>
      <c r="E79">
        <f t="shared" si="7"/>
        <v>79</v>
      </c>
      <c r="F79">
        <f t="shared" si="8"/>
        <v>1520</v>
      </c>
      <c r="G79">
        <f t="shared" si="9"/>
        <v>128487</v>
      </c>
    </row>
    <row r="80" spans="1:7" x14ac:dyDescent="0.25">
      <c r="A80" s="1">
        <v>44791</v>
      </c>
      <c r="B80">
        <v>21</v>
      </c>
      <c r="C80">
        <f t="shared" si="5"/>
        <v>107</v>
      </c>
      <c r="D80">
        <f t="shared" si="6"/>
        <v>72</v>
      </c>
      <c r="E80">
        <f t="shared" si="7"/>
        <v>79</v>
      </c>
      <c r="F80">
        <f t="shared" si="8"/>
        <v>1520</v>
      </c>
      <c r="G80">
        <f t="shared" si="9"/>
        <v>130007</v>
      </c>
    </row>
    <row r="81" spans="1:7" x14ac:dyDescent="0.25">
      <c r="A81" s="1">
        <v>44792</v>
      </c>
      <c r="B81">
        <v>24</v>
      </c>
      <c r="C81">
        <f t="shared" si="5"/>
        <v>120</v>
      </c>
      <c r="D81">
        <f t="shared" si="6"/>
        <v>80</v>
      </c>
      <c r="E81">
        <f t="shared" si="7"/>
        <v>90</v>
      </c>
      <c r="F81">
        <f t="shared" si="8"/>
        <v>1710</v>
      </c>
      <c r="G81">
        <f t="shared" si="9"/>
        <v>131717</v>
      </c>
    </row>
    <row r="82" spans="1:7" x14ac:dyDescent="0.25">
      <c r="A82" s="1">
        <v>44793</v>
      </c>
      <c r="B82">
        <v>26</v>
      </c>
      <c r="C82">
        <f t="shared" si="5"/>
        <v>128</v>
      </c>
      <c r="D82">
        <f t="shared" si="6"/>
        <v>84</v>
      </c>
      <c r="E82">
        <f t="shared" si="7"/>
        <v>96</v>
      </c>
      <c r="F82">
        <f t="shared" si="8"/>
        <v>1816</v>
      </c>
      <c r="G82">
        <f t="shared" si="9"/>
        <v>133533</v>
      </c>
    </row>
    <row r="83" spans="1:7" x14ac:dyDescent="0.25">
      <c r="A83" s="1">
        <v>44794</v>
      </c>
      <c r="B83">
        <v>23</v>
      </c>
      <c r="C83">
        <f t="shared" si="5"/>
        <v>115</v>
      </c>
      <c r="D83">
        <f t="shared" si="6"/>
        <v>77</v>
      </c>
      <c r="E83">
        <f t="shared" si="7"/>
        <v>86</v>
      </c>
      <c r="F83">
        <f t="shared" si="8"/>
        <v>1639</v>
      </c>
      <c r="G83">
        <f t="shared" si="9"/>
        <v>135172</v>
      </c>
    </row>
    <row r="84" spans="1:7" x14ac:dyDescent="0.25">
      <c r="A84" s="1">
        <v>44795</v>
      </c>
      <c r="B84">
        <v>23</v>
      </c>
      <c r="C84">
        <f t="shared" si="5"/>
        <v>115</v>
      </c>
      <c r="D84">
        <f t="shared" si="6"/>
        <v>77</v>
      </c>
      <c r="E84">
        <f t="shared" si="7"/>
        <v>86</v>
      </c>
      <c r="F84">
        <f t="shared" si="8"/>
        <v>1639</v>
      </c>
      <c r="G84">
        <f t="shared" si="9"/>
        <v>136811</v>
      </c>
    </row>
    <row r="85" spans="1:7" x14ac:dyDescent="0.25">
      <c r="A85" s="1">
        <v>44796</v>
      </c>
      <c r="B85">
        <v>24</v>
      </c>
      <c r="C85">
        <f t="shared" si="5"/>
        <v>120</v>
      </c>
      <c r="D85">
        <f t="shared" si="6"/>
        <v>80</v>
      </c>
      <c r="E85">
        <f t="shared" si="7"/>
        <v>90</v>
      </c>
      <c r="F85">
        <f t="shared" si="8"/>
        <v>1710</v>
      </c>
      <c r="G85">
        <f t="shared" si="9"/>
        <v>138521</v>
      </c>
    </row>
    <row r="86" spans="1:7" x14ac:dyDescent="0.25">
      <c r="A86" s="1">
        <v>44797</v>
      </c>
      <c r="B86">
        <v>26</v>
      </c>
      <c r="C86">
        <f t="shared" si="5"/>
        <v>128</v>
      </c>
      <c r="D86">
        <f t="shared" si="6"/>
        <v>84</v>
      </c>
      <c r="E86">
        <f t="shared" si="7"/>
        <v>96</v>
      </c>
      <c r="F86">
        <f t="shared" si="8"/>
        <v>1816</v>
      </c>
      <c r="G86">
        <f t="shared" si="9"/>
        <v>140337</v>
      </c>
    </row>
    <row r="87" spans="1:7" x14ac:dyDescent="0.25">
      <c r="A87" s="1">
        <v>44798</v>
      </c>
      <c r="B87">
        <v>28</v>
      </c>
      <c r="C87">
        <f t="shared" si="5"/>
        <v>136</v>
      </c>
      <c r="D87">
        <f t="shared" si="6"/>
        <v>89</v>
      </c>
      <c r="E87">
        <f t="shared" si="7"/>
        <v>103</v>
      </c>
      <c r="F87">
        <f t="shared" si="8"/>
        <v>1935</v>
      </c>
      <c r="G87">
        <f t="shared" si="9"/>
        <v>142272</v>
      </c>
    </row>
    <row r="88" spans="1:7" x14ac:dyDescent="0.25">
      <c r="A88" s="1">
        <v>44799</v>
      </c>
      <c r="B88">
        <v>32</v>
      </c>
      <c r="C88">
        <f t="shared" si="5"/>
        <v>153</v>
      </c>
      <c r="D88">
        <f t="shared" si="6"/>
        <v>98</v>
      </c>
      <c r="E88">
        <f t="shared" si="7"/>
        <v>117</v>
      </c>
      <c r="F88">
        <f t="shared" si="8"/>
        <v>2172</v>
      </c>
      <c r="G88">
        <f t="shared" si="9"/>
        <v>144444</v>
      </c>
    </row>
    <row r="89" spans="1:7" x14ac:dyDescent="0.25">
      <c r="A89" s="1">
        <v>44800</v>
      </c>
      <c r="B89">
        <v>26</v>
      </c>
      <c r="C89">
        <f t="shared" si="5"/>
        <v>128</v>
      </c>
      <c r="D89">
        <f t="shared" si="6"/>
        <v>84</v>
      </c>
      <c r="E89">
        <f t="shared" si="7"/>
        <v>96</v>
      </c>
      <c r="F89">
        <f t="shared" si="8"/>
        <v>1816</v>
      </c>
      <c r="G89">
        <f t="shared" si="9"/>
        <v>146260</v>
      </c>
    </row>
    <row r="90" spans="1:7" x14ac:dyDescent="0.25">
      <c r="A90" s="1">
        <v>44801</v>
      </c>
      <c r="B90">
        <v>32</v>
      </c>
      <c r="C90">
        <f t="shared" si="5"/>
        <v>153</v>
      </c>
      <c r="D90">
        <f t="shared" si="6"/>
        <v>98</v>
      </c>
      <c r="E90">
        <f t="shared" si="7"/>
        <v>117</v>
      </c>
      <c r="F90">
        <f t="shared" si="8"/>
        <v>2172</v>
      </c>
      <c r="G90">
        <f t="shared" si="9"/>
        <v>148432</v>
      </c>
    </row>
    <row r="91" spans="1:7" x14ac:dyDescent="0.25">
      <c r="A91" s="1">
        <v>44802</v>
      </c>
      <c r="B91">
        <v>23</v>
      </c>
      <c r="C91">
        <f t="shared" si="5"/>
        <v>115</v>
      </c>
      <c r="D91">
        <f t="shared" si="6"/>
        <v>77</v>
      </c>
      <c r="E91">
        <f t="shared" si="7"/>
        <v>86</v>
      </c>
      <c r="F91">
        <f t="shared" si="8"/>
        <v>1639</v>
      </c>
      <c r="G91">
        <f t="shared" si="9"/>
        <v>150071</v>
      </c>
    </row>
    <row r="92" spans="1:7" x14ac:dyDescent="0.25">
      <c r="A92" s="1">
        <v>44803</v>
      </c>
      <c r="B92">
        <v>22</v>
      </c>
      <c r="C92">
        <f t="shared" si="5"/>
        <v>111</v>
      </c>
      <c r="D92">
        <f t="shared" si="6"/>
        <v>75</v>
      </c>
      <c r="E92">
        <f t="shared" si="7"/>
        <v>83</v>
      </c>
      <c r="F92">
        <f t="shared" si="8"/>
        <v>1586</v>
      </c>
      <c r="G92">
        <f t="shared" si="9"/>
        <v>151657</v>
      </c>
    </row>
    <row r="93" spans="1:7" x14ac:dyDescent="0.25">
      <c r="A93" s="1">
        <v>44804</v>
      </c>
      <c r="B93">
        <v>25</v>
      </c>
      <c r="C93">
        <f t="shared" si="5"/>
        <v>124</v>
      </c>
      <c r="D93">
        <f t="shared" si="6"/>
        <v>82</v>
      </c>
      <c r="E93">
        <f t="shared" si="7"/>
        <v>93</v>
      </c>
      <c r="F93">
        <f t="shared" si="8"/>
        <v>1763</v>
      </c>
      <c r="G93">
        <f t="shared" si="9"/>
        <v>153420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3B2D-0B5B-46AA-B4B7-7F23B8659357}">
  <dimension ref="A1:K133"/>
  <sheetViews>
    <sheetView tabSelected="1" topLeftCell="A79" zoomScale="130" zoomScaleNormal="130" workbookViewId="0">
      <selection activeCell="I83" sqref="I83"/>
    </sheetView>
  </sheetViews>
  <sheetFormatPr defaultRowHeight="15" x14ac:dyDescent="0.25"/>
  <cols>
    <col min="1" max="1" width="15.7109375" customWidth="1"/>
    <col min="2" max="2" width="11.140625" customWidth="1"/>
    <col min="3" max="3" width="13.140625" customWidth="1"/>
    <col min="4" max="4" width="11.7109375" customWidth="1"/>
    <col min="6" max="6" width="14.5703125" customWidth="1"/>
    <col min="7" max="7" width="34.7109375" customWidth="1"/>
    <col min="8" max="8" width="17.85546875" bestFit="1" customWidth="1"/>
    <col min="9" max="9" width="20" customWidth="1"/>
    <col min="10" max="10" width="18.7109375" bestFit="1" customWidth="1"/>
    <col min="11" max="11" width="19.28515625" bestFit="1" customWidth="1"/>
  </cols>
  <sheetData>
    <row r="1" spans="1:1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21</v>
      </c>
    </row>
    <row r="2" spans="1:11" x14ac:dyDescent="0.25">
      <c r="A2" s="1">
        <v>44713</v>
      </c>
      <c r="B2">
        <v>24</v>
      </c>
      <c r="C2">
        <f>ROUNDDOWN(120*(1+(2/29)*((B2-24)/2)), 0)</f>
        <v>120</v>
      </c>
      <c r="D2">
        <f>ROUNDDOWN(80*(1+(1/17)*((B2-24)/2)), 0)</f>
        <v>80</v>
      </c>
      <c r="E2">
        <f>ROUNDDOWN(90*(1+(1/13)*((B2-24)/2)), 0)</f>
        <v>90</v>
      </c>
      <c r="F2">
        <f>SUM(C2*5,D2*6,E2*7)</f>
        <v>1710</v>
      </c>
    </row>
    <row r="3" spans="1:11" x14ac:dyDescent="0.25">
      <c r="A3" s="1">
        <v>44714</v>
      </c>
      <c r="B3">
        <v>25</v>
      </c>
      <c r="C3">
        <f t="shared" ref="C3:C66" si="0">ROUNDDOWN(120*(1+(2/29)*((B3-24)/2)), 0)</f>
        <v>124</v>
      </c>
      <c r="D3">
        <f t="shared" ref="D3:D66" si="1">ROUNDDOWN(80*(1+(1/17)*((B3-24)/2)), 0)</f>
        <v>82</v>
      </c>
      <c r="E3">
        <f t="shared" ref="E3:E66" si="2">ROUNDDOWN(90*(1+(1/13)*((B3-24)/2)), 0)</f>
        <v>93</v>
      </c>
      <c r="F3">
        <f t="shared" ref="F3:F66" si="3">SUM(C3*5,D3*6,E3*7)</f>
        <v>1763</v>
      </c>
    </row>
    <row r="4" spans="1:11" x14ac:dyDescent="0.25">
      <c r="A4" s="1">
        <v>44715</v>
      </c>
      <c r="B4">
        <v>27</v>
      </c>
      <c r="C4">
        <f t="shared" si="0"/>
        <v>132</v>
      </c>
      <c r="D4">
        <f t="shared" si="1"/>
        <v>87</v>
      </c>
      <c r="E4">
        <f t="shared" si="2"/>
        <v>100</v>
      </c>
      <c r="F4">
        <f t="shared" si="3"/>
        <v>1882</v>
      </c>
    </row>
    <row r="5" spans="1:11" x14ac:dyDescent="0.25">
      <c r="A5" s="1">
        <v>44716</v>
      </c>
      <c r="B5">
        <v>27</v>
      </c>
      <c r="C5">
        <f t="shared" si="0"/>
        <v>132</v>
      </c>
      <c r="D5">
        <f t="shared" si="1"/>
        <v>87</v>
      </c>
      <c r="E5">
        <f t="shared" si="2"/>
        <v>100</v>
      </c>
      <c r="F5">
        <f t="shared" si="3"/>
        <v>1882</v>
      </c>
    </row>
    <row r="6" spans="1:11" x14ac:dyDescent="0.25">
      <c r="A6" s="1">
        <v>44717</v>
      </c>
      <c r="B6">
        <v>27</v>
      </c>
      <c r="C6">
        <f t="shared" si="0"/>
        <v>132</v>
      </c>
      <c r="D6">
        <f t="shared" si="1"/>
        <v>87</v>
      </c>
      <c r="E6">
        <f t="shared" si="2"/>
        <v>100</v>
      </c>
      <c r="F6">
        <f t="shared" si="3"/>
        <v>1882</v>
      </c>
    </row>
    <row r="7" spans="1:11" x14ac:dyDescent="0.25">
      <c r="A7" s="1">
        <v>44718</v>
      </c>
      <c r="B7">
        <v>22</v>
      </c>
      <c r="C7">
        <f t="shared" si="0"/>
        <v>111</v>
      </c>
      <c r="D7">
        <f t="shared" si="1"/>
        <v>75</v>
      </c>
      <c r="E7">
        <f t="shared" si="2"/>
        <v>83</v>
      </c>
      <c r="F7">
        <f t="shared" si="3"/>
        <v>1586</v>
      </c>
    </row>
    <row r="8" spans="1:11" x14ac:dyDescent="0.25">
      <c r="A8" s="1">
        <v>44719</v>
      </c>
      <c r="B8">
        <v>25</v>
      </c>
      <c r="C8">
        <f t="shared" si="0"/>
        <v>124</v>
      </c>
      <c r="D8">
        <f t="shared" si="1"/>
        <v>82</v>
      </c>
      <c r="E8">
        <f t="shared" si="2"/>
        <v>93</v>
      </c>
      <c r="F8">
        <f t="shared" si="3"/>
        <v>1763</v>
      </c>
    </row>
    <row r="9" spans="1:11" x14ac:dyDescent="0.25">
      <c r="A9" s="1">
        <v>44720</v>
      </c>
      <c r="B9">
        <v>25</v>
      </c>
      <c r="C9">
        <f t="shared" si="0"/>
        <v>124</v>
      </c>
      <c r="D9">
        <f t="shared" si="1"/>
        <v>82</v>
      </c>
      <c r="E9">
        <f t="shared" si="2"/>
        <v>93</v>
      </c>
      <c r="F9">
        <f t="shared" si="3"/>
        <v>1763</v>
      </c>
    </row>
    <row r="10" spans="1:11" x14ac:dyDescent="0.25">
      <c r="A10" s="1">
        <v>44721</v>
      </c>
      <c r="B10">
        <v>21</v>
      </c>
      <c r="C10">
        <f t="shared" si="0"/>
        <v>107</v>
      </c>
      <c r="D10">
        <f t="shared" si="1"/>
        <v>72</v>
      </c>
      <c r="E10">
        <f t="shared" si="2"/>
        <v>79</v>
      </c>
      <c r="F10">
        <f t="shared" si="3"/>
        <v>1520</v>
      </c>
      <c r="H10" s="3"/>
      <c r="I10" s="4"/>
      <c r="J10" s="4"/>
      <c r="K10" s="4"/>
    </row>
    <row r="11" spans="1:11" x14ac:dyDescent="0.25">
      <c r="A11" s="1">
        <v>44722</v>
      </c>
      <c r="B11">
        <v>21</v>
      </c>
      <c r="C11">
        <f t="shared" si="0"/>
        <v>107</v>
      </c>
      <c r="D11">
        <f t="shared" si="1"/>
        <v>72</v>
      </c>
      <c r="E11">
        <f t="shared" si="2"/>
        <v>79</v>
      </c>
      <c r="F11">
        <f t="shared" si="3"/>
        <v>1520</v>
      </c>
      <c r="H11" s="3"/>
      <c r="I11" s="4"/>
      <c r="J11" s="4"/>
      <c r="K11" s="4"/>
    </row>
    <row r="12" spans="1:11" x14ac:dyDescent="0.25">
      <c r="A12" s="1">
        <v>44723</v>
      </c>
      <c r="B12">
        <v>19</v>
      </c>
      <c r="C12">
        <f t="shared" si="0"/>
        <v>99</v>
      </c>
      <c r="D12">
        <f t="shared" si="1"/>
        <v>68</v>
      </c>
      <c r="E12">
        <f t="shared" si="2"/>
        <v>72</v>
      </c>
      <c r="F12">
        <f t="shared" si="3"/>
        <v>1407</v>
      </c>
      <c r="H12" s="3"/>
      <c r="I12" s="4"/>
      <c r="J12" s="4"/>
      <c r="K12" s="4"/>
    </row>
    <row r="13" spans="1:11" x14ac:dyDescent="0.25">
      <c r="A13" s="1">
        <v>44724</v>
      </c>
      <c r="B13">
        <v>19</v>
      </c>
      <c r="C13">
        <f t="shared" si="0"/>
        <v>99</v>
      </c>
      <c r="D13">
        <f t="shared" si="1"/>
        <v>68</v>
      </c>
      <c r="E13">
        <f t="shared" si="2"/>
        <v>72</v>
      </c>
      <c r="F13">
        <f t="shared" si="3"/>
        <v>1407</v>
      </c>
    </row>
    <row r="14" spans="1:11" x14ac:dyDescent="0.25">
      <c r="A14" s="1">
        <v>44725</v>
      </c>
      <c r="B14">
        <v>15</v>
      </c>
      <c r="C14">
        <f t="shared" si="0"/>
        <v>82</v>
      </c>
      <c r="D14">
        <f t="shared" si="1"/>
        <v>58</v>
      </c>
      <c r="E14">
        <f t="shared" si="2"/>
        <v>58</v>
      </c>
      <c r="F14">
        <f t="shared" si="3"/>
        <v>1164</v>
      </c>
    </row>
    <row r="15" spans="1:11" x14ac:dyDescent="0.25">
      <c r="A15" s="1">
        <v>44726</v>
      </c>
      <c r="B15">
        <v>21</v>
      </c>
      <c r="C15">
        <f t="shared" si="0"/>
        <v>107</v>
      </c>
      <c r="D15">
        <f t="shared" si="1"/>
        <v>72</v>
      </c>
      <c r="E15">
        <f t="shared" si="2"/>
        <v>79</v>
      </c>
      <c r="F15">
        <f t="shared" si="3"/>
        <v>1520</v>
      </c>
    </row>
    <row r="16" spans="1:11" x14ac:dyDescent="0.25">
      <c r="A16" s="1">
        <v>44727</v>
      </c>
      <c r="B16">
        <v>23</v>
      </c>
      <c r="C16">
        <f t="shared" si="0"/>
        <v>115</v>
      </c>
      <c r="D16">
        <f t="shared" si="1"/>
        <v>77</v>
      </c>
      <c r="E16">
        <f t="shared" si="2"/>
        <v>86</v>
      </c>
      <c r="F16">
        <f t="shared" si="3"/>
        <v>1639</v>
      </c>
    </row>
    <row r="17" spans="1:7" x14ac:dyDescent="0.25">
      <c r="A17" s="1">
        <v>44728</v>
      </c>
      <c r="B17">
        <v>23</v>
      </c>
      <c r="C17">
        <f t="shared" si="0"/>
        <v>115</v>
      </c>
      <c r="D17">
        <f t="shared" si="1"/>
        <v>77</v>
      </c>
      <c r="E17">
        <f t="shared" si="2"/>
        <v>86</v>
      </c>
      <c r="F17">
        <f t="shared" si="3"/>
        <v>1639</v>
      </c>
    </row>
    <row r="18" spans="1:7" x14ac:dyDescent="0.25">
      <c r="A18" s="1">
        <v>44729</v>
      </c>
      <c r="B18">
        <v>16</v>
      </c>
      <c r="C18">
        <f t="shared" si="0"/>
        <v>86</v>
      </c>
      <c r="D18">
        <f t="shared" si="1"/>
        <v>61</v>
      </c>
      <c r="E18">
        <f t="shared" si="2"/>
        <v>62</v>
      </c>
      <c r="F18">
        <f t="shared" si="3"/>
        <v>1230</v>
      </c>
    </row>
    <row r="19" spans="1:7" x14ac:dyDescent="0.25">
      <c r="A19" s="1">
        <v>44730</v>
      </c>
      <c r="B19">
        <v>21</v>
      </c>
      <c r="C19">
        <f t="shared" si="0"/>
        <v>107</v>
      </c>
      <c r="D19">
        <f t="shared" si="1"/>
        <v>72</v>
      </c>
      <c r="E19">
        <f t="shared" si="2"/>
        <v>79</v>
      </c>
      <c r="F19">
        <f t="shared" si="3"/>
        <v>1520</v>
      </c>
    </row>
    <row r="20" spans="1:7" x14ac:dyDescent="0.25">
      <c r="A20" s="1">
        <v>44731</v>
      </c>
      <c r="B20">
        <v>22</v>
      </c>
      <c r="C20">
        <f t="shared" si="0"/>
        <v>111</v>
      </c>
      <c r="D20">
        <f t="shared" si="1"/>
        <v>75</v>
      </c>
      <c r="E20">
        <f t="shared" si="2"/>
        <v>83</v>
      </c>
      <c r="F20">
        <f t="shared" si="3"/>
        <v>1586</v>
      </c>
    </row>
    <row r="21" spans="1:7" x14ac:dyDescent="0.25">
      <c r="A21" s="1">
        <v>44732</v>
      </c>
      <c r="B21">
        <v>22</v>
      </c>
      <c r="C21">
        <f t="shared" si="0"/>
        <v>111</v>
      </c>
      <c r="D21">
        <f t="shared" si="1"/>
        <v>75</v>
      </c>
      <c r="E21">
        <f t="shared" si="2"/>
        <v>83</v>
      </c>
      <c r="F21">
        <f t="shared" si="3"/>
        <v>1586</v>
      </c>
    </row>
    <row r="22" spans="1:7" x14ac:dyDescent="0.25">
      <c r="A22" s="1">
        <v>44733</v>
      </c>
      <c r="B22">
        <v>22</v>
      </c>
      <c r="C22">
        <f t="shared" si="0"/>
        <v>111</v>
      </c>
      <c r="D22">
        <f t="shared" si="1"/>
        <v>75</v>
      </c>
      <c r="E22">
        <f t="shared" si="2"/>
        <v>83</v>
      </c>
      <c r="F22">
        <f t="shared" si="3"/>
        <v>1586</v>
      </c>
    </row>
    <row r="23" spans="1:7" x14ac:dyDescent="0.25">
      <c r="A23" s="1">
        <v>44734</v>
      </c>
      <c r="B23">
        <v>28</v>
      </c>
      <c r="C23">
        <f t="shared" si="0"/>
        <v>136</v>
      </c>
      <c r="D23">
        <f t="shared" si="1"/>
        <v>89</v>
      </c>
      <c r="E23">
        <f t="shared" si="2"/>
        <v>103</v>
      </c>
      <c r="F23">
        <f t="shared" si="3"/>
        <v>1935</v>
      </c>
    </row>
    <row r="24" spans="1:7" x14ac:dyDescent="0.25">
      <c r="A24" s="1">
        <v>44735</v>
      </c>
      <c r="B24">
        <v>31</v>
      </c>
      <c r="C24">
        <f t="shared" si="0"/>
        <v>148</v>
      </c>
      <c r="D24">
        <f t="shared" si="1"/>
        <v>96</v>
      </c>
      <c r="E24">
        <f t="shared" si="2"/>
        <v>114</v>
      </c>
      <c r="F24">
        <f t="shared" si="3"/>
        <v>2114</v>
      </c>
    </row>
    <row r="25" spans="1:7" x14ac:dyDescent="0.25">
      <c r="A25" s="1">
        <v>44736</v>
      </c>
      <c r="B25">
        <v>33</v>
      </c>
      <c r="C25">
        <f t="shared" si="0"/>
        <v>157</v>
      </c>
      <c r="D25">
        <f t="shared" si="1"/>
        <v>101</v>
      </c>
      <c r="E25">
        <f t="shared" si="2"/>
        <v>121</v>
      </c>
      <c r="F25">
        <f t="shared" si="3"/>
        <v>2238</v>
      </c>
    </row>
    <row r="26" spans="1:7" x14ac:dyDescent="0.25">
      <c r="A26" s="1">
        <v>44737</v>
      </c>
      <c r="B26">
        <v>33</v>
      </c>
      <c r="C26">
        <f t="shared" si="0"/>
        <v>157</v>
      </c>
      <c r="D26">
        <f t="shared" si="1"/>
        <v>101</v>
      </c>
      <c r="E26">
        <f t="shared" si="2"/>
        <v>121</v>
      </c>
      <c r="F26">
        <f t="shared" si="3"/>
        <v>2238</v>
      </c>
    </row>
    <row r="27" spans="1:7" x14ac:dyDescent="0.25">
      <c r="A27" s="1">
        <v>44738</v>
      </c>
      <c r="B27">
        <v>23</v>
      </c>
      <c r="C27">
        <f t="shared" si="0"/>
        <v>115</v>
      </c>
      <c r="D27">
        <f t="shared" si="1"/>
        <v>77</v>
      </c>
      <c r="E27">
        <f t="shared" si="2"/>
        <v>86</v>
      </c>
      <c r="F27">
        <f t="shared" si="3"/>
        <v>1639</v>
      </c>
    </row>
    <row r="28" spans="1:7" x14ac:dyDescent="0.25">
      <c r="A28" s="5">
        <v>44739</v>
      </c>
      <c r="B28" s="6">
        <v>23</v>
      </c>
      <c r="C28" s="6">
        <f t="shared" si="0"/>
        <v>115</v>
      </c>
      <c r="D28" s="6">
        <f t="shared" si="1"/>
        <v>77</v>
      </c>
      <c r="E28" s="6">
        <f t="shared" si="2"/>
        <v>86</v>
      </c>
      <c r="F28" s="6">
        <f t="shared" si="3"/>
        <v>1639</v>
      </c>
      <c r="G28" s="6"/>
    </row>
    <row r="29" spans="1:7" x14ac:dyDescent="0.25">
      <c r="A29" s="1">
        <v>44740</v>
      </c>
      <c r="B29">
        <v>19</v>
      </c>
      <c r="C29">
        <f t="shared" si="0"/>
        <v>99</v>
      </c>
      <c r="D29">
        <f t="shared" si="1"/>
        <v>68</v>
      </c>
      <c r="E29">
        <f t="shared" si="2"/>
        <v>72</v>
      </c>
      <c r="F29">
        <f t="shared" si="3"/>
        <v>1407</v>
      </c>
    </row>
    <row r="30" spans="1:7" x14ac:dyDescent="0.25">
      <c r="A30" s="1">
        <v>44741</v>
      </c>
      <c r="B30">
        <v>24</v>
      </c>
      <c r="C30">
        <f t="shared" si="0"/>
        <v>120</v>
      </c>
      <c r="D30">
        <f t="shared" si="1"/>
        <v>80</v>
      </c>
      <c r="E30">
        <f t="shared" si="2"/>
        <v>90</v>
      </c>
      <c r="F30">
        <f t="shared" si="3"/>
        <v>1710</v>
      </c>
    </row>
    <row r="31" spans="1:7" x14ac:dyDescent="0.25">
      <c r="A31" s="1">
        <v>44742</v>
      </c>
      <c r="B31">
        <v>25</v>
      </c>
      <c r="C31">
        <f t="shared" si="0"/>
        <v>124</v>
      </c>
      <c r="D31">
        <f t="shared" si="1"/>
        <v>82</v>
      </c>
      <c r="E31">
        <f t="shared" si="2"/>
        <v>93</v>
      </c>
      <c r="F31">
        <f t="shared" si="3"/>
        <v>1763</v>
      </c>
    </row>
    <row r="32" spans="1:7" x14ac:dyDescent="0.25">
      <c r="A32" s="1">
        <v>44743</v>
      </c>
      <c r="B32">
        <v>27</v>
      </c>
      <c r="C32">
        <f t="shared" si="0"/>
        <v>132</v>
      </c>
      <c r="D32">
        <f t="shared" si="1"/>
        <v>87</v>
      </c>
      <c r="E32">
        <f t="shared" si="2"/>
        <v>100</v>
      </c>
      <c r="F32">
        <f t="shared" si="3"/>
        <v>1882</v>
      </c>
    </row>
    <row r="33" spans="1:6" x14ac:dyDescent="0.25">
      <c r="A33" s="1">
        <v>44744</v>
      </c>
      <c r="B33">
        <v>27</v>
      </c>
      <c r="C33">
        <f t="shared" si="0"/>
        <v>132</v>
      </c>
      <c r="D33">
        <f t="shared" si="1"/>
        <v>87</v>
      </c>
      <c r="E33">
        <f t="shared" si="2"/>
        <v>100</v>
      </c>
      <c r="F33">
        <f t="shared" si="3"/>
        <v>1882</v>
      </c>
    </row>
    <row r="34" spans="1:6" x14ac:dyDescent="0.25">
      <c r="A34" s="1">
        <v>44745</v>
      </c>
      <c r="B34">
        <v>21</v>
      </c>
      <c r="C34">
        <f t="shared" si="0"/>
        <v>107</v>
      </c>
      <c r="D34">
        <f t="shared" si="1"/>
        <v>72</v>
      </c>
      <c r="E34">
        <f t="shared" si="2"/>
        <v>79</v>
      </c>
      <c r="F34">
        <f t="shared" si="3"/>
        <v>1520</v>
      </c>
    </row>
    <row r="35" spans="1:6" x14ac:dyDescent="0.25">
      <c r="A35" s="1">
        <v>44746</v>
      </c>
      <c r="B35">
        <v>21</v>
      </c>
      <c r="C35">
        <f t="shared" si="0"/>
        <v>107</v>
      </c>
      <c r="D35">
        <f t="shared" si="1"/>
        <v>72</v>
      </c>
      <c r="E35">
        <f t="shared" si="2"/>
        <v>79</v>
      </c>
      <c r="F35">
        <f t="shared" si="3"/>
        <v>1520</v>
      </c>
    </row>
    <row r="36" spans="1:6" x14ac:dyDescent="0.25">
      <c r="A36" s="1">
        <v>44747</v>
      </c>
      <c r="B36">
        <v>25</v>
      </c>
      <c r="C36">
        <f t="shared" si="0"/>
        <v>124</v>
      </c>
      <c r="D36">
        <f t="shared" si="1"/>
        <v>82</v>
      </c>
      <c r="E36">
        <f t="shared" si="2"/>
        <v>93</v>
      </c>
      <c r="F36">
        <f t="shared" si="3"/>
        <v>1763</v>
      </c>
    </row>
    <row r="37" spans="1:6" x14ac:dyDescent="0.25">
      <c r="A37" s="1">
        <v>44748</v>
      </c>
      <c r="B37">
        <v>19</v>
      </c>
      <c r="C37">
        <f t="shared" si="0"/>
        <v>99</v>
      </c>
      <c r="D37">
        <f t="shared" si="1"/>
        <v>68</v>
      </c>
      <c r="E37">
        <f t="shared" si="2"/>
        <v>72</v>
      </c>
      <c r="F37">
        <f t="shared" si="3"/>
        <v>1407</v>
      </c>
    </row>
    <row r="38" spans="1:6" x14ac:dyDescent="0.25">
      <c r="A38" s="1">
        <v>44749</v>
      </c>
      <c r="B38">
        <v>21</v>
      </c>
      <c r="C38">
        <f t="shared" si="0"/>
        <v>107</v>
      </c>
      <c r="D38">
        <f t="shared" si="1"/>
        <v>72</v>
      </c>
      <c r="E38">
        <f t="shared" si="2"/>
        <v>79</v>
      </c>
      <c r="F38">
        <f t="shared" si="3"/>
        <v>1520</v>
      </c>
    </row>
    <row r="39" spans="1:6" x14ac:dyDescent="0.25">
      <c r="A39" s="1">
        <v>44750</v>
      </c>
      <c r="B39">
        <v>24</v>
      </c>
      <c r="C39">
        <f t="shared" si="0"/>
        <v>120</v>
      </c>
      <c r="D39">
        <f t="shared" si="1"/>
        <v>80</v>
      </c>
      <c r="E39">
        <f t="shared" si="2"/>
        <v>90</v>
      </c>
      <c r="F39">
        <f t="shared" si="3"/>
        <v>1710</v>
      </c>
    </row>
    <row r="40" spans="1:6" x14ac:dyDescent="0.25">
      <c r="A40" s="1">
        <v>44751</v>
      </c>
      <c r="B40">
        <v>19</v>
      </c>
      <c r="C40">
        <f t="shared" si="0"/>
        <v>99</v>
      </c>
      <c r="D40">
        <f t="shared" si="1"/>
        <v>68</v>
      </c>
      <c r="E40">
        <f t="shared" si="2"/>
        <v>72</v>
      </c>
      <c r="F40">
        <f t="shared" si="3"/>
        <v>1407</v>
      </c>
    </row>
    <row r="41" spans="1:6" x14ac:dyDescent="0.25">
      <c r="A41" s="1">
        <v>44752</v>
      </c>
      <c r="B41">
        <v>28</v>
      </c>
      <c r="C41">
        <f t="shared" si="0"/>
        <v>136</v>
      </c>
      <c r="D41">
        <f t="shared" si="1"/>
        <v>89</v>
      </c>
      <c r="E41">
        <f t="shared" si="2"/>
        <v>103</v>
      </c>
      <c r="F41">
        <f t="shared" si="3"/>
        <v>1935</v>
      </c>
    </row>
    <row r="42" spans="1:6" x14ac:dyDescent="0.25">
      <c r="A42" s="1">
        <v>44753</v>
      </c>
      <c r="B42">
        <v>27</v>
      </c>
      <c r="C42">
        <f t="shared" si="0"/>
        <v>132</v>
      </c>
      <c r="D42">
        <f t="shared" si="1"/>
        <v>87</v>
      </c>
      <c r="E42">
        <f t="shared" si="2"/>
        <v>100</v>
      </c>
      <c r="F42">
        <f t="shared" si="3"/>
        <v>1882</v>
      </c>
    </row>
    <row r="43" spans="1:6" x14ac:dyDescent="0.25">
      <c r="A43" s="1">
        <v>44754</v>
      </c>
      <c r="B43">
        <v>24</v>
      </c>
      <c r="C43">
        <f t="shared" si="0"/>
        <v>120</v>
      </c>
      <c r="D43">
        <f t="shared" si="1"/>
        <v>80</v>
      </c>
      <c r="E43">
        <f t="shared" si="2"/>
        <v>90</v>
      </c>
      <c r="F43">
        <f t="shared" si="3"/>
        <v>1710</v>
      </c>
    </row>
    <row r="44" spans="1:6" x14ac:dyDescent="0.25">
      <c r="A44" s="1">
        <v>44755</v>
      </c>
      <c r="B44">
        <v>22</v>
      </c>
      <c r="C44">
        <f t="shared" si="0"/>
        <v>111</v>
      </c>
      <c r="D44">
        <f t="shared" si="1"/>
        <v>75</v>
      </c>
      <c r="E44">
        <f t="shared" si="2"/>
        <v>83</v>
      </c>
      <c r="F44">
        <f t="shared" si="3"/>
        <v>1586</v>
      </c>
    </row>
    <row r="45" spans="1:6" x14ac:dyDescent="0.25">
      <c r="A45" s="1">
        <v>44756</v>
      </c>
      <c r="B45">
        <v>17</v>
      </c>
      <c r="C45">
        <f t="shared" si="0"/>
        <v>91</v>
      </c>
      <c r="D45">
        <f t="shared" si="1"/>
        <v>63</v>
      </c>
      <c r="E45">
        <f t="shared" si="2"/>
        <v>65</v>
      </c>
      <c r="F45">
        <f t="shared" si="3"/>
        <v>1288</v>
      </c>
    </row>
    <row r="46" spans="1:6" x14ac:dyDescent="0.25">
      <c r="A46" s="1">
        <v>44757</v>
      </c>
      <c r="B46">
        <v>18</v>
      </c>
      <c r="C46">
        <f t="shared" si="0"/>
        <v>95</v>
      </c>
      <c r="D46">
        <f t="shared" si="1"/>
        <v>65</v>
      </c>
      <c r="E46">
        <f t="shared" si="2"/>
        <v>69</v>
      </c>
      <c r="F46">
        <f t="shared" si="3"/>
        <v>1348</v>
      </c>
    </row>
    <row r="47" spans="1:6" x14ac:dyDescent="0.25">
      <c r="A47" s="1">
        <v>44758</v>
      </c>
      <c r="B47">
        <v>23</v>
      </c>
      <c r="C47">
        <f t="shared" si="0"/>
        <v>115</v>
      </c>
      <c r="D47">
        <f t="shared" si="1"/>
        <v>77</v>
      </c>
      <c r="E47">
        <f t="shared" si="2"/>
        <v>86</v>
      </c>
      <c r="F47">
        <f t="shared" si="3"/>
        <v>1639</v>
      </c>
    </row>
    <row r="48" spans="1:6" x14ac:dyDescent="0.25">
      <c r="A48" s="1">
        <v>44759</v>
      </c>
      <c r="B48">
        <v>23</v>
      </c>
      <c r="C48">
        <f t="shared" si="0"/>
        <v>115</v>
      </c>
      <c r="D48">
        <f t="shared" si="1"/>
        <v>77</v>
      </c>
      <c r="E48">
        <f t="shared" si="2"/>
        <v>86</v>
      </c>
      <c r="F48">
        <f t="shared" si="3"/>
        <v>1639</v>
      </c>
    </row>
    <row r="49" spans="1:6" x14ac:dyDescent="0.25">
      <c r="A49" s="1">
        <v>44760</v>
      </c>
      <c r="B49">
        <v>19</v>
      </c>
      <c r="C49">
        <f t="shared" si="0"/>
        <v>99</v>
      </c>
      <c r="D49">
        <f t="shared" si="1"/>
        <v>68</v>
      </c>
      <c r="E49">
        <f t="shared" si="2"/>
        <v>72</v>
      </c>
      <c r="F49">
        <f t="shared" si="3"/>
        <v>1407</v>
      </c>
    </row>
    <row r="50" spans="1:6" x14ac:dyDescent="0.25">
      <c r="A50" s="1">
        <v>44761</v>
      </c>
      <c r="B50">
        <v>21</v>
      </c>
      <c r="C50">
        <f t="shared" si="0"/>
        <v>107</v>
      </c>
      <c r="D50">
        <f t="shared" si="1"/>
        <v>72</v>
      </c>
      <c r="E50">
        <f t="shared" si="2"/>
        <v>79</v>
      </c>
      <c r="F50">
        <f t="shared" si="3"/>
        <v>1520</v>
      </c>
    </row>
    <row r="51" spans="1:6" x14ac:dyDescent="0.25">
      <c r="A51" s="1">
        <v>44762</v>
      </c>
      <c r="B51">
        <v>25</v>
      </c>
      <c r="C51">
        <f t="shared" si="0"/>
        <v>124</v>
      </c>
      <c r="D51">
        <f t="shared" si="1"/>
        <v>82</v>
      </c>
      <c r="E51">
        <f t="shared" si="2"/>
        <v>93</v>
      </c>
      <c r="F51">
        <f t="shared" si="3"/>
        <v>1763</v>
      </c>
    </row>
    <row r="52" spans="1:6" x14ac:dyDescent="0.25">
      <c r="A52" s="1">
        <v>44763</v>
      </c>
      <c r="B52">
        <v>28</v>
      </c>
      <c r="C52">
        <f t="shared" si="0"/>
        <v>136</v>
      </c>
      <c r="D52">
        <f t="shared" si="1"/>
        <v>89</v>
      </c>
      <c r="E52">
        <f t="shared" si="2"/>
        <v>103</v>
      </c>
      <c r="F52">
        <f t="shared" si="3"/>
        <v>1935</v>
      </c>
    </row>
    <row r="53" spans="1:6" x14ac:dyDescent="0.25">
      <c r="A53" s="1">
        <v>44764</v>
      </c>
      <c r="B53">
        <v>27</v>
      </c>
      <c r="C53">
        <f t="shared" si="0"/>
        <v>132</v>
      </c>
      <c r="D53">
        <f t="shared" si="1"/>
        <v>87</v>
      </c>
      <c r="E53">
        <f t="shared" si="2"/>
        <v>100</v>
      </c>
      <c r="F53">
        <f t="shared" si="3"/>
        <v>1882</v>
      </c>
    </row>
    <row r="54" spans="1:6" x14ac:dyDescent="0.25">
      <c r="A54" s="1">
        <v>44765</v>
      </c>
      <c r="B54">
        <v>23</v>
      </c>
      <c r="C54">
        <f t="shared" si="0"/>
        <v>115</v>
      </c>
      <c r="D54">
        <f t="shared" si="1"/>
        <v>77</v>
      </c>
      <c r="E54">
        <f t="shared" si="2"/>
        <v>86</v>
      </c>
      <c r="F54">
        <f t="shared" si="3"/>
        <v>1639</v>
      </c>
    </row>
    <row r="55" spans="1:6" x14ac:dyDescent="0.25">
      <c r="A55" s="1">
        <v>44766</v>
      </c>
      <c r="B55">
        <v>26</v>
      </c>
      <c r="C55">
        <f t="shared" si="0"/>
        <v>128</v>
      </c>
      <c r="D55">
        <f t="shared" si="1"/>
        <v>84</v>
      </c>
      <c r="E55">
        <f t="shared" si="2"/>
        <v>96</v>
      </c>
      <c r="F55">
        <f t="shared" si="3"/>
        <v>1816</v>
      </c>
    </row>
    <row r="56" spans="1:6" x14ac:dyDescent="0.25">
      <c r="A56" s="1">
        <v>44767</v>
      </c>
      <c r="B56">
        <v>29</v>
      </c>
      <c r="C56">
        <f t="shared" si="0"/>
        <v>140</v>
      </c>
      <c r="D56">
        <f t="shared" si="1"/>
        <v>91</v>
      </c>
      <c r="E56">
        <f t="shared" si="2"/>
        <v>107</v>
      </c>
      <c r="F56">
        <f t="shared" si="3"/>
        <v>1995</v>
      </c>
    </row>
    <row r="57" spans="1:6" x14ac:dyDescent="0.25">
      <c r="A57" s="1">
        <v>44768</v>
      </c>
      <c r="B57">
        <v>26</v>
      </c>
      <c r="C57">
        <f t="shared" si="0"/>
        <v>128</v>
      </c>
      <c r="D57">
        <f t="shared" si="1"/>
        <v>84</v>
      </c>
      <c r="E57">
        <f t="shared" si="2"/>
        <v>96</v>
      </c>
      <c r="F57">
        <f t="shared" si="3"/>
        <v>1816</v>
      </c>
    </row>
    <row r="58" spans="1:6" x14ac:dyDescent="0.25">
      <c r="A58" s="1">
        <v>44769</v>
      </c>
      <c r="B58">
        <v>27</v>
      </c>
      <c r="C58">
        <f t="shared" si="0"/>
        <v>132</v>
      </c>
      <c r="D58">
        <f t="shared" si="1"/>
        <v>87</v>
      </c>
      <c r="E58">
        <f t="shared" si="2"/>
        <v>100</v>
      </c>
      <c r="F58">
        <f t="shared" si="3"/>
        <v>1882</v>
      </c>
    </row>
    <row r="59" spans="1:6" x14ac:dyDescent="0.25">
      <c r="A59" s="1">
        <v>44770</v>
      </c>
      <c r="B59">
        <v>24</v>
      </c>
      <c r="C59">
        <f t="shared" si="0"/>
        <v>120</v>
      </c>
      <c r="D59">
        <f t="shared" si="1"/>
        <v>80</v>
      </c>
      <c r="E59">
        <f t="shared" si="2"/>
        <v>90</v>
      </c>
      <c r="F59">
        <f t="shared" si="3"/>
        <v>1710</v>
      </c>
    </row>
    <row r="60" spans="1:6" x14ac:dyDescent="0.25">
      <c r="A60" s="1">
        <v>44771</v>
      </c>
      <c r="B60">
        <v>26</v>
      </c>
      <c r="C60">
        <f t="shared" si="0"/>
        <v>128</v>
      </c>
      <c r="D60">
        <f t="shared" si="1"/>
        <v>84</v>
      </c>
      <c r="E60">
        <f t="shared" si="2"/>
        <v>96</v>
      </c>
      <c r="F60">
        <f t="shared" si="3"/>
        <v>1816</v>
      </c>
    </row>
    <row r="61" spans="1:6" x14ac:dyDescent="0.25">
      <c r="A61" s="1">
        <v>44772</v>
      </c>
      <c r="B61">
        <v>25</v>
      </c>
      <c r="C61">
        <f t="shared" si="0"/>
        <v>124</v>
      </c>
      <c r="D61">
        <f t="shared" si="1"/>
        <v>82</v>
      </c>
      <c r="E61">
        <f t="shared" si="2"/>
        <v>93</v>
      </c>
      <c r="F61">
        <f t="shared" si="3"/>
        <v>1763</v>
      </c>
    </row>
    <row r="62" spans="1:6" x14ac:dyDescent="0.25">
      <c r="A62" s="1">
        <v>44773</v>
      </c>
      <c r="B62">
        <v>24</v>
      </c>
      <c r="C62">
        <f t="shared" si="0"/>
        <v>120</v>
      </c>
      <c r="D62">
        <f t="shared" si="1"/>
        <v>80</v>
      </c>
      <c r="E62">
        <f t="shared" si="2"/>
        <v>90</v>
      </c>
      <c r="F62">
        <f t="shared" si="3"/>
        <v>1710</v>
      </c>
    </row>
    <row r="63" spans="1:6" x14ac:dyDescent="0.25">
      <c r="A63" s="1">
        <v>44774</v>
      </c>
      <c r="B63">
        <v>22</v>
      </c>
      <c r="C63">
        <f t="shared" si="0"/>
        <v>111</v>
      </c>
      <c r="D63">
        <f t="shared" si="1"/>
        <v>75</v>
      </c>
      <c r="E63">
        <f t="shared" si="2"/>
        <v>83</v>
      </c>
      <c r="F63">
        <f t="shared" si="3"/>
        <v>1586</v>
      </c>
    </row>
    <row r="64" spans="1:6" x14ac:dyDescent="0.25">
      <c r="A64" s="1">
        <v>44775</v>
      </c>
      <c r="B64">
        <v>19</v>
      </c>
      <c r="C64">
        <f t="shared" si="0"/>
        <v>99</v>
      </c>
      <c r="D64">
        <f t="shared" si="1"/>
        <v>68</v>
      </c>
      <c r="E64">
        <f t="shared" si="2"/>
        <v>72</v>
      </c>
      <c r="F64">
        <f t="shared" si="3"/>
        <v>1407</v>
      </c>
    </row>
    <row r="65" spans="1:6" x14ac:dyDescent="0.25">
      <c r="A65" s="1">
        <v>44776</v>
      </c>
      <c r="B65">
        <v>21</v>
      </c>
      <c r="C65">
        <f t="shared" si="0"/>
        <v>107</v>
      </c>
      <c r="D65">
        <f t="shared" si="1"/>
        <v>72</v>
      </c>
      <c r="E65">
        <f t="shared" si="2"/>
        <v>79</v>
      </c>
      <c r="F65">
        <f t="shared" si="3"/>
        <v>1520</v>
      </c>
    </row>
    <row r="66" spans="1:6" x14ac:dyDescent="0.25">
      <c r="A66" s="1">
        <v>44777</v>
      </c>
      <c r="B66">
        <v>26</v>
      </c>
      <c r="C66">
        <f t="shared" si="0"/>
        <v>128</v>
      </c>
      <c r="D66">
        <f t="shared" si="1"/>
        <v>84</v>
      </c>
      <c r="E66">
        <f t="shared" si="2"/>
        <v>96</v>
      </c>
      <c r="F66">
        <f t="shared" si="3"/>
        <v>1816</v>
      </c>
    </row>
    <row r="67" spans="1:6" x14ac:dyDescent="0.25">
      <c r="A67" s="1">
        <v>44778</v>
      </c>
      <c r="B67">
        <v>19</v>
      </c>
      <c r="C67">
        <f t="shared" ref="C67:C130" si="4">ROUNDDOWN(120*(1+(2/29)*((B67-24)/2)), 0)</f>
        <v>99</v>
      </c>
      <c r="D67">
        <f t="shared" ref="D67:D95" si="5">ROUNDDOWN(80*(1+(1/17)*((B67-24)/2)), 0)</f>
        <v>68</v>
      </c>
      <c r="E67">
        <f t="shared" ref="E67:E95" si="6">ROUNDDOWN(90*(1+(1/13)*((B67-24)/2)), 0)</f>
        <v>72</v>
      </c>
      <c r="F67">
        <f t="shared" ref="F67:F95" si="7">SUM(C67*5,D67*6,E67*7)</f>
        <v>1407</v>
      </c>
    </row>
    <row r="68" spans="1:6" x14ac:dyDescent="0.25">
      <c r="A68" s="1">
        <v>44779</v>
      </c>
      <c r="B68">
        <v>21</v>
      </c>
      <c r="C68">
        <f t="shared" si="4"/>
        <v>107</v>
      </c>
      <c r="D68">
        <f t="shared" si="5"/>
        <v>72</v>
      </c>
      <c r="E68">
        <f t="shared" si="6"/>
        <v>79</v>
      </c>
      <c r="F68">
        <f t="shared" si="7"/>
        <v>1520</v>
      </c>
    </row>
    <row r="69" spans="1:6" x14ac:dyDescent="0.25">
      <c r="A69" s="1">
        <v>44780</v>
      </c>
      <c r="B69">
        <v>23</v>
      </c>
      <c r="C69">
        <f t="shared" si="4"/>
        <v>115</v>
      </c>
      <c r="D69">
        <f t="shared" si="5"/>
        <v>77</v>
      </c>
      <c r="E69">
        <f t="shared" si="6"/>
        <v>86</v>
      </c>
      <c r="F69">
        <f t="shared" si="7"/>
        <v>1639</v>
      </c>
    </row>
    <row r="70" spans="1:6" x14ac:dyDescent="0.25">
      <c r="A70" s="1">
        <v>44781</v>
      </c>
      <c r="B70">
        <v>27</v>
      </c>
      <c r="C70">
        <f t="shared" si="4"/>
        <v>132</v>
      </c>
      <c r="D70">
        <f t="shared" si="5"/>
        <v>87</v>
      </c>
      <c r="E70">
        <f t="shared" si="6"/>
        <v>100</v>
      </c>
      <c r="F70">
        <f t="shared" si="7"/>
        <v>1882</v>
      </c>
    </row>
    <row r="71" spans="1:6" x14ac:dyDescent="0.25">
      <c r="A71" s="1">
        <v>44782</v>
      </c>
      <c r="B71">
        <v>20</v>
      </c>
      <c r="C71">
        <f t="shared" si="4"/>
        <v>103</v>
      </c>
      <c r="D71">
        <f t="shared" si="5"/>
        <v>70</v>
      </c>
      <c r="E71">
        <f t="shared" si="6"/>
        <v>76</v>
      </c>
      <c r="F71">
        <f t="shared" si="7"/>
        <v>1467</v>
      </c>
    </row>
    <row r="72" spans="1:6" x14ac:dyDescent="0.25">
      <c r="A72" s="1">
        <v>44783</v>
      </c>
      <c r="B72">
        <v>18</v>
      </c>
      <c r="C72">
        <f t="shared" si="4"/>
        <v>95</v>
      </c>
      <c r="D72">
        <f t="shared" si="5"/>
        <v>65</v>
      </c>
      <c r="E72">
        <f t="shared" si="6"/>
        <v>69</v>
      </c>
      <c r="F72">
        <f t="shared" si="7"/>
        <v>1348</v>
      </c>
    </row>
    <row r="73" spans="1:6" x14ac:dyDescent="0.25">
      <c r="A73" s="1">
        <v>44784</v>
      </c>
      <c r="B73">
        <v>17</v>
      </c>
      <c r="C73">
        <f t="shared" si="4"/>
        <v>91</v>
      </c>
      <c r="D73">
        <f t="shared" si="5"/>
        <v>63</v>
      </c>
      <c r="E73">
        <f t="shared" si="6"/>
        <v>65</v>
      </c>
      <c r="F73">
        <f t="shared" si="7"/>
        <v>1288</v>
      </c>
    </row>
    <row r="74" spans="1:6" x14ac:dyDescent="0.25">
      <c r="A74" s="1">
        <v>44785</v>
      </c>
      <c r="B74">
        <v>19</v>
      </c>
      <c r="C74">
        <f t="shared" si="4"/>
        <v>99</v>
      </c>
      <c r="D74">
        <f t="shared" si="5"/>
        <v>68</v>
      </c>
      <c r="E74">
        <f t="shared" si="6"/>
        <v>72</v>
      </c>
      <c r="F74">
        <f t="shared" si="7"/>
        <v>1407</v>
      </c>
    </row>
    <row r="75" spans="1:6" x14ac:dyDescent="0.25">
      <c r="A75" s="1">
        <v>44786</v>
      </c>
      <c r="B75">
        <v>26</v>
      </c>
      <c r="C75">
        <f t="shared" si="4"/>
        <v>128</v>
      </c>
      <c r="D75">
        <f t="shared" si="5"/>
        <v>84</v>
      </c>
      <c r="E75">
        <f t="shared" si="6"/>
        <v>96</v>
      </c>
      <c r="F75">
        <f t="shared" si="7"/>
        <v>1816</v>
      </c>
    </row>
    <row r="76" spans="1:6" x14ac:dyDescent="0.25">
      <c r="A76" s="1">
        <v>44787</v>
      </c>
      <c r="B76">
        <v>21</v>
      </c>
      <c r="C76">
        <f t="shared" si="4"/>
        <v>107</v>
      </c>
      <c r="D76">
        <f t="shared" si="5"/>
        <v>72</v>
      </c>
      <c r="E76">
        <f t="shared" si="6"/>
        <v>79</v>
      </c>
      <c r="F76">
        <f t="shared" si="7"/>
        <v>1520</v>
      </c>
    </row>
    <row r="77" spans="1:6" x14ac:dyDescent="0.25">
      <c r="A77" s="1">
        <v>44788</v>
      </c>
      <c r="B77">
        <v>19</v>
      </c>
      <c r="C77">
        <f t="shared" si="4"/>
        <v>99</v>
      </c>
      <c r="D77">
        <f t="shared" si="5"/>
        <v>68</v>
      </c>
      <c r="E77">
        <f t="shared" si="6"/>
        <v>72</v>
      </c>
      <c r="F77">
        <f t="shared" si="7"/>
        <v>1407</v>
      </c>
    </row>
    <row r="78" spans="1:6" x14ac:dyDescent="0.25">
      <c r="A78" s="1">
        <v>44789</v>
      </c>
      <c r="B78">
        <v>19</v>
      </c>
      <c r="C78">
        <f t="shared" si="4"/>
        <v>99</v>
      </c>
      <c r="D78">
        <f t="shared" si="5"/>
        <v>68</v>
      </c>
      <c r="E78">
        <f t="shared" si="6"/>
        <v>72</v>
      </c>
      <c r="F78">
        <f t="shared" si="7"/>
        <v>1407</v>
      </c>
    </row>
    <row r="79" spans="1:6" x14ac:dyDescent="0.25">
      <c r="A79" s="1">
        <v>44790</v>
      </c>
      <c r="B79">
        <v>21</v>
      </c>
      <c r="C79">
        <f t="shared" si="4"/>
        <v>107</v>
      </c>
      <c r="D79">
        <f t="shared" si="5"/>
        <v>72</v>
      </c>
      <c r="E79">
        <f t="shared" si="6"/>
        <v>79</v>
      </c>
      <c r="F79">
        <f t="shared" si="7"/>
        <v>1520</v>
      </c>
    </row>
    <row r="80" spans="1:6" x14ac:dyDescent="0.25">
      <c r="A80" s="1">
        <v>44791</v>
      </c>
      <c r="B80">
        <v>21</v>
      </c>
      <c r="C80">
        <f t="shared" si="4"/>
        <v>107</v>
      </c>
      <c r="D80">
        <f t="shared" si="5"/>
        <v>72</v>
      </c>
      <c r="E80">
        <f t="shared" si="6"/>
        <v>79</v>
      </c>
      <c r="F80">
        <f t="shared" si="7"/>
        <v>1520</v>
      </c>
    </row>
    <row r="81" spans="1:8" x14ac:dyDescent="0.25">
      <c r="A81" s="1">
        <v>44792</v>
      </c>
      <c r="B81">
        <v>24</v>
      </c>
      <c r="C81">
        <f t="shared" si="4"/>
        <v>120</v>
      </c>
      <c r="D81">
        <f t="shared" si="5"/>
        <v>80</v>
      </c>
      <c r="E81">
        <f t="shared" si="6"/>
        <v>90</v>
      </c>
      <c r="F81">
        <f t="shared" si="7"/>
        <v>1710</v>
      </c>
    </row>
    <row r="82" spans="1:8" x14ac:dyDescent="0.25">
      <c r="A82" s="1">
        <v>44793</v>
      </c>
      <c r="B82">
        <v>26</v>
      </c>
      <c r="C82">
        <f t="shared" si="4"/>
        <v>128</v>
      </c>
      <c r="D82">
        <f t="shared" si="5"/>
        <v>84</v>
      </c>
      <c r="E82">
        <f t="shared" si="6"/>
        <v>96</v>
      </c>
      <c r="F82">
        <f t="shared" si="7"/>
        <v>1816</v>
      </c>
    </row>
    <row r="83" spans="1:8" x14ac:dyDescent="0.25">
      <c r="A83" s="1">
        <v>44794</v>
      </c>
      <c r="B83">
        <v>23</v>
      </c>
      <c r="C83">
        <f t="shared" si="4"/>
        <v>115</v>
      </c>
      <c r="D83">
        <f t="shared" si="5"/>
        <v>77</v>
      </c>
      <c r="E83">
        <f t="shared" si="6"/>
        <v>86</v>
      </c>
      <c r="F83">
        <f t="shared" si="7"/>
        <v>1639</v>
      </c>
    </row>
    <row r="84" spans="1:8" x14ac:dyDescent="0.25">
      <c r="A84" s="1">
        <v>44795</v>
      </c>
      <c r="B84">
        <v>23</v>
      </c>
      <c r="C84">
        <f t="shared" si="4"/>
        <v>115</v>
      </c>
      <c r="D84">
        <f t="shared" si="5"/>
        <v>77</v>
      </c>
      <c r="E84">
        <f t="shared" si="6"/>
        <v>86</v>
      </c>
      <c r="F84">
        <f t="shared" si="7"/>
        <v>1639</v>
      </c>
    </row>
    <row r="85" spans="1:8" x14ac:dyDescent="0.25">
      <c r="A85" s="1">
        <v>44796</v>
      </c>
      <c r="B85">
        <v>24</v>
      </c>
      <c r="C85">
        <f t="shared" si="4"/>
        <v>120</v>
      </c>
      <c r="D85">
        <f t="shared" si="5"/>
        <v>80</v>
      </c>
      <c r="E85">
        <f t="shared" si="6"/>
        <v>90</v>
      </c>
      <c r="F85">
        <f t="shared" si="7"/>
        <v>1710</v>
      </c>
    </row>
    <row r="86" spans="1:8" x14ac:dyDescent="0.25">
      <c r="A86" s="1">
        <v>44797</v>
      </c>
      <c r="B86">
        <v>26</v>
      </c>
      <c r="C86">
        <f t="shared" si="4"/>
        <v>128</v>
      </c>
      <c r="D86">
        <f t="shared" si="5"/>
        <v>84</v>
      </c>
      <c r="E86">
        <f t="shared" si="6"/>
        <v>96</v>
      </c>
      <c r="F86">
        <f t="shared" si="7"/>
        <v>1816</v>
      </c>
    </row>
    <row r="87" spans="1:8" x14ac:dyDescent="0.25">
      <c r="A87" s="1">
        <v>44798</v>
      </c>
      <c r="B87">
        <v>28</v>
      </c>
      <c r="C87">
        <f t="shared" si="4"/>
        <v>136</v>
      </c>
      <c r="D87">
        <f t="shared" si="5"/>
        <v>89</v>
      </c>
      <c r="E87">
        <f t="shared" si="6"/>
        <v>103</v>
      </c>
      <c r="F87">
        <f t="shared" si="7"/>
        <v>1935</v>
      </c>
    </row>
    <row r="88" spans="1:8" x14ac:dyDescent="0.25">
      <c r="A88" s="1">
        <v>44799</v>
      </c>
      <c r="B88">
        <v>32</v>
      </c>
      <c r="C88">
        <f t="shared" si="4"/>
        <v>153</v>
      </c>
      <c r="D88">
        <f t="shared" si="5"/>
        <v>98</v>
      </c>
      <c r="E88">
        <f t="shared" si="6"/>
        <v>117</v>
      </c>
      <c r="F88">
        <f t="shared" si="7"/>
        <v>2172</v>
      </c>
    </row>
    <row r="89" spans="1:8" x14ac:dyDescent="0.25">
      <c r="A89" s="1">
        <v>44800</v>
      </c>
      <c r="B89">
        <v>26</v>
      </c>
      <c r="C89">
        <f t="shared" si="4"/>
        <v>128</v>
      </c>
      <c r="D89">
        <f t="shared" si="5"/>
        <v>84</v>
      </c>
      <c r="E89">
        <f t="shared" si="6"/>
        <v>96</v>
      </c>
      <c r="F89">
        <f t="shared" si="7"/>
        <v>1816</v>
      </c>
    </row>
    <row r="90" spans="1:8" x14ac:dyDescent="0.25">
      <c r="A90" s="1">
        <v>44801</v>
      </c>
      <c r="B90">
        <v>32</v>
      </c>
      <c r="C90">
        <f t="shared" si="4"/>
        <v>153</v>
      </c>
      <c r="D90">
        <f t="shared" si="5"/>
        <v>98</v>
      </c>
      <c r="E90">
        <f t="shared" si="6"/>
        <v>117</v>
      </c>
      <c r="F90">
        <f t="shared" si="7"/>
        <v>2172</v>
      </c>
    </row>
    <row r="91" spans="1:8" x14ac:dyDescent="0.25">
      <c r="A91" s="1">
        <v>44802</v>
      </c>
      <c r="B91">
        <v>23</v>
      </c>
      <c r="C91">
        <f t="shared" si="4"/>
        <v>115</v>
      </c>
      <c r="D91">
        <f t="shared" si="5"/>
        <v>77</v>
      </c>
      <c r="E91">
        <f t="shared" si="6"/>
        <v>86</v>
      </c>
      <c r="F91">
        <f t="shared" si="7"/>
        <v>1639</v>
      </c>
    </row>
    <row r="92" spans="1:8" x14ac:dyDescent="0.25">
      <c r="A92" s="1">
        <v>44803</v>
      </c>
      <c r="B92">
        <v>22</v>
      </c>
      <c r="C92">
        <f t="shared" si="4"/>
        <v>111</v>
      </c>
      <c r="D92">
        <f t="shared" si="5"/>
        <v>75</v>
      </c>
      <c r="E92">
        <f t="shared" si="6"/>
        <v>83</v>
      </c>
      <c r="F92">
        <f t="shared" si="7"/>
        <v>1586</v>
      </c>
    </row>
    <row r="93" spans="1:8" x14ac:dyDescent="0.25">
      <c r="A93" s="7">
        <v>44804</v>
      </c>
      <c r="B93" s="8">
        <v>25</v>
      </c>
      <c r="C93" s="8">
        <f t="shared" si="4"/>
        <v>124</v>
      </c>
      <c r="D93" s="8">
        <f t="shared" si="5"/>
        <v>82</v>
      </c>
      <c r="E93" s="8">
        <f t="shared" si="6"/>
        <v>93</v>
      </c>
      <c r="F93" s="8">
        <f t="shared" si="7"/>
        <v>1763</v>
      </c>
      <c r="G93" s="8"/>
    </row>
    <row r="94" spans="1:8" x14ac:dyDescent="0.25">
      <c r="A94" s="5">
        <v>44805</v>
      </c>
      <c r="B94" s="6">
        <v>23</v>
      </c>
      <c r="C94" s="6">
        <f t="shared" si="4"/>
        <v>115</v>
      </c>
      <c r="D94" s="6">
        <f t="shared" si="5"/>
        <v>77</v>
      </c>
      <c r="E94" s="6">
        <f t="shared" si="6"/>
        <v>86</v>
      </c>
      <c r="F94" s="6">
        <f t="shared" si="7"/>
        <v>1639</v>
      </c>
      <c r="G94" s="6"/>
    </row>
    <row r="95" spans="1:8" x14ac:dyDescent="0.25">
      <c r="A95" s="5">
        <v>44806</v>
      </c>
      <c r="B95" s="6">
        <v>23</v>
      </c>
      <c r="C95" s="6">
        <f t="shared" si="4"/>
        <v>115</v>
      </c>
      <c r="D95" s="6">
        <f t="shared" si="5"/>
        <v>77</v>
      </c>
      <c r="E95" s="6">
        <f t="shared" si="6"/>
        <v>86</v>
      </c>
      <c r="F95" s="6">
        <f t="shared" si="7"/>
        <v>1639</v>
      </c>
      <c r="G95" s="6"/>
    </row>
    <row r="96" spans="1:8" x14ac:dyDescent="0.25">
      <c r="A96" s="5">
        <v>44807</v>
      </c>
      <c r="B96" s="6">
        <f>IF(MOD(DAY(A96), 2)=1, B95-1, B95)</f>
        <v>22</v>
      </c>
      <c r="C96" s="6">
        <f t="shared" si="4"/>
        <v>111</v>
      </c>
      <c r="D96" s="6">
        <f t="shared" ref="D96:D133" si="8">ROUNDDOWN(80*(1+(1/17)*((B96-24)/2)), 0)</f>
        <v>75</v>
      </c>
      <c r="E96" s="6">
        <f t="shared" ref="E96:E133" si="9">ROUNDDOWN(90*(1+(1/13)*((B96-24)/2)), 0)</f>
        <v>83</v>
      </c>
      <c r="F96" s="6">
        <f t="shared" ref="F96:F133" si="10">SUM(C96*5,D96*6,E96*7)</f>
        <v>1586</v>
      </c>
      <c r="G96" s="6"/>
      <c r="H96" t="s">
        <v>24</v>
      </c>
    </row>
    <row r="97" spans="1:8" x14ac:dyDescent="0.25">
      <c r="A97" s="5">
        <v>44808</v>
      </c>
      <c r="B97" s="6">
        <f t="shared" ref="B97:B133" si="11">IF(MOD(DAY(A97), 2)=1, B96-1, B96)</f>
        <v>22</v>
      </c>
      <c r="C97" s="6">
        <f t="shared" si="4"/>
        <v>111</v>
      </c>
      <c r="D97" s="6">
        <f t="shared" si="8"/>
        <v>75</v>
      </c>
      <c r="E97" s="6">
        <f t="shared" si="9"/>
        <v>83</v>
      </c>
      <c r="F97" s="6">
        <f t="shared" si="10"/>
        <v>1586</v>
      </c>
      <c r="G97" s="6"/>
      <c r="H97" s="7" t="s">
        <v>26</v>
      </c>
    </row>
    <row r="98" spans="1:8" x14ac:dyDescent="0.25">
      <c r="A98" s="5">
        <v>44809</v>
      </c>
      <c r="B98" s="6">
        <f t="shared" si="11"/>
        <v>21</v>
      </c>
      <c r="C98" s="6">
        <f t="shared" si="4"/>
        <v>107</v>
      </c>
      <c r="D98" s="6">
        <f t="shared" si="8"/>
        <v>72</v>
      </c>
      <c r="E98" s="6">
        <f t="shared" si="9"/>
        <v>79</v>
      </c>
      <c r="F98" s="6">
        <f t="shared" si="10"/>
        <v>1520</v>
      </c>
      <c r="G98" s="6"/>
      <c r="H98" t="s">
        <v>25</v>
      </c>
    </row>
    <row r="99" spans="1:8" x14ac:dyDescent="0.25">
      <c r="A99" s="5">
        <v>44810</v>
      </c>
      <c r="B99" s="6">
        <f t="shared" si="11"/>
        <v>21</v>
      </c>
      <c r="C99" s="6">
        <f t="shared" si="4"/>
        <v>107</v>
      </c>
      <c r="D99" s="6">
        <f t="shared" si="8"/>
        <v>72</v>
      </c>
      <c r="E99" s="6">
        <f t="shared" si="9"/>
        <v>79</v>
      </c>
      <c r="F99" s="6">
        <f t="shared" si="10"/>
        <v>1520</v>
      </c>
      <c r="G99" s="6"/>
      <c r="H99" t="s">
        <v>27</v>
      </c>
    </row>
    <row r="100" spans="1:8" x14ac:dyDescent="0.25">
      <c r="A100" s="5">
        <v>44811</v>
      </c>
      <c r="B100" s="6">
        <f t="shared" si="11"/>
        <v>20</v>
      </c>
      <c r="C100" s="6">
        <f t="shared" si="4"/>
        <v>103</v>
      </c>
      <c r="D100" s="6">
        <f t="shared" si="8"/>
        <v>70</v>
      </c>
      <c r="E100" s="6">
        <f t="shared" si="9"/>
        <v>76</v>
      </c>
      <c r="F100" s="6">
        <f t="shared" si="10"/>
        <v>1467</v>
      </c>
      <c r="G100" s="6"/>
    </row>
    <row r="101" spans="1:8" x14ac:dyDescent="0.25">
      <c r="A101" s="5">
        <v>44812</v>
      </c>
      <c r="B101" s="6">
        <f t="shared" si="11"/>
        <v>20</v>
      </c>
      <c r="C101" s="6">
        <f t="shared" si="4"/>
        <v>103</v>
      </c>
      <c r="D101" s="6">
        <f t="shared" si="8"/>
        <v>70</v>
      </c>
      <c r="E101" s="6">
        <f t="shared" si="9"/>
        <v>76</v>
      </c>
      <c r="F101" s="6">
        <f t="shared" si="10"/>
        <v>1467</v>
      </c>
      <c r="G101" s="6"/>
    </row>
    <row r="102" spans="1:8" x14ac:dyDescent="0.25">
      <c r="A102" s="5">
        <v>44813</v>
      </c>
      <c r="B102" s="6">
        <f t="shared" si="11"/>
        <v>19</v>
      </c>
      <c r="C102" s="6">
        <f t="shared" si="4"/>
        <v>99</v>
      </c>
      <c r="D102" s="6">
        <f t="shared" si="8"/>
        <v>68</v>
      </c>
      <c r="E102" s="6">
        <f t="shared" si="9"/>
        <v>72</v>
      </c>
      <c r="F102" s="6">
        <f t="shared" si="10"/>
        <v>1407</v>
      </c>
      <c r="G102" s="6"/>
    </row>
    <row r="103" spans="1:8" x14ac:dyDescent="0.25">
      <c r="A103" s="5">
        <v>44814</v>
      </c>
      <c r="B103" s="6">
        <f t="shared" si="11"/>
        <v>19</v>
      </c>
      <c r="C103" s="6">
        <f t="shared" si="4"/>
        <v>99</v>
      </c>
      <c r="D103" s="6">
        <f t="shared" si="8"/>
        <v>68</v>
      </c>
      <c r="E103" s="6">
        <f t="shared" si="9"/>
        <v>72</v>
      </c>
      <c r="F103" s="6">
        <f t="shared" si="10"/>
        <v>1407</v>
      </c>
      <c r="G103" s="6"/>
    </row>
    <row r="104" spans="1:8" x14ac:dyDescent="0.25">
      <c r="A104" s="5">
        <v>44815</v>
      </c>
      <c r="B104" s="6">
        <f t="shared" si="11"/>
        <v>18</v>
      </c>
      <c r="C104" s="6">
        <f t="shared" si="4"/>
        <v>95</v>
      </c>
      <c r="D104" s="6">
        <f t="shared" si="8"/>
        <v>65</v>
      </c>
      <c r="E104" s="6">
        <f t="shared" si="9"/>
        <v>69</v>
      </c>
      <c r="F104" s="6">
        <f t="shared" si="10"/>
        <v>1348</v>
      </c>
      <c r="G104" s="6"/>
    </row>
    <row r="105" spans="1:8" x14ac:dyDescent="0.25">
      <c r="A105" s="5">
        <v>44816</v>
      </c>
      <c r="B105" s="6">
        <f t="shared" si="11"/>
        <v>18</v>
      </c>
      <c r="C105" s="6">
        <f t="shared" si="4"/>
        <v>95</v>
      </c>
      <c r="D105" s="6">
        <f t="shared" si="8"/>
        <v>65</v>
      </c>
      <c r="E105" s="6">
        <f t="shared" si="9"/>
        <v>69</v>
      </c>
      <c r="F105" s="6">
        <f t="shared" si="10"/>
        <v>1348</v>
      </c>
      <c r="G105" s="6"/>
    </row>
    <row r="106" spans="1:8" x14ac:dyDescent="0.25">
      <c r="A106" s="5">
        <v>44817</v>
      </c>
      <c r="B106" s="6">
        <f t="shared" si="11"/>
        <v>17</v>
      </c>
      <c r="C106" s="6">
        <f t="shared" si="4"/>
        <v>91</v>
      </c>
      <c r="D106" s="6">
        <f t="shared" si="8"/>
        <v>63</v>
      </c>
      <c r="E106" s="6">
        <f t="shared" si="9"/>
        <v>65</v>
      </c>
      <c r="F106" s="6">
        <f t="shared" si="10"/>
        <v>1288</v>
      </c>
      <c r="G106" s="6"/>
    </row>
    <row r="107" spans="1:8" x14ac:dyDescent="0.25">
      <c r="A107" s="5">
        <v>44818</v>
      </c>
      <c r="B107" s="6">
        <f t="shared" si="11"/>
        <v>17</v>
      </c>
      <c r="C107" s="6">
        <f t="shared" si="4"/>
        <v>91</v>
      </c>
      <c r="D107" s="6">
        <f t="shared" si="8"/>
        <v>63</v>
      </c>
      <c r="E107" s="6">
        <f t="shared" si="9"/>
        <v>65</v>
      </c>
      <c r="F107" s="6">
        <f t="shared" si="10"/>
        <v>1288</v>
      </c>
      <c r="G107" s="6"/>
    </row>
    <row r="108" spans="1:8" x14ac:dyDescent="0.25">
      <c r="A108" s="5">
        <v>44819</v>
      </c>
      <c r="B108" s="6">
        <f t="shared" si="11"/>
        <v>16</v>
      </c>
      <c r="C108" s="6">
        <f t="shared" si="4"/>
        <v>86</v>
      </c>
      <c r="D108" s="6">
        <f t="shared" si="8"/>
        <v>61</v>
      </c>
      <c r="E108" s="6">
        <f t="shared" si="9"/>
        <v>62</v>
      </c>
      <c r="F108" s="6">
        <f t="shared" si="10"/>
        <v>1230</v>
      </c>
      <c r="G108" s="6"/>
    </row>
    <row r="109" spans="1:8" x14ac:dyDescent="0.25">
      <c r="A109" s="5">
        <v>44820</v>
      </c>
      <c r="B109" s="6">
        <f t="shared" si="11"/>
        <v>16</v>
      </c>
      <c r="C109" s="6">
        <f t="shared" si="4"/>
        <v>86</v>
      </c>
      <c r="D109" s="6">
        <f t="shared" si="8"/>
        <v>61</v>
      </c>
      <c r="E109" s="6">
        <f t="shared" si="9"/>
        <v>62</v>
      </c>
      <c r="F109" s="6">
        <f t="shared" si="10"/>
        <v>1230</v>
      </c>
      <c r="G109" s="6"/>
    </row>
    <row r="110" spans="1:8" x14ac:dyDescent="0.25">
      <c r="A110" s="5">
        <v>44821</v>
      </c>
      <c r="B110" s="6">
        <f t="shared" si="11"/>
        <v>15</v>
      </c>
      <c r="C110" s="6">
        <f t="shared" si="4"/>
        <v>82</v>
      </c>
      <c r="D110" s="6">
        <f t="shared" si="8"/>
        <v>58</v>
      </c>
      <c r="E110" s="6">
        <f t="shared" si="9"/>
        <v>58</v>
      </c>
      <c r="F110" s="6">
        <f t="shared" si="10"/>
        <v>1164</v>
      </c>
      <c r="G110" s="6"/>
    </row>
    <row r="111" spans="1:8" x14ac:dyDescent="0.25">
      <c r="A111" s="5">
        <v>44822</v>
      </c>
      <c r="B111" s="6">
        <f t="shared" si="11"/>
        <v>15</v>
      </c>
      <c r="C111" s="6">
        <f t="shared" si="4"/>
        <v>82</v>
      </c>
      <c r="D111" s="6">
        <f t="shared" si="8"/>
        <v>58</v>
      </c>
      <c r="E111" s="6">
        <f t="shared" si="9"/>
        <v>58</v>
      </c>
      <c r="F111" s="6">
        <f t="shared" si="10"/>
        <v>1164</v>
      </c>
      <c r="G111" s="6"/>
    </row>
    <row r="112" spans="1:8" x14ac:dyDescent="0.25">
      <c r="A112" s="5">
        <v>44823</v>
      </c>
      <c r="B112" s="6">
        <f t="shared" si="11"/>
        <v>14</v>
      </c>
      <c r="C112" s="6">
        <f t="shared" si="4"/>
        <v>78</v>
      </c>
      <c r="D112" s="6">
        <f t="shared" si="8"/>
        <v>56</v>
      </c>
      <c r="E112" s="6">
        <f t="shared" si="9"/>
        <v>55</v>
      </c>
      <c r="F112" s="6">
        <f t="shared" si="10"/>
        <v>1111</v>
      </c>
      <c r="G112" s="6"/>
    </row>
    <row r="113" spans="1:7" x14ac:dyDescent="0.25">
      <c r="A113" s="5">
        <v>44824</v>
      </c>
      <c r="B113" s="6">
        <f t="shared" si="11"/>
        <v>14</v>
      </c>
      <c r="C113" s="6">
        <f t="shared" si="4"/>
        <v>78</v>
      </c>
      <c r="D113" s="6">
        <f t="shared" si="8"/>
        <v>56</v>
      </c>
      <c r="E113" s="6">
        <f t="shared" si="9"/>
        <v>55</v>
      </c>
      <c r="F113" s="6">
        <f t="shared" si="10"/>
        <v>1111</v>
      </c>
      <c r="G113" s="6"/>
    </row>
    <row r="114" spans="1:7" x14ac:dyDescent="0.25">
      <c r="A114" s="5">
        <v>44825</v>
      </c>
      <c r="B114" s="6">
        <f t="shared" si="11"/>
        <v>13</v>
      </c>
      <c r="C114" s="6">
        <f t="shared" si="4"/>
        <v>74</v>
      </c>
      <c r="D114" s="6">
        <f t="shared" si="8"/>
        <v>54</v>
      </c>
      <c r="E114" s="6">
        <f t="shared" si="9"/>
        <v>51</v>
      </c>
      <c r="F114" s="6">
        <f t="shared" si="10"/>
        <v>1051</v>
      </c>
      <c r="G114" s="6"/>
    </row>
    <row r="115" spans="1:7" x14ac:dyDescent="0.25">
      <c r="A115" s="5">
        <v>44826</v>
      </c>
      <c r="B115" s="6">
        <f t="shared" si="11"/>
        <v>13</v>
      </c>
      <c r="C115" s="6">
        <f t="shared" si="4"/>
        <v>74</v>
      </c>
      <c r="D115" s="6">
        <f t="shared" si="8"/>
        <v>54</v>
      </c>
      <c r="E115" s="6">
        <f t="shared" si="9"/>
        <v>51</v>
      </c>
      <c r="F115" s="6">
        <f t="shared" si="10"/>
        <v>1051</v>
      </c>
      <c r="G115" s="6"/>
    </row>
    <row r="116" spans="1:7" x14ac:dyDescent="0.25">
      <c r="A116" s="5">
        <v>44827</v>
      </c>
      <c r="B116" s="6">
        <f t="shared" si="11"/>
        <v>12</v>
      </c>
      <c r="C116" s="6">
        <f t="shared" si="4"/>
        <v>70</v>
      </c>
      <c r="D116" s="6">
        <f t="shared" si="8"/>
        <v>51</v>
      </c>
      <c r="E116" s="6">
        <f t="shared" si="9"/>
        <v>48</v>
      </c>
      <c r="F116" s="6">
        <f t="shared" si="10"/>
        <v>992</v>
      </c>
      <c r="G116" s="6"/>
    </row>
    <row r="117" spans="1:7" x14ac:dyDescent="0.25">
      <c r="A117" s="5">
        <v>44828</v>
      </c>
      <c r="B117" s="6">
        <f t="shared" si="11"/>
        <v>12</v>
      </c>
      <c r="C117" s="6">
        <f t="shared" si="4"/>
        <v>70</v>
      </c>
      <c r="D117" s="6">
        <f t="shared" si="8"/>
        <v>51</v>
      </c>
      <c r="E117" s="6">
        <f t="shared" si="9"/>
        <v>48</v>
      </c>
      <c r="F117" s="6">
        <f t="shared" si="10"/>
        <v>992</v>
      </c>
      <c r="G117" s="6"/>
    </row>
    <row r="118" spans="1:7" x14ac:dyDescent="0.25">
      <c r="A118" s="5">
        <v>44829</v>
      </c>
      <c r="B118" s="6">
        <f t="shared" si="11"/>
        <v>11</v>
      </c>
      <c r="C118" s="6">
        <f t="shared" si="4"/>
        <v>66</v>
      </c>
      <c r="D118" s="6">
        <f t="shared" si="8"/>
        <v>49</v>
      </c>
      <c r="E118" s="6">
        <f t="shared" si="9"/>
        <v>45</v>
      </c>
      <c r="F118" s="6">
        <f t="shared" si="10"/>
        <v>939</v>
      </c>
      <c r="G118" s="6"/>
    </row>
    <row r="119" spans="1:7" x14ac:dyDescent="0.25">
      <c r="A119" s="5">
        <v>44830</v>
      </c>
      <c r="B119" s="6">
        <f t="shared" si="11"/>
        <v>11</v>
      </c>
      <c r="C119" s="6">
        <f t="shared" si="4"/>
        <v>66</v>
      </c>
      <c r="D119" s="6">
        <f t="shared" si="8"/>
        <v>49</v>
      </c>
      <c r="E119" s="6">
        <f t="shared" si="9"/>
        <v>45</v>
      </c>
      <c r="F119" s="6">
        <f t="shared" si="10"/>
        <v>939</v>
      </c>
      <c r="G119" s="6"/>
    </row>
    <row r="120" spans="1:7" x14ac:dyDescent="0.25">
      <c r="A120" s="5">
        <v>44831</v>
      </c>
      <c r="B120" s="6">
        <f t="shared" si="11"/>
        <v>10</v>
      </c>
      <c r="C120" s="6">
        <f t="shared" si="4"/>
        <v>62</v>
      </c>
      <c r="D120" s="6">
        <f t="shared" si="8"/>
        <v>47</v>
      </c>
      <c r="E120" s="6">
        <f t="shared" si="9"/>
        <v>41</v>
      </c>
      <c r="F120" s="6">
        <f t="shared" si="10"/>
        <v>879</v>
      </c>
      <c r="G120" s="6"/>
    </row>
    <row r="121" spans="1:7" x14ac:dyDescent="0.25">
      <c r="A121" s="5">
        <v>44832</v>
      </c>
      <c r="B121" s="6">
        <f t="shared" si="11"/>
        <v>10</v>
      </c>
      <c r="C121" s="6">
        <f t="shared" si="4"/>
        <v>62</v>
      </c>
      <c r="D121" s="6">
        <f t="shared" si="8"/>
        <v>47</v>
      </c>
      <c r="E121" s="6">
        <f t="shared" si="9"/>
        <v>41</v>
      </c>
      <c r="F121" s="6">
        <f t="shared" si="10"/>
        <v>879</v>
      </c>
      <c r="G121" s="6"/>
    </row>
    <row r="122" spans="1:7" x14ac:dyDescent="0.25">
      <c r="A122" s="5">
        <v>44833</v>
      </c>
      <c r="B122" s="6">
        <f t="shared" si="11"/>
        <v>9</v>
      </c>
      <c r="C122" s="6">
        <f t="shared" si="4"/>
        <v>57</v>
      </c>
      <c r="D122" s="6">
        <f t="shared" si="8"/>
        <v>44</v>
      </c>
      <c r="E122" s="6">
        <f t="shared" si="9"/>
        <v>38</v>
      </c>
      <c r="F122" s="6">
        <f t="shared" si="10"/>
        <v>815</v>
      </c>
      <c r="G122" s="6"/>
    </row>
    <row r="123" spans="1:7" x14ac:dyDescent="0.25">
      <c r="A123" s="5">
        <v>44834</v>
      </c>
      <c r="B123" s="6">
        <f t="shared" si="11"/>
        <v>9</v>
      </c>
      <c r="C123" s="6">
        <f t="shared" si="4"/>
        <v>57</v>
      </c>
      <c r="D123" s="6">
        <f t="shared" si="8"/>
        <v>44</v>
      </c>
      <c r="E123" s="6">
        <f t="shared" si="9"/>
        <v>38</v>
      </c>
      <c r="F123" s="6">
        <f t="shared" si="10"/>
        <v>815</v>
      </c>
      <c r="G123" s="6">
        <f>SUM(C123*(5+1.34),D123*(6+1.34),E123*(7+1.34))</f>
        <v>1001.26</v>
      </c>
    </row>
    <row r="124" spans="1:7" x14ac:dyDescent="0.25">
      <c r="A124" s="5">
        <v>44835</v>
      </c>
      <c r="B124" s="6">
        <f t="shared" si="11"/>
        <v>8</v>
      </c>
      <c r="C124" s="6">
        <f t="shared" si="4"/>
        <v>53</v>
      </c>
      <c r="D124" s="6">
        <f t="shared" si="8"/>
        <v>42</v>
      </c>
      <c r="E124" s="6">
        <f t="shared" si="9"/>
        <v>34</v>
      </c>
      <c r="F124" s="6">
        <f t="shared" si="10"/>
        <v>755</v>
      </c>
      <c r="G124" s="6"/>
    </row>
    <row r="125" spans="1:7" x14ac:dyDescent="0.25">
      <c r="A125" s="5">
        <v>44836</v>
      </c>
      <c r="B125" s="6">
        <f t="shared" si="11"/>
        <v>8</v>
      </c>
      <c r="C125" s="6">
        <f t="shared" si="4"/>
        <v>53</v>
      </c>
      <c r="D125" s="6">
        <f t="shared" si="8"/>
        <v>42</v>
      </c>
      <c r="E125" s="6">
        <f t="shared" si="9"/>
        <v>34</v>
      </c>
      <c r="F125" s="6">
        <f t="shared" si="10"/>
        <v>755</v>
      </c>
      <c r="G125" s="6"/>
    </row>
    <row r="126" spans="1:7" x14ac:dyDescent="0.25">
      <c r="A126" s="5">
        <v>44837</v>
      </c>
      <c r="B126" s="6">
        <f t="shared" si="11"/>
        <v>7</v>
      </c>
      <c r="C126" s="6">
        <f t="shared" si="4"/>
        <v>49</v>
      </c>
      <c r="D126" s="6">
        <f t="shared" si="8"/>
        <v>40</v>
      </c>
      <c r="E126" s="6">
        <f t="shared" si="9"/>
        <v>31</v>
      </c>
      <c r="F126" s="6">
        <f t="shared" si="10"/>
        <v>702</v>
      </c>
      <c r="G126" s="6"/>
    </row>
    <row r="127" spans="1:7" x14ac:dyDescent="0.25">
      <c r="A127" s="5">
        <v>44838</v>
      </c>
      <c r="B127" s="6">
        <f t="shared" si="11"/>
        <v>7</v>
      </c>
      <c r="C127" s="6">
        <f t="shared" si="4"/>
        <v>49</v>
      </c>
      <c r="D127" s="6">
        <f t="shared" si="8"/>
        <v>40</v>
      </c>
      <c r="E127" s="6">
        <f t="shared" si="9"/>
        <v>31</v>
      </c>
      <c r="F127" s="6">
        <f t="shared" si="10"/>
        <v>702</v>
      </c>
      <c r="G127" s="6"/>
    </row>
    <row r="128" spans="1:7" x14ac:dyDescent="0.25">
      <c r="A128" s="5">
        <v>44839</v>
      </c>
      <c r="B128" s="6">
        <f t="shared" si="11"/>
        <v>6</v>
      </c>
      <c r="C128" s="6">
        <f t="shared" si="4"/>
        <v>45</v>
      </c>
      <c r="D128" s="6">
        <f t="shared" si="8"/>
        <v>37</v>
      </c>
      <c r="E128" s="6">
        <f t="shared" si="9"/>
        <v>27</v>
      </c>
      <c r="F128" s="6">
        <f t="shared" si="10"/>
        <v>636</v>
      </c>
      <c r="G128" s="6"/>
    </row>
    <row r="129" spans="1:7" x14ac:dyDescent="0.25">
      <c r="A129" s="5">
        <v>44840</v>
      </c>
      <c r="B129" s="6">
        <f t="shared" si="11"/>
        <v>6</v>
      </c>
      <c r="C129" s="6">
        <f t="shared" si="4"/>
        <v>45</v>
      </c>
      <c r="D129" s="6">
        <f t="shared" si="8"/>
        <v>37</v>
      </c>
      <c r="E129" s="6">
        <f t="shared" si="9"/>
        <v>27</v>
      </c>
      <c r="F129" s="6">
        <f t="shared" si="10"/>
        <v>636</v>
      </c>
      <c r="G129" s="6"/>
    </row>
    <row r="130" spans="1:7" x14ac:dyDescent="0.25">
      <c r="A130" s="5">
        <v>44841</v>
      </c>
      <c r="B130" s="6">
        <f t="shared" si="11"/>
        <v>5</v>
      </c>
      <c r="C130" s="6">
        <f t="shared" si="4"/>
        <v>41</v>
      </c>
      <c r="D130" s="6">
        <f t="shared" si="8"/>
        <v>35</v>
      </c>
      <c r="E130" s="6">
        <f t="shared" si="9"/>
        <v>24</v>
      </c>
      <c r="F130" s="6">
        <f t="shared" si="10"/>
        <v>583</v>
      </c>
      <c r="G130" s="6"/>
    </row>
    <row r="131" spans="1:7" x14ac:dyDescent="0.25">
      <c r="A131" s="5">
        <v>44842</v>
      </c>
      <c r="B131" s="6">
        <f t="shared" si="11"/>
        <v>5</v>
      </c>
      <c r="C131" s="6">
        <f t="shared" ref="C131:C133" si="12">ROUNDDOWN(120*(1+(2/29)*((B131-24)/2)), 0)</f>
        <v>41</v>
      </c>
      <c r="D131" s="6">
        <f t="shared" si="8"/>
        <v>35</v>
      </c>
      <c r="E131" s="6">
        <f t="shared" si="9"/>
        <v>24</v>
      </c>
      <c r="F131" s="6">
        <f t="shared" si="10"/>
        <v>583</v>
      </c>
      <c r="G131" s="6"/>
    </row>
    <row r="132" spans="1:7" x14ac:dyDescent="0.25">
      <c r="A132" s="5">
        <v>44843</v>
      </c>
      <c r="B132" s="6">
        <f t="shared" si="11"/>
        <v>4</v>
      </c>
      <c r="C132" s="6">
        <f t="shared" si="12"/>
        <v>37</v>
      </c>
      <c r="D132" s="6">
        <f t="shared" si="8"/>
        <v>32</v>
      </c>
      <c r="E132" s="6">
        <f t="shared" si="9"/>
        <v>20</v>
      </c>
      <c r="F132" s="6">
        <f t="shared" si="10"/>
        <v>517</v>
      </c>
      <c r="G132" s="6"/>
    </row>
    <row r="133" spans="1:7" x14ac:dyDescent="0.25">
      <c r="A133" s="5">
        <v>44844</v>
      </c>
      <c r="B133" s="6">
        <f t="shared" si="11"/>
        <v>4</v>
      </c>
      <c r="C133" s="6">
        <f t="shared" si="12"/>
        <v>37</v>
      </c>
      <c r="D133" s="6">
        <f t="shared" si="8"/>
        <v>32</v>
      </c>
      <c r="E133" s="6">
        <f t="shared" si="9"/>
        <v>20</v>
      </c>
      <c r="F133" s="6">
        <f t="shared" si="10"/>
        <v>517</v>
      </c>
      <c r="G13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5.1</vt:lpstr>
      <vt:lpstr>5.2</vt:lpstr>
      <vt:lpstr>5.3</vt:lpstr>
      <vt:lpstr>5.4</vt:lpstr>
      <vt:lpstr>'5.1'!temperatury_1</vt:lpstr>
      <vt:lpstr>'5.2'!temperatury_1</vt:lpstr>
      <vt:lpstr>'5.3'!temperatury_1</vt:lpstr>
      <vt:lpstr>'5.4'!temperatury_1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Bogumił Gąsowski</dc:creator>
  <cp:lastModifiedBy>Bogumił Gąsowski</cp:lastModifiedBy>
  <dcterms:created xsi:type="dcterms:W3CDTF">2026-05-07T10:52:52Z</dcterms:created>
  <dcterms:modified xsi:type="dcterms:W3CDTF">2026-05-07T11:32:20Z</dcterms:modified>
</cp:coreProperties>
</file>